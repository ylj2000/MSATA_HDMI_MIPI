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ylj\Desktop\LQ055T3SX03\TC_401\"/>
    </mc:Choice>
  </mc:AlternateContent>
  <bookViews>
    <workbookView xWindow="0" yWindow="0" windowWidth="16200" windowHeight="12135" tabRatio="719" firstSheet="3" activeTab="3"/>
  </bookViews>
  <sheets>
    <sheet name="Revison" sheetId="1" r:id="rId1"/>
    <sheet name="HowToUse" sheetId="2" r:id="rId2"/>
    <sheet name="State Diagram" sheetId="3" r:id="rId3"/>
    <sheet name="Code" sheetId="4" r:id="rId4"/>
    <sheet name="Main_Parameters" sheetId="5" r:id="rId5"/>
    <sheet name="EDID" sheetId="6" r:id="rId6"/>
    <sheet name="Source_Init_EnbDSI(RS1,2,3,Int)" sheetId="7" r:id="rId7"/>
    <sheet name="Source_Suspend(RS_DO,RS4,5)" sheetId="8" r:id="rId8"/>
    <sheet name="Source_ColorBar" sheetId="9" r:id="rId9"/>
    <sheet name="Source_DSI_Command" sheetId="10" r:id="rId10"/>
    <sheet name="Source_HDMITimChk" sheetId="11" r:id="rId11"/>
  </sheets>
  <calcPr calcId="162913"/>
</workbook>
</file>

<file path=xl/calcChain.xml><?xml version="1.0" encoding="utf-8"?>
<calcChain xmlns="http://schemas.openxmlformats.org/spreadsheetml/2006/main">
  <c r="I33" i="11" l="1"/>
  <c r="H33" i="11"/>
  <c r="H31" i="11"/>
  <c r="H29" i="11"/>
  <c r="H27" i="11"/>
  <c r="H25" i="11"/>
  <c r="H21" i="11"/>
  <c r="H19" i="11"/>
  <c r="H17" i="11"/>
  <c r="H23" i="11" s="1"/>
  <c r="H15" i="11"/>
  <c r="G10" i="11"/>
  <c r="E10" i="11" s="1"/>
  <c r="G9" i="11"/>
  <c r="E9" i="11" s="1"/>
  <c r="G8" i="11"/>
  <c r="E8" i="11"/>
  <c r="G7" i="11"/>
  <c r="E7" i="11"/>
  <c r="E31" i="10"/>
  <c r="E26" i="10"/>
  <c r="D22" i="10"/>
  <c r="D21" i="10"/>
  <c r="D19" i="10"/>
  <c r="D18" i="10"/>
  <c r="D16" i="10"/>
  <c r="E13" i="10"/>
  <c r="E12" i="10"/>
  <c r="BC407" i="9"/>
  <c r="BB407" i="9"/>
  <c r="AZ407" i="9"/>
  <c r="E407" i="9"/>
  <c r="BC406" i="9"/>
  <c r="BB406" i="9"/>
  <c r="AZ406" i="9"/>
  <c r="E406" i="9" s="1"/>
  <c r="B393" i="9"/>
  <c r="B392" i="9"/>
  <c r="B391" i="9"/>
  <c r="B389" i="9"/>
  <c r="B388" i="9"/>
  <c r="B387" i="9"/>
  <c r="B386" i="9"/>
  <c r="B385" i="9"/>
  <c r="B384" i="9"/>
  <c r="B383" i="9"/>
  <c r="B382" i="9"/>
  <c r="B381" i="9"/>
  <c r="B380" i="9"/>
  <c r="B378" i="9"/>
  <c r="BB118" i="9"/>
  <c r="AZ118" i="9"/>
  <c r="U118" i="9"/>
  <c r="BC118" i="9" s="1"/>
  <c r="BB117" i="9"/>
  <c r="AZ117" i="9"/>
  <c r="U117" i="9"/>
  <c r="BC117" i="9" s="1"/>
  <c r="E116" i="9"/>
  <c r="B114" i="9"/>
  <c r="BD113" i="9"/>
  <c r="BB113" i="9"/>
  <c r="AZ113" i="9"/>
  <c r="AX113" i="9"/>
  <c r="AV113" i="9"/>
  <c r="E113" i="9" s="1"/>
  <c r="B113" i="9"/>
  <c r="BD112" i="9"/>
  <c r="BB112" i="9"/>
  <c r="AZ112" i="9"/>
  <c r="AX112" i="9"/>
  <c r="AV112" i="9"/>
  <c r="B112" i="9"/>
  <c r="B111" i="9"/>
  <c r="B110" i="9"/>
  <c r="B109" i="9"/>
  <c r="B108" i="9"/>
  <c r="B107" i="9"/>
  <c r="B106" i="9"/>
  <c r="B105" i="9"/>
  <c r="B104" i="9"/>
  <c r="B103" i="9"/>
  <c r="B102" i="9"/>
  <c r="BD101" i="9"/>
  <c r="AZ101" i="9"/>
  <c r="AV101" i="9"/>
  <c r="AR101" i="9"/>
  <c r="AN101" i="9"/>
  <c r="E101" i="9"/>
  <c r="B101" i="9"/>
  <c r="BD100" i="9"/>
  <c r="AV100" i="9"/>
  <c r="AU100" i="9"/>
  <c r="E100" i="9" s="1"/>
  <c r="B100" i="9"/>
  <c r="BA99" i="9"/>
  <c r="AZ99" i="9"/>
  <c r="AX99" i="9"/>
  <c r="AW99" i="9"/>
  <c r="AV99" i="9"/>
  <c r="AU99" i="9"/>
  <c r="AT99" i="9"/>
  <c r="AS99" i="9"/>
  <c r="AR99" i="9"/>
  <c r="AQ99" i="9"/>
  <c r="E99" i="9" s="1"/>
  <c r="B99" i="9"/>
  <c r="BD98" i="9"/>
  <c r="BC98" i="9"/>
  <c r="BB98" i="9"/>
  <c r="BA98" i="9"/>
  <c r="AZ98" i="9"/>
  <c r="AX98" i="9"/>
  <c r="AV98" i="9"/>
  <c r="AU98" i="9"/>
  <c r="E98" i="9" s="1"/>
  <c r="B98" i="9"/>
  <c r="BC97" i="9"/>
  <c r="BA97" i="9"/>
  <c r="E97" i="9" s="1"/>
  <c r="B97" i="9"/>
  <c r="L96" i="9"/>
  <c r="E96" i="9"/>
  <c r="B96" i="9"/>
  <c r="BD95" i="9"/>
  <c r="E95" i="9" s="1"/>
  <c r="BC95" i="9"/>
  <c r="BB95" i="9"/>
  <c r="BA95" i="9"/>
  <c r="B95" i="9"/>
  <c r="BD94" i="9"/>
  <c r="BC94" i="9"/>
  <c r="BB94" i="9"/>
  <c r="BA94" i="9"/>
  <c r="AZ94" i="9"/>
  <c r="E94" i="9" s="1"/>
  <c r="B94" i="9"/>
  <c r="B93" i="9"/>
  <c r="B92" i="9"/>
  <c r="B91" i="9"/>
  <c r="BD90" i="9"/>
  <c r="BC90" i="9"/>
  <c r="E90" i="9"/>
  <c r="B90" i="9"/>
  <c r="B89" i="9"/>
  <c r="L88" i="9"/>
  <c r="E88" i="9"/>
  <c r="B88" i="9"/>
  <c r="BD87" i="9"/>
  <c r="BB87" i="9"/>
  <c r="AZ87" i="9"/>
  <c r="E87" i="9" s="1"/>
  <c r="B87" i="9"/>
  <c r="L86" i="9"/>
  <c r="E86" i="9"/>
  <c r="B86" i="9"/>
  <c r="BD85" i="9"/>
  <c r="BC85" i="9"/>
  <c r="BB85" i="9"/>
  <c r="E85" i="9" s="1"/>
  <c r="BA85" i="9"/>
  <c r="B85" i="9"/>
  <c r="AX84" i="9"/>
  <c r="AV84" i="9"/>
  <c r="AU84" i="9"/>
  <c r="AT84" i="9"/>
  <c r="W84" i="9"/>
  <c r="BD84" i="9" s="1"/>
  <c r="U84" i="9"/>
  <c r="AY84" i="9" s="1"/>
  <c r="B84" i="9"/>
  <c r="L83" i="9"/>
  <c r="E83" i="9"/>
  <c r="B83" i="9"/>
  <c r="L82" i="9"/>
  <c r="E82" i="9"/>
  <c r="B82" i="9"/>
  <c r="L81" i="9"/>
  <c r="E81" i="9"/>
  <c r="B81" i="9"/>
  <c r="L80" i="9"/>
  <c r="E80" i="9"/>
  <c r="B80" i="9"/>
  <c r="L79" i="9"/>
  <c r="E79" i="9"/>
  <c r="B79" i="9"/>
  <c r="L78" i="9"/>
  <c r="E78" i="9"/>
  <c r="B78" i="9"/>
  <c r="L77" i="9"/>
  <c r="E77" i="9"/>
  <c r="B77" i="9"/>
  <c r="L76" i="9"/>
  <c r="E76" i="9"/>
  <c r="B76" i="9"/>
  <c r="BD75" i="9"/>
  <c r="BC75" i="9"/>
  <c r="BA75" i="9"/>
  <c r="E75" i="9" s="1"/>
  <c r="R75" i="9"/>
  <c r="B75" i="9"/>
  <c r="BD74" i="9"/>
  <c r="AV74" i="9"/>
  <c r="AU74" i="9"/>
  <c r="AT74" i="9"/>
  <c r="AP74" i="9"/>
  <c r="AN74" i="9"/>
  <c r="AM74" i="9"/>
  <c r="AL74" i="9"/>
  <c r="AK74" i="9"/>
  <c r="AJ74" i="9"/>
  <c r="AI74" i="9"/>
  <c r="E74" i="9" s="1"/>
  <c r="AH74" i="9"/>
  <c r="B74" i="9"/>
  <c r="L73" i="9"/>
  <c r="E73" i="9"/>
  <c r="B73" i="9"/>
  <c r="B72" i="9"/>
  <c r="B71" i="9"/>
  <c r="B70" i="9"/>
  <c r="B69" i="9"/>
  <c r="B68" i="9"/>
  <c r="B67" i="9"/>
  <c r="BD66" i="9"/>
  <c r="AV66" i="9"/>
  <c r="AT66" i="9"/>
  <c r="E66" i="9" s="1"/>
  <c r="B66" i="9"/>
  <c r="B65" i="9"/>
  <c r="B63" i="9"/>
  <c r="BD62" i="9"/>
  <c r="BB62" i="9"/>
  <c r="AZ62" i="9"/>
  <c r="AX62" i="9"/>
  <c r="AV62" i="9"/>
  <c r="E62" i="9" s="1"/>
  <c r="B62" i="9"/>
  <c r="BD61" i="9"/>
  <c r="BB61" i="9"/>
  <c r="AZ61" i="9"/>
  <c r="AX61" i="9"/>
  <c r="AV61" i="9"/>
  <c r="B61" i="9"/>
  <c r="B60" i="9"/>
  <c r="B59" i="9"/>
  <c r="B58" i="9"/>
  <c r="B57" i="9"/>
  <c r="B56" i="9"/>
  <c r="B55" i="9"/>
  <c r="B54" i="9"/>
  <c r="B53" i="9"/>
  <c r="B52" i="9"/>
  <c r="B51" i="9"/>
  <c r="BD50" i="9"/>
  <c r="AZ50" i="9"/>
  <c r="AV50" i="9"/>
  <c r="AR50" i="9"/>
  <c r="AN50" i="9"/>
  <c r="E50" i="9" s="1"/>
  <c r="B50" i="9"/>
  <c r="BD49" i="9"/>
  <c r="AV49" i="9"/>
  <c r="AU49" i="9"/>
  <c r="E49" i="9"/>
  <c r="B49" i="9"/>
  <c r="BA48" i="9"/>
  <c r="AZ48" i="9"/>
  <c r="AX48" i="9"/>
  <c r="AW48" i="9"/>
  <c r="AV48" i="9"/>
  <c r="AU48" i="9"/>
  <c r="E48" i="9" s="1"/>
  <c r="AT48" i="9"/>
  <c r="AS48" i="9"/>
  <c r="AR48" i="9"/>
  <c r="AQ48" i="9"/>
  <c r="B48" i="9"/>
  <c r="BD47" i="9"/>
  <c r="BC47" i="9"/>
  <c r="BB47" i="9"/>
  <c r="BA47" i="9"/>
  <c r="AZ47" i="9"/>
  <c r="AX47" i="9"/>
  <c r="AV47" i="9"/>
  <c r="AU47" i="9"/>
  <c r="E47" i="9" s="1"/>
  <c r="B47" i="9"/>
  <c r="BC46" i="9"/>
  <c r="BA46" i="9"/>
  <c r="E46" i="9" s="1"/>
  <c r="B46" i="9"/>
  <c r="L45" i="9"/>
  <c r="E45" i="9"/>
  <c r="B45" i="9"/>
  <c r="BD44" i="9"/>
  <c r="BC44" i="9"/>
  <c r="BB44" i="9"/>
  <c r="BA44" i="9"/>
  <c r="E44" i="9" s="1"/>
  <c r="B44" i="9"/>
  <c r="BD43" i="9"/>
  <c r="BC43" i="9"/>
  <c r="BB43" i="9"/>
  <c r="BA43" i="9"/>
  <c r="AZ43" i="9"/>
  <c r="E43" i="9" s="1"/>
  <c r="B43" i="9"/>
  <c r="B42" i="9"/>
  <c r="B41" i="9"/>
  <c r="B40" i="9"/>
  <c r="BD39" i="9"/>
  <c r="BC39" i="9"/>
  <c r="E39" i="9" s="1"/>
  <c r="B39" i="9"/>
  <c r="B38" i="9"/>
  <c r="L37" i="9"/>
  <c r="E37" i="9"/>
  <c r="B37" i="9"/>
  <c r="BD36" i="9"/>
  <c r="BB36" i="9"/>
  <c r="AZ36" i="9"/>
  <c r="E36" i="9"/>
  <c r="B36" i="9"/>
  <c r="L35" i="9"/>
  <c r="E35" i="9"/>
  <c r="B35" i="9"/>
  <c r="BD34" i="9"/>
  <c r="BC34" i="9"/>
  <c r="BB34" i="9"/>
  <c r="BA34" i="9"/>
  <c r="E34" i="9"/>
  <c r="B34" i="9"/>
  <c r="AX33" i="9"/>
  <c r="AV33" i="9"/>
  <c r="AU33" i="9"/>
  <c r="AT33" i="9"/>
  <c r="E33" i="9" s="1"/>
  <c r="W33" i="9"/>
  <c r="BD33" i="9" s="1"/>
  <c r="U33" i="9"/>
  <c r="AY33" i="9" s="1"/>
  <c r="B33" i="9"/>
  <c r="L32" i="9"/>
  <c r="E32" i="9"/>
  <c r="B32" i="9"/>
  <c r="L31" i="9"/>
  <c r="E31" i="9"/>
  <c r="B31" i="9"/>
  <c r="L30" i="9"/>
  <c r="E30" i="9"/>
  <c r="B30" i="9"/>
  <c r="L29" i="9"/>
  <c r="E29" i="9"/>
  <c r="B29" i="9"/>
  <c r="L28" i="9"/>
  <c r="E28" i="9"/>
  <c r="B28" i="9"/>
  <c r="L27" i="9"/>
  <c r="E27" i="9"/>
  <c r="B27" i="9"/>
  <c r="L26" i="9"/>
  <c r="E26" i="9"/>
  <c r="B26" i="9"/>
  <c r="L25" i="9"/>
  <c r="E25" i="9"/>
  <c r="B25" i="9"/>
  <c r="BD24" i="9"/>
  <c r="BC24" i="9"/>
  <c r="E24" i="9" s="1"/>
  <c r="BA24" i="9"/>
  <c r="R24" i="9"/>
  <c r="B24" i="9"/>
  <c r="BD23" i="9"/>
  <c r="AV23" i="9"/>
  <c r="AU23" i="9"/>
  <c r="AT23" i="9"/>
  <c r="AP23" i="9"/>
  <c r="AN23" i="9"/>
  <c r="AM23" i="9"/>
  <c r="AL23" i="9"/>
  <c r="AK23" i="9"/>
  <c r="AJ23" i="9"/>
  <c r="AI23" i="9"/>
  <c r="AH23" i="9"/>
  <c r="E23" i="9" s="1"/>
  <c r="B23" i="9"/>
  <c r="L22" i="9"/>
  <c r="E22" i="9"/>
  <c r="B22" i="9"/>
  <c r="B21" i="9"/>
  <c r="B20" i="9"/>
  <c r="B19" i="9"/>
  <c r="B18" i="9"/>
  <c r="B17" i="9"/>
  <c r="B16" i="9"/>
  <c r="BD15" i="9"/>
  <c r="AV15" i="9"/>
  <c r="AT15" i="9"/>
  <c r="E15" i="9"/>
  <c r="B15" i="9"/>
  <c r="B14" i="9"/>
  <c r="E10" i="9"/>
  <c r="BD427" i="8"/>
  <c r="BC427" i="8"/>
  <c r="BB427" i="8"/>
  <c r="BA427" i="8"/>
  <c r="AZ427" i="8"/>
  <c r="AY427" i="8"/>
  <c r="AV427" i="8"/>
  <c r="AU427" i="8"/>
  <c r="AT427" i="8"/>
  <c r="AS427" i="8"/>
  <c r="E427" i="8"/>
  <c r="B427" i="8"/>
  <c r="BD418" i="8"/>
  <c r="BC418" i="8"/>
  <c r="BB418" i="8"/>
  <c r="BA418" i="8"/>
  <c r="AZ418" i="8"/>
  <c r="AY418" i="8"/>
  <c r="AV418" i="8"/>
  <c r="AU418" i="8"/>
  <c r="AT418" i="8"/>
  <c r="AS418" i="8"/>
  <c r="E418" i="8" s="1"/>
  <c r="B418" i="8"/>
  <c r="BC151" i="8"/>
  <c r="BB151" i="8"/>
  <c r="AZ151" i="8"/>
  <c r="BC150" i="8"/>
  <c r="BB150" i="8"/>
  <c r="AZ150" i="8"/>
  <c r="E150" i="8" s="1"/>
  <c r="B137" i="8"/>
  <c r="B136" i="8"/>
  <c r="B135" i="8"/>
  <c r="B133" i="8"/>
  <c r="B132" i="8"/>
  <c r="B131" i="8"/>
  <c r="B130" i="8"/>
  <c r="B129" i="8"/>
  <c r="B128" i="8"/>
  <c r="B127" i="8"/>
  <c r="B126" i="8"/>
  <c r="B125" i="8"/>
  <c r="B124" i="8"/>
  <c r="B122" i="8"/>
  <c r="E118" i="8"/>
  <c r="B116" i="8"/>
  <c r="BD115" i="8"/>
  <c r="BB115" i="8"/>
  <c r="AZ115" i="8"/>
  <c r="AX115" i="8"/>
  <c r="AV115" i="8"/>
  <c r="E115" i="8"/>
  <c r="B115" i="8"/>
  <c r="BD114" i="8"/>
  <c r="BB114" i="8"/>
  <c r="AZ114" i="8"/>
  <c r="AX114" i="8"/>
  <c r="AV114" i="8"/>
  <c r="E114" i="8"/>
  <c r="B114" i="8"/>
  <c r="B113" i="8"/>
  <c r="B112" i="8"/>
  <c r="B111" i="8"/>
  <c r="B110" i="8"/>
  <c r="B109" i="8"/>
  <c r="B108" i="8"/>
  <c r="B107" i="8"/>
  <c r="B106" i="8"/>
  <c r="B105" i="8"/>
  <c r="B104" i="8"/>
  <c r="BD103" i="8"/>
  <c r="AZ103" i="8"/>
  <c r="AV103" i="8"/>
  <c r="AR103" i="8"/>
  <c r="AN103" i="8"/>
  <c r="E103" i="8" s="1"/>
  <c r="B103" i="8"/>
  <c r="BD102" i="8"/>
  <c r="AV102" i="8"/>
  <c r="AU102" i="8"/>
  <c r="E102" i="8" s="1"/>
  <c r="B102" i="8"/>
  <c r="BA101" i="8"/>
  <c r="AZ101" i="8"/>
  <c r="AX101" i="8"/>
  <c r="AW101" i="8"/>
  <c r="AV101" i="8"/>
  <c r="AU101" i="8"/>
  <c r="AT101" i="8"/>
  <c r="AS101" i="8"/>
  <c r="AR101" i="8"/>
  <c r="AQ101" i="8"/>
  <c r="B101" i="8"/>
  <c r="BD100" i="8"/>
  <c r="BC100" i="8"/>
  <c r="BB100" i="8"/>
  <c r="BA100" i="8"/>
  <c r="AZ100" i="8"/>
  <c r="AX100" i="8"/>
  <c r="AV100" i="8"/>
  <c r="AU100" i="8"/>
  <c r="B100" i="8"/>
  <c r="BC99" i="8"/>
  <c r="BA99" i="8"/>
  <c r="E99" i="8"/>
  <c r="B99" i="8"/>
  <c r="L98" i="8"/>
  <c r="E98" i="8"/>
  <c r="B98" i="8"/>
  <c r="BD97" i="8"/>
  <c r="BC97" i="8"/>
  <c r="BB97" i="8"/>
  <c r="E97" i="8" s="1"/>
  <c r="BA97" i="8"/>
  <c r="B97" i="8"/>
  <c r="BD96" i="8"/>
  <c r="BC96" i="8"/>
  <c r="BB96" i="8"/>
  <c r="BA96" i="8"/>
  <c r="AZ96" i="8"/>
  <c r="E96" i="8"/>
  <c r="B96" i="8"/>
  <c r="B95" i="8"/>
  <c r="B94" i="8"/>
  <c r="B93" i="8"/>
  <c r="BD92" i="8"/>
  <c r="BC92" i="8"/>
  <c r="E92" i="8" s="1"/>
  <c r="B92" i="8"/>
  <c r="B91" i="8"/>
  <c r="L90" i="8"/>
  <c r="E90" i="8"/>
  <c r="B90" i="8"/>
  <c r="BD89" i="8"/>
  <c r="BB89" i="8"/>
  <c r="AZ89" i="8"/>
  <c r="E89" i="8" s="1"/>
  <c r="B89" i="8"/>
  <c r="L88" i="8"/>
  <c r="E88" i="8"/>
  <c r="B88" i="8"/>
  <c r="BD87" i="8"/>
  <c r="BC87" i="8"/>
  <c r="BB87" i="8"/>
  <c r="BA87" i="8"/>
  <c r="B87" i="8"/>
  <c r="BD86" i="8"/>
  <c r="AY86" i="8"/>
  <c r="AX86" i="8"/>
  <c r="AV86" i="8"/>
  <c r="AU86" i="8"/>
  <c r="AT86" i="8"/>
  <c r="W86" i="8"/>
  <c r="U86" i="8"/>
  <c r="E86" i="8"/>
  <c r="B86" i="8"/>
  <c r="L85" i="8"/>
  <c r="E85" i="8"/>
  <c r="B85" i="8"/>
  <c r="L84" i="8"/>
  <c r="E84" i="8"/>
  <c r="B84" i="8"/>
  <c r="L83" i="8"/>
  <c r="E83" i="8"/>
  <c r="B83" i="8"/>
  <c r="L82" i="8"/>
  <c r="E82" i="8"/>
  <c r="B82" i="8"/>
  <c r="L81" i="8"/>
  <c r="E81" i="8"/>
  <c r="B81" i="8"/>
  <c r="L80" i="8"/>
  <c r="E80" i="8"/>
  <c r="B80" i="8"/>
  <c r="L79" i="8"/>
  <c r="E79" i="8"/>
  <c r="B79" i="8"/>
  <c r="L78" i="8"/>
  <c r="E78" i="8"/>
  <c r="B78" i="8"/>
  <c r="BD77" i="8"/>
  <c r="E77" i="8" s="1"/>
  <c r="BC77" i="8"/>
  <c r="BA77" i="8"/>
  <c r="R77" i="8"/>
  <c r="B77" i="8"/>
  <c r="BD76" i="8"/>
  <c r="AV76" i="8"/>
  <c r="AU76" i="8"/>
  <c r="AT76" i="8"/>
  <c r="AP76" i="8"/>
  <c r="AN76" i="8"/>
  <c r="AM76" i="8"/>
  <c r="AL76" i="8"/>
  <c r="AK76" i="8"/>
  <c r="AJ76" i="8"/>
  <c r="AI76" i="8"/>
  <c r="AH76" i="8"/>
  <c r="E76" i="8" s="1"/>
  <c r="B76" i="8"/>
  <c r="L75" i="8"/>
  <c r="E75" i="8"/>
  <c r="B75" i="8"/>
  <c r="B74" i="8"/>
  <c r="B73" i="8"/>
  <c r="B72" i="8"/>
  <c r="B71" i="8"/>
  <c r="B70" i="8"/>
  <c r="B69" i="8"/>
  <c r="BD68" i="8"/>
  <c r="AV68" i="8"/>
  <c r="AT68" i="8"/>
  <c r="E68" i="8" s="1"/>
  <c r="B68" i="8"/>
  <c r="B67" i="8"/>
  <c r="B65" i="8"/>
  <c r="BD64" i="8"/>
  <c r="BB64" i="8"/>
  <c r="AZ64" i="8"/>
  <c r="AX64" i="8"/>
  <c r="AV64" i="8"/>
  <c r="E64" i="8" s="1"/>
  <c r="B64" i="8"/>
  <c r="BD63" i="8"/>
  <c r="BB63" i="8"/>
  <c r="AZ63" i="8"/>
  <c r="AX63" i="8"/>
  <c r="AV63" i="8"/>
  <c r="E63" i="8" s="1"/>
  <c r="B63" i="8"/>
  <c r="B62" i="8"/>
  <c r="B61" i="8"/>
  <c r="B60" i="8"/>
  <c r="B59" i="8"/>
  <c r="B58" i="8"/>
  <c r="B57" i="8"/>
  <c r="B56" i="8"/>
  <c r="B55" i="8"/>
  <c r="B54" i="8"/>
  <c r="B53" i="8"/>
  <c r="BD52" i="8"/>
  <c r="AZ52" i="8"/>
  <c r="AV52" i="8"/>
  <c r="AR52" i="8"/>
  <c r="AN52" i="8"/>
  <c r="B52" i="8"/>
  <c r="BD51" i="8"/>
  <c r="AV51" i="8"/>
  <c r="AU51" i="8"/>
  <c r="E51" i="8" s="1"/>
  <c r="B51" i="8"/>
  <c r="BA50" i="8"/>
  <c r="AZ50" i="8"/>
  <c r="AX50" i="8"/>
  <c r="AW50" i="8"/>
  <c r="AV50" i="8"/>
  <c r="AU50" i="8"/>
  <c r="AT50" i="8"/>
  <c r="AS50" i="8"/>
  <c r="AR50" i="8"/>
  <c r="AQ50" i="8"/>
  <c r="B50" i="8"/>
  <c r="BD49" i="8"/>
  <c r="BC49" i="8"/>
  <c r="BB49" i="8"/>
  <c r="BA49" i="8"/>
  <c r="AZ49" i="8"/>
  <c r="AX49" i="8"/>
  <c r="AV49" i="8"/>
  <c r="AU49" i="8"/>
  <c r="E49" i="8"/>
  <c r="B49" i="8"/>
  <c r="BC48" i="8"/>
  <c r="BA48" i="8"/>
  <c r="E48" i="8" s="1"/>
  <c r="B48" i="8"/>
  <c r="L47" i="8"/>
  <c r="E47" i="8"/>
  <c r="B47" i="8"/>
  <c r="BD46" i="8"/>
  <c r="BC46" i="8"/>
  <c r="BB46" i="8"/>
  <c r="BA46" i="8"/>
  <c r="E46" i="8" s="1"/>
  <c r="B46" i="8"/>
  <c r="BD45" i="8"/>
  <c r="BC45" i="8"/>
  <c r="BB45" i="8"/>
  <c r="BA45" i="8"/>
  <c r="AZ45" i="8"/>
  <c r="E45" i="8" s="1"/>
  <c r="B45" i="8"/>
  <c r="B44" i="8"/>
  <c r="B43" i="8"/>
  <c r="B42" i="8"/>
  <c r="BD41" i="8"/>
  <c r="BC41" i="8"/>
  <c r="E41" i="8"/>
  <c r="B41" i="8"/>
  <c r="B40" i="8"/>
  <c r="L39" i="8"/>
  <c r="E39" i="8"/>
  <c r="B39" i="8"/>
  <c r="BD38" i="8"/>
  <c r="BB38" i="8"/>
  <c r="AZ38" i="8"/>
  <c r="E38" i="8" s="1"/>
  <c r="B38" i="8"/>
  <c r="L37" i="8"/>
  <c r="E37" i="8"/>
  <c r="B37" i="8"/>
  <c r="BD36" i="8"/>
  <c r="BC36" i="8"/>
  <c r="BB36" i="8"/>
  <c r="BA36" i="8"/>
  <c r="E36" i="8" s="1"/>
  <c r="B36" i="8"/>
  <c r="AX35" i="8"/>
  <c r="AV35" i="8"/>
  <c r="AU35" i="8"/>
  <c r="AT35" i="8"/>
  <c r="W35" i="8"/>
  <c r="BD35" i="8" s="1"/>
  <c r="U35" i="8"/>
  <c r="AY35" i="8" s="1"/>
  <c r="B35" i="8"/>
  <c r="L34" i="8"/>
  <c r="E34" i="8"/>
  <c r="B34" i="8"/>
  <c r="L33" i="8"/>
  <c r="E33" i="8"/>
  <c r="B33" i="8"/>
  <c r="L32" i="8"/>
  <c r="E32" i="8"/>
  <c r="B32" i="8"/>
  <c r="L31" i="8"/>
  <c r="E31" i="8"/>
  <c r="B31" i="8"/>
  <c r="L30" i="8"/>
  <c r="E30" i="8"/>
  <c r="B30" i="8"/>
  <c r="L29" i="8"/>
  <c r="E29" i="8"/>
  <c r="B29" i="8"/>
  <c r="L28" i="8"/>
  <c r="E28" i="8"/>
  <c r="B28" i="8"/>
  <c r="L27" i="8"/>
  <c r="E27" i="8"/>
  <c r="B27" i="8"/>
  <c r="BD26" i="8"/>
  <c r="BC26" i="8"/>
  <c r="BA26" i="8"/>
  <c r="E26" i="8" s="1"/>
  <c r="R26" i="8"/>
  <c r="B26" i="8"/>
  <c r="BD25" i="8"/>
  <c r="AV25" i="8"/>
  <c r="AU25" i="8"/>
  <c r="AT25" i="8"/>
  <c r="AP25" i="8"/>
  <c r="AN25" i="8"/>
  <c r="E25" i="8" s="1"/>
  <c r="AM25" i="8"/>
  <c r="AL25" i="8"/>
  <c r="AK25" i="8"/>
  <c r="AJ25" i="8"/>
  <c r="AI25" i="8"/>
  <c r="AH25" i="8"/>
  <c r="B25" i="8"/>
  <c r="L24" i="8"/>
  <c r="E24" i="8"/>
  <c r="B24" i="8"/>
  <c r="B23" i="8"/>
  <c r="B22" i="8"/>
  <c r="B21" i="8"/>
  <c r="B20" i="8"/>
  <c r="B19" i="8"/>
  <c r="B18" i="8"/>
  <c r="BD17" i="8"/>
  <c r="AV17" i="8"/>
  <c r="AT17" i="8"/>
  <c r="E17" i="8" s="1"/>
  <c r="B17" i="8"/>
  <c r="B16" i="8"/>
  <c r="BC785" i="7"/>
  <c r="BB785" i="7"/>
  <c r="AZ785" i="7"/>
  <c r="BC784" i="7"/>
  <c r="BB784" i="7"/>
  <c r="E784" i="7" s="1"/>
  <c r="AZ784" i="7"/>
  <c r="BD779" i="7"/>
  <c r="BC779" i="7"/>
  <c r="BB779" i="7"/>
  <c r="BA779" i="7"/>
  <c r="AZ779" i="7"/>
  <c r="AY779" i="7"/>
  <c r="AV779" i="7"/>
  <c r="AU779" i="7"/>
  <c r="AT779" i="7"/>
  <c r="AS779" i="7"/>
  <c r="B779" i="7"/>
  <c r="B770" i="7"/>
  <c r="B769" i="7"/>
  <c r="B768" i="7"/>
  <c r="B767" i="7"/>
  <c r="B766" i="7"/>
  <c r="B765" i="7"/>
  <c r="B764" i="7"/>
  <c r="B763" i="7"/>
  <c r="B762" i="7"/>
  <c r="B761" i="7"/>
  <c r="B760" i="7"/>
  <c r="B759" i="7"/>
  <c r="B758" i="7"/>
  <c r="B755" i="7"/>
  <c r="BC494" i="7"/>
  <c r="BB494" i="7"/>
  <c r="E494" i="7" s="1"/>
  <c r="AZ494" i="7"/>
  <c r="B494" i="7"/>
  <c r="BC493" i="7"/>
  <c r="BB493" i="7"/>
  <c r="AZ493" i="7"/>
  <c r="E493" i="7"/>
  <c r="B493" i="7"/>
  <c r="E492" i="7"/>
  <c r="B490" i="7"/>
  <c r="BD489" i="7"/>
  <c r="BB489" i="7"/>
  <c r="AZ489" i="7"/>
  <c r="AX489" i="7"/>
  <c r="AV489" i="7"/>
  <c r="E489" i="7"/>
  <c r="B489" i="7"/>
  <c r="BD488" i="7"/>
  <c r="BB488" i="7"/>
  <c r="AZ488" i="7"/>
  <c r="AX488" i="7"/>
  <c r="AV488" i="7"/>
  <c r="E488" i="7"/>
  <c r="B488" i="7"/>
  <c r="B487" i="7"/>
  <c r="B486" i="7"/>
  <c r="B485" i="7"/>
  <c r="B484" i="7"/>
  <c r="B483" i="7"/>
  <c r="B482" i="7"/>
  <c r="B481" i="7"/>
  <c r="B480" i="7"/>
  <c r="B479" i="7"/>
  <c r="B478" i="7"/>
  <c r="BD477" i="7"/>
  <c r="AZ477" i="7"/>
  <c r="AV477" i="7"/>
  <c r="AR477" i="7"/>
  <c r="AN477" i="7"/>
  <c r="E477" i="7" s="1"/>
  <c r="B477" i="7"/>
  <c r="BD476" i="7"/>
  <c r="AV476" i="7"/>
  <c r="AU476" i="7"/>
  <c r="E476" i="7" s="1"/>
  <c r="B476" i="7"/>
  <c r="BA475" i="7"/>
  <c r="AZ475" i="7"/>
  <c r="AX475" i="7"/>
  <c r="AW475" i="7"/>
  <c r="AV475" i="7"/>
  <c r="AU475" i="7"/>
  <c r="AT475" i="7"/>
  <c r="AS475" i="7"/>
  <c r="AR475" i="7"/>
  <c r="AQ475" i="7"/>
  <c r="B475" i="7"/>
  <c r="BD474" i="7"/>
  <c r="BC474" i="7"/>
  <c r="BB474" i="7"/>
  <c r="BA474" i="7"/>
  <c r="AZ474" i="7"/>
  <c r="AX474" i="7"/>
  <c r="AV474" i="7"/>
  <c r="E474" i="7" s="1"/>
  <c r="AU474" i="7"/>
  <c r="B474" i="7"/>
  <c r="BC473" i="7"/>
  <c r="BA473" i="7"/>
  <c r="E473" i="7"/>
  <c r="B473" i="7"/>
  <c r="L472" i="7"/>
  <c r="E472" i="7"/>
  <c r="B472" i="7"/>
  <c r="BD471" i="7"/>
  <c r="BC471" i="7"/>
  <c r="BB471" i="7"/>
  <c r="BA471" i="7"/>
  <c r="E471" i="7"/>
  <c r="B471" i="7"/>
  <c r="BD470" i="7"/>
  <c r="BC470" i="7"/>
  <c r="BB470" i="7"/>
  <c r="BA470" i="7"/>
  <c r="AZ470" i="7"/>
  <c r="E470" i="7"/>
  <c r="B470" i="7"/>
  <c r="B469" i="7"/>
  <c r="B468" i="7"/>
  <c r="B467" i="7"/>
  <c r="BD466" i="7"/>
  <c r="BC466" i="7"/>
  <c r="E466" i="7" s="1"/>
  <c r="B466" i="7"/>
  <c r="B465" i="7"/>
  <c r="L464" i="7"/>
  <c r="E464" i="7"/>
  <c r="B464" i="7"/>
  <c r="BD463" i="7"/>
  <c r="BB463" i="7"/>
  <c r="AZ463" i="7"/>
  <c r="E463" i="7" s="1"/>
  <c r="B463" i="7"/>
  <c r="L462" i="7"/>
  <c r="E462" i="7"/>
  <c r="B462" i="7"/>
  <c r="BD461" i="7"/>
  <c r="BC461" i="7"/>
  <c r="BB461" i="7"/>
  <c r="BA461" i="7"/>
  <c r="B461" i="7"/>
  <c r="AY460" i="7"/>
  <c r="AX460" i="7"/>
  <c r="AV460" i="7"/>
  <c r="AU460" i="7"/>
  <c r="AT460" i="7"/>
  <c r="W460" i="7"/>
  <c r="BD460" i="7" s="1"/>
  <c r="U460" i="7"/>
  <c r="E460" i="7"/>
  <c r="B460" i="7"/>
  <c r="L459" i="7"/>
  <c r="E459" i="7"/>
  <c r="B459" i="7"/>
  <c r="L458" i="7"/>
  <c r="E458" i="7"/>
  <c r="B458" i="7"/>
  <c r="L457" i="7"/>
  <c r="E457" i="7"/>
  <c r="B457" i="7"/>
  <c r="L456" i="7"/>
  <c r="E456" i="7"/>
  <c r="B456" i="7"/>
  <c r="L455" i="7"/>
  <c r="E455" i="7"/>
  <c r="B455" i="7"/>
  <c r="L454" i="7"/>
  <c r="E454" i="7"/>
  <c r="B454" i="7"/>
  <c r="L453" i="7"/>
  <c r="E453" i="7"/>
  <c r="B453" i="7"/>
  <c r="L452" i="7"/>
  <c r="E452" i="7"/>
  <c r="B452" i="7"/>
  <c r="BD451" i="7"/>
  <c r="BC451" i="7"/>
  <c r="BA451" i="7"/>
  <c r="R451" i="7"/>
  <c r="E451" i="7"/>
  <c r="B451" i="7"/>
  <c r="BD450" i="7"/>
  <c r="AV450" i="7"/>
  <c r="AU450" i="7"/>
  <c r="AT450" i="7"/>
  <c r="AP450" i="7"/>
  <c r="AN450" i="7"/>
  <c r="AM450" i="7"/>
  <c r="AL450" i="7"/>
  <c r="AK450" i="7"/>
  <c r="AJ450" i="7"/>
  <c r="E450" i="7" s="1"/>
  <c r="AI450" i="7"/>
  <c r="AH450" i="7"/>
  <c r="B450" i="7"/>
  <c r="L449" i="7"/>
  <c r="E449" i="7"/>
  <c r="B449" i="7"/>
  <c r="B448" i="7"/>
  <c r="B447" i="7"/>
  <c r="B446" i="7"/>
  <c r="B445" i="7"/>
  <c r="B444" i="7"/>
  <c r="B443" i="7"/>
  <c r="BD442" i="7"/>
  <c r="AV442" i="7"/>
  <c r="AT442" i="7"/>
  <c r="E442" i="7" s="1"/>
  <c r="B442" i="7"/>
  <c r="B441" i="7"/>
  <c r="B439" i="7"/>
  <c r="BD438" i="7"/>
  <c r="BB438" i="7"/>
  <c r="AZ438" i="7"/>
  <c r="AX438" i="7"/>
  <c r="AV438" i="7"/>
  <c r="B438" i="7"/>
  <c r="BD437" i="7"/>
  <c r="BB437" i="7"/>
  <c r="AZ437" i="7"/>
  <c r="AX437" i="7"/>
  <c r="AV437" i="7"/>
  <c r="E437" i="7" s="1"/>
  <c r="B437" i="7"/>
  <c r="B436" i="7"/>
  <c r="B435" i="7"/>
  <c r="B434" i="7"/>
  <c r="B433" i="7"/>
  <c r="B432" i="7"/>
  <c r="B431" i="7"/>
  <c r="B430" i="7"/>
  <c r="B429" i="7"/>
  <c r="B428" i="7"/>
  <c r="B427" i="7"/>
  <c r="BD426" i="7"/>
  <c r="AZ426" i="7"/>
  <c r="AV426" i="7"/>
  <c r="AR426" i="7"/>
  <c r="E426" i="7" s="1"/>
  <c r="AN426" i="7"/>
  <c r="B426" i="7"/>
  <c r="BD425" i="7"/>
  <c r="E425" i="7" s="1"/>
  <c r="AV425" i="7"/>
  <c r="AU425" i="7"/>
  <c r="B425" i="7"/>
  <c r="BA424" i="7"/>
  <c r="AZ424" i="7"/>
  <c r="AX424" i="7"/>
  <c r="AW424" i="7"/>
  <c r="AV424" i="7"/>
  <c r="AU424" i="7"/>
  <c r="E424" i="7" s="1"/>
  <c r="AT424" i="7"/>
  <c r="AS424" i="7"/>
  <c r="AR424" i="7"/>
  <c r="AQ424" i="7"/>
  <c r="B424" i="7"/>
  <c r="BD423" i="7"/>
  <c r="BC423" i="7"/>
  <c r="BB423" i="7"/>
  <c r="BA423" i="7"/>
  <c r="AZ423" i="7"/>
  <c r="AX423" i="7"/>
  <c r="AV423" i="7"/>
  <c r="AU423" i="7"/>
  <c r="E423" i="7"/>
  <c r="B423" i="7"/>
  <c r="BC422" i="7"/>
  <c r="BA422" i="7"/>
  <c r="E422" i="7" s="1"/>
  <c r="B422" i="7"/>
  <c r="L421" i="7"/>
  <c r="E421" i="7"/>
  <c r="B421" i="7"/>
  <c r="BD420" i="7"/>
  <c r="BC420" i="7"/>
  <c r="BB420" i="7"/>
  <c r="BA420" i="7"/>
  <c r="E420" i="7" s="1"/>
  <c r="B420" i="7"/>
  <c r="BD419" i="7"/>
  <c r="BC419" i="7"/>
  <c r="BB419" i="7"/>
  <c r="BA419" i="7"/>
  <c r="AZ419" i="7"/>
  <c r="E419" i="7" s="1"/>
  <c r="B419" i="7"/>
  <c r="B418" i="7"/>
  <c r="B417" i="7"/>
  <c r="B416" i="7"/>
  <c r="BD415" i="7"/>
  <c r="BC415" i="7"/>
  <c r="E415" i="7"/>
  <c r="B415" i="7"/>
  <c r="B414" i="7"/>
  <c r="L413" i="7"/>
  <c r="E413" i="7"/>
  <c r="B413" i="7"/>
  <c r="BD412" i="7"/>
  <c r="BB412" i="7"/>
  <c r="AZ412" i="7"/>
  <c r="E412" i="7" s="1"/>
  <c r="B412" i="7"/>
  <c r="L411" i="7"/>
  <c r="E411" i="7"/>
  <c r="B411" i="7"/>
  <c r="BD410" i="7"/>
  <c r="BC410" i="7"/>
  <c r="BB410" i="7"/>
  <c r="BA410" i="7"/>
  <c r="E410" i="7" s="1"/>
  <c r="B410" i="7"/>
  <c r="AX409" i="7"/>
  <c r="AV409" i="7"/>
  <c r="AU409" i="7"/>
  <c r="AT409" i="7"/>
  <c r="W409" i="7"/>
  <c r="BD409" i="7" s="1"/>
  <c r="U409" i="7"/>
  <c r="AY409" i="7" s="1"/>
  <c r="B409" i="7"/>
  <c r="L408" i="7"/>
  <c r="E408" i="7"/>
  <c r="B408" i="7"/>
  <c r="L407" i="7"/>
  <c r="E407" i="7"/>
  <c r="B407" i="7"/>
  <c r="L406" i="7"/>
  <c r="E406" i="7"/>
  <c r="B406" i="7"/>
  <c r="L405" i="7"/>
  <c r="E405" i="7"/>
  <c r="B405" i="7"/>
  <c r="L404" i="7"/>
  <c r="E404" i="7"/>
  <c r="B404" i="7"/>
  <c r="L403" i="7"/>
  <c r="E403" i="7"/>
  <c r="B403" i="7"/>
  <c r="L402" i="7"/>
  <c r="E402" i="7"/>
  <c r="B402" i="7"/>
  <c r="L401" i="7"/>
  <c r="E401" i="7"/>
  <c r="B401" i="7"/>
  <c r="BD400" i="7"/>
  <c r="BC400" i="7"/>
  <c r="BA400" i="7"/>
  <c r="E400" i="7" s="1"/>
  <c r="R400" i="7"/>
  <c r="B400" i="7"/>
  <c r="BD399" i="7"/>
  <c r="AV399" i="7"/>
  <c r="AU399" i="7"/>
  <c r="AT399" i="7"/>
  <c r="AP399" i="7"/>
  <c r="AN399" i="7"/>
  <c r="AM399" i="7"/>
  <c r="AL399" i="7"/>
  <c r="AK399" i="7"/>
  <c r="AJ399" i="7"/>
  <c r="AI399" i="7"/>
  <c r="AH399" i="7"/>
  <c r="B399" i="7"/>
  <c r="L398" i="7"/>
  <c r="E398" i="7"/>
  <c r="B398" i="7"/>
  <c r="B397" i="7"/>
  <c r="B396" i="7"/>
  <c r="B395" i="7"/>
  <c r="B394" i="7"/>
  <c r="B393" i="7"/>
  <c r="B392" i="7"/>
  <c r="BD391" i="7"/>
  <c r="AV391" i="7"/>
  <c r="AT391" i="7"/>
  <c r="E391" i="7" s="1"/>
  <c r="B391" i="7"/>
  <c r="B390" i="7"/>
  <c r="AZ387" i="7"/>
  <c r="AX387" i="7"/>
  <c r="W387" i="7"/>
  <c r="BD387" i="7" s="1"/>
  <c r="E386" i="7"/>
  <c r="BD351" i="7"/>
  <c r="BC351" i="7"/>
  <c r="BB351" i="7"/>
  <c r="BA351" i="7"/>
  <c r="AZ351" i="7"/>
  <c r="AY351" i="7"/>
  <c r="AV351" i="7"/>
  <c r="AU351" i="7"/>
  <c r="AT351" i="7"/>
  <c r="AS351" i="7"/>
  <c r="E351" i="7" s="1"/>
  <c r="B351" i="7"/>
  <c r="BD325" i="7"/>
  <c r="BC325" i="7"/>
  <c r="BB325" i="7"/>
  <c r="BA325" i="7"/>
  <c r="AZ325" i="7"/>
  <c r="AY325" i="7"/>
  <c r="AV325" i="7"/>
  <c r="AU325" i="7"/>
  <c r="AT325" i="7"/>
  <c r="AS325" i="7"/>
  <c r="E325" i="7" s="1"/>
  <c r="B325" i="7"/>
  <c r="BD318" i="7"/>
  <c r="E318" i="7"/>
  <c r="B318" i="7"/>
  <c r="E317" i="7"/>
  <c r="B317" i="7"/>
  <c r="E316" i="7"/>
  <c r="B316" i="7"/>
  <c r="AF315" i="7"/>
  <c r="AB315" i="7"/>
  <c r="E315" i="7" s="1"/>
  <c r="B315" i="7"/>
  <c r="AF314" i="7"/>
  <c r="AE314" i="7"/>
  <c r="AD314" i="7"/>
  <c r="AC314" i="7"/>
  <c r="AB314" i="7"/>
  <c r="AA314" i="7"/>
  <c r="Z314" i="7"/>
  <c r="Y314" i="7"/>
  <c r="B314" i="7"/>
  <c r="AF313" i="7"/>
  <c r="V313" i="7"/>
  <c r="E313" i="7"/>
  <c r="B313" i="7"/>
  <c r="AD312" i="7"/>
  <c r="AC312" i="7"/>
  <c r="E312" i="7" s="1"/>
  <c r="B312" i="7"/>
  <c r="AF311" i="7"/>
  <c r="AE311" i="7"/>
  <c r="AD311" i="7"/>
  <c r="E311" i="7" s="1"/>
  <c r="B311" i="7"/>
  <c r="AF310" i="7"/>
  <c r="AE310" i="7"/>
  <c r="AD310" i="7"/>
  <c r="AC310" i="7"/>
  <c r="AB310" i="7"/>
  <c r="AA310" i="7"/>
  <c r="Z310" i="7"/>
  <c r="E310" i="7" s="1"/>
  <c r="Y310" i="7"/>
  <c r="B310" i="7"/>
  <c r="AF309" i="7"/>
  <c r="AB309" i="7"/>
  <c r="E309" i="7" s="1"/>
  <c r="B309" i="7"/>
  <c r="AF307" i="7"/>
  <c r="AB307" i="7"/>
  <c r="E307" i="7" s="1"/>
  <c r="AF306" i="7"/>
  <c r="AD306" i="7"/>
  <c r="E306" i="7" s="1"/>
  <c r="B304" i="7"/>
  <c r="B303" i="7"/>
  <c r="AD302" i="7"/>
  <c r="AB302" i="7"/>
  <c r="AA302" i="7"/>
  <c r="E302" i="7" s="1"/>
  <c r="B302" i="7"/>
  <c r="B301"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4" i="7"/>
  <c r="E250" i="7"/>
  <c r="E197" i="7"/>
  <c r="E196" i="7"/>
  <c r="E195" i="7"/>
  <c r="E194" i="7"/>
  <c r="E193" i="7"/>
  <c r="E192" i="7"/>
  <c r="E188" i="7"/>
  <c r="E187" i="7"/>
  <c r="E186" i="7"/>
  <c r="E184" i="7"/>
  <c r="E176" i="7"/>
  <c r="E174" i="7"/>
  <c r="E173" i="7"/>
  <c r="E172" i="7"/>
  <c r="E169" i="7"/>
  <c r="E168" i="7"/>
  <c r="E167" i="7"/>
  <c r="E166" i="7"/>
  <c r="E165" i="7"/>
  <c r="E164" i="7"/>
  <c r="E163" i="7"/>
  <c r="E162" i="7"/>
  <c r="E161" i="7"/>
  <c r="E156" i="7"/>
  <c r="E155" i="7"/>
  <c r="E154" i="7"/>
  <c r="E153" i="7"/>
  <c r="E152" i="7"/>
  <c r="E145" i="7"/>
  <c r="E138" i="7"/>
  <c r="E137" i="7"/>
  <c r="E136" i="7"/>
  <c r="E135" i="7"/>
  <c r="E134" i="7"/>
  <c r="E113"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4" i="7"/>
  <c r="E63" i="7"/>
  <c r="E62" i="7"/>
  <c r="E51" i="7"/>
  <c r="G51" i="7" s="1"/>
  <c r="E50" i="7"/>
  <c r="G50" i="7" s="1"/>
  <c r="G49" i="7"/>
  <c r="E49" i="7"/>
  <c r="G48" i="7"/>
  <c r="E48" i="7"/>
  <c r="G47" i="7"/>
  <c r="E47" i="7"/>
  <c r="G46" i="7"/>
  <c r="E46" i="7"/>
  <c r="E45" i="7"/>
  <c r="G45" i="7" s="1"/>
  <c r="E44" i="7"/>
  <c r="G44" i="7" s="1"/>
  <c r="AF42" i="7"/>
  <c r="V42" i="7"/>
  <c r="E42" i="7"/>
  <c r="AF41" i="7"/>
  <c r="E41" i="7" s="1"/>
  <c r="E39" i="7"/>
  <c r="E38" i="7"/>
  <c r="E37" i="7"/>
  <c r="E36" i="7"/>
  <c r="E35" i="7"/>
  <c r="BD33" i="7"/>
  <c r="E33" i="7" s="1"/>
  <c r="BD32" i="7"/>
  <c r="AZ32" i="7"/>
  <c r="E32" i="7" s="1"/>
  <c r="BD31" i="7"/>
  <c r="E31" i="7"/>
  <c r="BD30" i="7"/>
  <c r="E30" i="7" s="1"/>
  <c r="BD29" i="7"/>
  <c r="E29" i="7" s="1"/>
  <c r="AF27" i="7"/>
  <c r="AE27" i="7"/>
  <c r="AD27" i="7"/>
  <c r="AC27" i="7"/>
  <c r="AB27" i="7"/>
  <c r="AA27" i="7"/>
  <c r="Z27" i="7"/>
  <c r="Y27" i="7"/>
  <c r="B27" i="7"/>
  <c r="AF26" i="7"/>
  <c r="AE26" i="7"/>
  <c r="AD26" i="7"/>
  <c r="AC26" i="7"/>
  <c r="AB26" i="7"/>
  <c r="AA26" i="7"/>
  <c r="Z26" i="7"/>
  <c r="Y26" i="7"/>
  <c r="E26" i="7" s="1"/>
  <c r="B19" i="7" s="1"/>
  <c r="B26" i="7"/>
  <c r="AF25" i="7"/>
  <c r="AE25" i="7"/>
  <c r="AD25" i="7"/>
  <c r="E25" i="7" s="1"/>
  <c r="B18" i="7" s="1"/>
  <c r="AC25" i="7"/>
  <c r="AB25" i="7"/>
  <c r="Z25" i="7"/>
  <c r="Y25" i="7"/>
  <c r="B25" i="7"/>
  <c r="AF24" i="7"/>
  <c r="AE24" i="7"/>
  <c r="AD24" i="7"/>
  <c r="AC24" i="7"/>
  <c r="AB24" i="7"/>
  <c r="AA24" i="7"/>
  <c r="Z24" i="7"/>
  <c r="E24" i="7" s="1"/>
  <c r="B17" i="7" s="1"/>
  <c r="Y24" i="7"/>
  <c r="B24" i="7"/>
  <c r="AF23" i="7"/>
  <c r="AE23" i="7"/>
  <c r="AD23" i="7"/>
  <c r="AC23" i="7"/>
  <c r="AB23" i="7"/>
  <c r="AA23" i="7"/>
  <c r="Z23" i="7"/>
  <c r="Y23" i="7"/>
  <c r="B23" i="7"/>
  <c r="AF22" i="7"/>
  <c r="AE22" i="7"/>
  <c r="AD22" i="7"/>
  <c r="AC22" i="7"/>
  <c r="AB22" i="7"/>
  <c r="AA22" i="7"/>
  <c r="Z22" i="7"/>
  <c r="Y22" i="7"/>
  <c r="B22" i="7"/>
  <c r="E11" i="7"/>
  <c r="G258" i="6"/>
  <c r="G257" i="6"/>
  <c r="G256" i="6"/>
  <c r="G255" i="6"/>
  <c r="G254" i="6"/>
  <c r="G253" i="6"/>
  <c r="G252" i="6"/>
  <c r="G251" i="6"/>
  <c r="G250" i="6"/>
  <c r="G249" i="6"/>
  <c r="G248" i="6"/>
  <c r="G247" i="6"/>
  <c r="G246" i="6"/>
  <c r="G245" i="6"/>
  <c r="G244" i="6"/>
  <c r="G243" i="6"/>
  <c r="G242" i="6"/>
  <c r="G241" i="6"/>
  <c r="G240" i="6"/>
  <c r="G239" i="6"/>
  <c r="G238" i="6"/>
  <c r="G237" i="6"/>
  <c r="G236" i="6"/>
  <c r="G235" i="6"/>
  <c r="G234" i="6"/>
  <c r="G233" i="6"/>
  <c r="G232" i="6"/>
  <c r="G231" i="6"/>
  <c r="G230" i="6"/>
  <c r="N228" i="6"/>
  <c r="E228" i="6" s="1"/>
  <c r="N227" i="6"/>
  <c r="G227" i="6"/>
  <c r="E227" i="6"/>
  <c r="E267" i="7" s="1"/>
  <c r="L226" i="6"/>
  <c r="K226" i="6"/>
  <c r="N225" i="6"/>
  <c r="E225" i="6" s="1"/>
  <c r="L225" i="6"/>
  <c r="K225" i="6" s="1"/>
  <c r="L223" i="6"/>
  <c r="O225" i="6" s="1"/>
  <c r="L222" i="6"/>
  <c r="O224" i="6" s="1"/>
  <c r="N224" i="6" s="1"/>
  <c r="E224" i="6" s="1"/>
  <c r="G224" i="6" s="1"/>
  <c r="K211" i="6"/>
  <c r="N210" i="6"/>
  <c r="E210" i="6" s="1"/>
  <c r="G210" i="6"/>
  <c r="N209" i="6"/>
  <c r="E209" i="6"/>
  <c r="L208" i="6"/>
  <c r="K208" i="6" s="1"/>
  <c r="L207" i="6"/>
  <c r="K207" i="6" s="1"/>
  <c r="G207" i="6"/>
  <c r="L205" i="6"/>
  <c r="O207" i="6" s="1"/>
  <c r="N207" i="6" s="1"/>
  <c r="E207" i="6" s="1"/>
  <c r="E247" i="7" s="1"/>
  <c r="L204" i="6"/>
  <c r="K199" i="6"/>
  <c r="K193" i="6"/>
  <c r="N192" i="6"/>
  <c r="E192" i="6"/>
  <c r="G192" i="6" s="1"/>
  <c r="N191" i="6"/>
  <c r="E191" i="6"/>
  <c r="O190" i="6"/>
  <c r="N190" i="6" s="1"/>
  <c r="E190" i="6" s="1"/>
  <c r="L190" i="6"/>
  <c r="K190" i="6" s="1"/>
  <c r="O189" i="6"/>
  <c r="N189" i="6" s="1"/>
  <c r="L189" i="6"/>
  <c r="K189" i="6" s="1"/>
  <c r="E189" i="6"/>
  <c r="O188" i="6"/>
  <c r="N188" i="6"/>
  <c r="E188" i="6" s="1"/>
  <c r="E228" i="7" s="1"/>
  <c r="L187" i="6"/>
  <c r="L186" i="6"/>
  <c r="K175" i="6"/>
  <c r="N174" i="6"/>
  <c r="E174" i="6" s="1"/>
  <c r="N173" i="6"/>
  <c r="E173" i="6" s="1"/>
  <c r="E213" i="7" s="1"/>
  <c r="L172" i="6"/>
  <c r="K172" i="6" s="1"/>
  <c r="N171" i="6"/>
  <c r="L171" i="6"/>
  <c r="K171" i="6" s="1"/>
  <c r="E171" i="6"/>
  <c r="E211" i="7" s="1"/>
  <c r="L169" i="6"/>
  <c r="O171" i="6" s="1"/>
  <c r="L168" i="6"/>
  <c r="O172" i="6" s="1"/>
  <c r="N172" i="6" s="1"/>
  <c r="E172" i="6" s="1"/>
  <c r="L160" i="6"/>
  <c r="O160" i="6" s="1"/>
  <c r="N160" i="6" s="1"/>
  <c r="E160" i="6" s="1"/>
  <c r="K157" i="6"/>
  <c r="G157" i="6"/>
  <c r="G156" i="6"/>
  <c r="G155" i="6"/>
  <c r="G154" i="6"/>
  <c r="G153" i="6"/>
  <c r="G152" i="6"/>
  <c r="E151" i="6"/>
  <c r="G151" i="6" s="1"/>
  <c r="G148" i="6"/>
  <c r="G147" i="6"/>
  <c r="G146" i="6"/>
  <c r="W145" i="6"/>
  <c r="O145" i="6" s="1"/>
  <c r="E145" i="6" s="1"/>
  <c r="N145" i="6"/>
  <c r="G144" i="6"/>
  <c r="M143" i="6"/>
  <c r="L143" i="6"/>
  <c r="E143" i="6" s="1"/>
  <c r="K143" i="6"/>
  <c r="J143" i="6"/>
  <c r="M142" i="6"/>
  <c r="L142" i="6"/>
  <c r="E142" i="6" s="1"/>
  <c r="K142" i="6"/>
  <c r="J142" i="6"/>
  <c r="O141" i="6"/>
  <c r="K200" i="6" s="1"/>
  <c r="M141" i="6"/>
  <c r="L141" i="6"/>
  <c r="E141" i="6" s="1"/>
  <c r="K141" i="6"/>
  <c r="J141" i="6"/>
  <c r="M140" i="6"/>
  <c r="L140" i="6"/>
  <c r="K140" i="6"/>
  <c r="J140" i="6"/>
  <c r="E140" i="6"/>
  <c r="E180" i="7" s="1"/>
  <c r="L139" i="6"/>
  <c r="E139" i="6" s="1"/>
  <c r="K139" i="6"/>
  <c r="M139" i="6" s="1"/>
  <c r="J139" i="6"/>
  <c r="K138" i="6"/>
  <c r="M138" i="6" s="1"/>
  <c r="J138" i="6"/>
  <c r="L138" i="6" s="1"/>
  <c r="E138" i="6" s="1"/>
  <c r="AI137" i="6"/>
  <c r="K68" i="6" s="1"/>
  <c r="N137" i="6"/>
  <c r="K137" i="6"/>
  <c r="M137" i="6" s="1"/>
  <c r="J137" i="6"/>
  <c r="L137" i="6" s="1"/>
  <c r="G136" i="6"/>
  <c r="Q135" i="6"/>
  <c r="P135" i="6"/>
  <c r="O135" i="6"/>
  <c r="N135" i="6"/>
  <c r="G134" i="6"/>
  <c r="G133" i="6"/>
  <c r="G132" i="6"/>
  <c r="E130" i="6"/>
  <c r="E170" i="7" s="1"/>
  <c r="G129" i="6"/>
  <c r="G128" i="6"/>
  <c r="G127" i="6"/>
  <c r="G126" i="6"/>
  <c r="G125" i="6"/>
  <c r="G124" i="6"/>
  <c r="G123" i="6"/>
  <c r="G122" i="6"/>
  <c r="K121" i="6"/>
  <c r="E121" i="6"/>
  <c r="G121" i="6" s="1"/>
  <c r="K120" i="6"/>
  <c r="E120" i="6"/>
  <c r="E160" i="7" s="1"/>
  <c r="K119" i="6"/>
  <c r="G119" i="6"/>
  <c r="E119" i="6"/>
  <c r="E159" i="7" s="1"/>
  <c r="K118" i="6"/>
  <c r="E118" i="6"/>
  <c r="G118" i="6" s="1"/>
  <c r="K117" i="6"/>
  <c r="G117" i="6"/>
  <c r="E117" i="6"/>
  <c r="E157" i="7" s="1"/>
  <c r="G116" i="6"/>
  <c r="G115" i="6"/>
  <c r="G114" i="6"/>
  <c r="G113" i="6"/>
  <c r="G112" i="6"/>
  <c r="K111" i="6"/>
  <c r="E111" i="6"/>
  <c r="E151" i="7" s="1"/>
  <c r="K110" i="6"/>
  <c r="E110" i="6"/>
  <c r="K109" i="6"/>
  <c r="E109" i="6"/>
  <c r="K108" i="6"/>
  <c r="E108" i="6"/>
  <c r="E148" i="7" s="1"/>
  <c r="K107" i="6"/>
  <c r="E107" i="6"/>
  <c r="K106" i="6"/>
  <c r="E106" i="6"/>
  <c r="E146" i="7" s="1"/>
  <c r="K105" i="6"/>
  <c r="G105" i="6"/>
  <c r="E105" i="6"/>
  <c r="K104" i="6"/>
  <c r="E104" i="6"/>
  <c r="G104" i="6" s="1"/>
  <c r="K103" i="6"/>
  <c r="E103" i="6"/>
  <c r="E143" i="7" s="1"/>
  <c r="K102" i="6"/>
  <c r="G102" i="6"/>
  <c r="E102" i="6"/>
  <c r="E142" i="7" s="1"/>
  <c r="K101" i="6"/>
  <c r="G101" i="6"/>
  <c r="E101" i="6"/>
  <c r="E141" i="7" s="1"/>
  <c r="K100" i="6"/>
  <c r="G100" i="6"/>
  <c r="E100" i="6"/>
  <c r="E140" i="7" s="1"/>
  <c r="K99" i="6"/>
  <c r="G99" i="6"/>
  <c r="E99" i="6"/>
  <c r="E139" i="7" s="1"/>
  <c r="G98" i="6"/>
  <c r="G97" i="6"/>
  <c r="G96" i="6"/>
  <c r="G95" i="6"/>
  <c r="G94" i="6"/>
  <c r="N92" i="6"/>
  <c r="E92" i="6"/>
  <c r="E132" i="7" s="1"/>
  <c r="N91" i="6"/>
  <c r="E91" i="6" s="1"/>
  <c r="E131" i="7" s="1"/>
  <c r="L90" i="6"/>
  <c r="K90" i="6" s="1"/>
  <c r="N89" i="6"/>
  <c r="E89" i="6" s="1"/>
  <c r="L89" i="6"/>
  <c r="K89" i="6" s="1"/>
  <c r="L87" i="6"/>
  <c r="O89" i="6" s="1"/>
  <c r="L86" i="6"/>
  <c r="O90" i="6" s="1"/>
  <c r="N90" i="6" s="1"/>
  <c r="E90" i="6" s="1"/>
  <c r="K85" i="6"/>
  <c r="K83" i="6"/>
  <c r="K82" i="6"/>
  <c r="K79" i="6"/>
  <c r="K78" i="6"/>
  <c r="K77" i="6"/>
  <c r="K75" i="6"/>
  <c r="N74" i="6"/>
  <c r="E74" i="6" s="1"/>
  <c r="E114" i="7" s="1"/>
  <c r="G74" i="6"/>
  <c r="N73" i="6"/>
  <c r="E73" i="6"/>
  <c r="G73" i="6" s="1"/>
  <c r="L72" i="6"/>
  <c r="K72" i="6"/>
  <c r="O71" i="6"/>
  <c r="N71" i="6"/>
  <c r="E71" i="6" s="1"/>
  <c r="E111" i="7" s="1"/>
  <c r="L71" i="6"/>
  <c r="K71" i="6" s="1"/>
  <c r="L69" i="6"/>
  <c r="K69" i="6"/>
  <c r="L68" i="6"/>
  <c r="O70" i="6" s="1"/>
  <c r="N70" i="6" s="1"/>
  <c r="E70" i="6" s="1"/>
  <c r="K57"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L26" i="6"/>
  <c r="E26" i="6" s="1"/>
  <c r="E66" i="7" s="1"/>
  <c r="K26" i="6"/>
  <c r="G26" i="6"/>
  <c r="L25" i="6"/>
  <c r="K25" i="6"/>
  <c r="E25" i="6"/>
  <c r="E65" i="7" s="1"/>
  <c r="G24" i="6"/>
  <c r="G23" i="6"/>
  <c r="G22" i="6"/>
  <c r="K21" i="6"/>
  <c r="E21" i="6"/>
  <c r="E61" i="7" s="1"/>
  <c r="K20" i="6"/>
  <c r="G20" i="6"/>
  <c r="E20" i="6"/>
  <c r="E60" i="7" s="1"/>
  <c r="K19" i="6"/>
  <c r="G19" i="6"/>
  <c r="E19" i="6"/>
  <c r="E59" i="7" s="1"/>
  <c r="K18" i="6"/>
  <c r="E18" i="6"/>
  <c r="E58" i="7" s="1"/>
  <c r="K17" i="6"/>
  <c r="G17" i="6"/>
  <c r="E17" i="6"/>
  <c r="E57" i="7" s="1"/>
  <c r="K16" i="6"/>
  <c r="G16" i="6"/>
  <c r="E16" i="6"/>
  <c r="E56" i="7" s="1"/>
  <c r="K15" i="6"/>
  <c r="E15" i="6"/>
  <c r="E55" i="7" s="1"/>
  <c r="K14" i="6"/>
  <c r="E14" i="6"/>
  <c r="E54" i="7" s="1"/>
  <c r="J11" i="6"/>
  <c r="K11" i="6" s="1"/>
  <c r="G11" i="6"/>
  <c r="J10" i="6"/>
  <c r="K10" i="6" s="1"/>
  <c r="E13" i="6" s="1"/>
  <c r="G10" i="6"/>
  <c r="G9" i="6"/>
  <c r="J8" i="6"/>
  <c r="J9" i="6" s="1"/>
  <c r="K9" i="6" s="1"/>
  <c r="G8" i="6"/>
  <c r="G7" i="6"/>
  <c r="G6" i="6"/>
  <c r="G5" i="6"/>
  <c r="G4" i="6"/>
  <c r="C217" i="5"/>
  <c r="C216" i="5"/>
  <c r="C218" i="5" s="1"/>
  <c r="D214" i="5"/>
  <c r="C214" i="5"/>
  <c r="D213" i="5"/>
  <c r="C213" i="5"/>
  <c r="D212" i="5"/>
  <c r="C212" i="5"/>
  <c r="D211" i="5"/>
  <c r="C211" i="5"/>
  <c r="D210" i="5"/>
  <c r="C210" i="5" s="1"/>
  <c r="D209" i="5"/>
  <c r="C209" i="5"/>
  <c r="D208" i="5"/>
  <c r="C208" i="5" s="1"/>
  <c r="D207" i="5"/>
  <c r="C207" i="5"/>
  <c r="C203" i="5"/>
  <c r="C202" i="5"/>
  <c r="D197" i="5"/>
  <c r="C197" i="5" s="1"/>
  <c r="D196" i="5"/>
  <c r="C196" i="5"/>
  <c r="D195" i="5"/>
  <c r="C195" i="5"/>
  <c r="S194" i="5"/>
  <c r="D194" i="5"/>
  <c r="C194" i="5" s="1"/>
  <c r="D185" i="5"/>
  <c r="C185" i="5" s="1"/>
  <c r="C181" i="5"/>
  <c r="T177" i="5"/>
  <c r="F177" i="5"/>
  <c r="E177" i="5"/>
  <c r="D177" i="5" s="1"/>
  <c r="C177" i="5" s="1"/>
  <c r="C175" i="5"/>
  <c r="E753" i="7" s="1"/>
  <c r="C174" i="5"/>
  <c r="E120" i="8" s="1"/>
  <c r="D171" i="5"/>
  <c r="C171" i="5"/>
  <c r="E487" i="7" s="1"/>
  <c r="D170" i="5"/>
  <c r="C170" i="5" s="1"/>
  <c r="D168" i="5"/>
  <c r="C168" i="5" s="1"/>
  <c r="D167" i="5"/>
  <c r="C167" i="5"/>
  <c r="D166" i="5"/>
  <c r="C166" i="5" s="1"/>
  <c r="D165" i="5"/>
  <c r="C165" i="5" s="1"/>
  <c r="D164" i="5"/>
  <c r="C164" i="5" s="1"/>
  <c r="E53" i="9" s="1"/>
  <c r="D163" i="5"/>
  <c r="C163" i="5" s="1"/>
  <c r="D162" i="5"/>
  <c r="C162" i="5"/>
  <c r="E53" i="8" s="1"/>
  <c r="T158" i="5"/>
  <c r="M158" i="5"/>
  <c r="D158" i="5" s="1"/>
  <c r="C158" i="5" s="1"/>
  <c r="D153" i="5"/>
  <c r="C153" i="5"/>
  <c r="D151" i="5"/>
  <c r="C151" i="5" s="1"/>
  <c r="D146" i="5"/>
  <c r="C146" i="5" s="1"/>
  <c r="D145" i="5"/>
  <c r="C145" i="5"/>
  <c r="D143" i="5"/>
  <c r="C143" i="5" s="1"/>
  <c r="D142" i="5"/>
  <c r="C142" i="5" s="1"/>
  <c r="D141" i="5"/>
  <c r="C141" i="5" s="1"/>
  <c r="D140" i="5"/>
  <c r="C140" i="5"/>
  <c r="D139" i="5"/>
  <c r="C139" i="5" s="1"/>
  <c r="D138" i="5"/>
  <c r="C138" i="5"/>
  <c r="D137" i="5"/>
  <c r="C137" i="5" s="1"/>
  <c r="T133" i="5"/>
  <c r="M133" i="5"/>
  <c r="D133" i="5"/>
  <c r="C133" i="5" s="1"/>
  <c r="D128" i="5"/>
  <c r="C128" i="5"/>
  <c r="D126" i="5"/>
  <c r="C126" i="5"/>
  <c r="D122" i="5"/>
  <c r="C122" i="5"/>
  <c r="T121" i="5"/>
  <c r="R121" i="5"/>
  <c r="D121" i="5"/>
  <c r="C121" i="5"/>
  <c r="T120" i="5"/>
  <c r="R120" i="5"/>
  <c r="D120" i="5"/>
  <c r="E10" i="8" s="1"/>
  <c r="C120" i="5"/>
  <c r="E12" i="7" s="1"/>
  <c r="R119" i="5"/>
  <c r="Q119" i="5"/>
  <c r="O119" i="5"/>
  <c r="N119" i="5"/>
  <c r="L119" i="5"/>
  <c r="K119" i="5"/>
  <c r="J119" i="5"/>
  <c r="H119" i="5"/>
  <c r="F119" i="5"/>
  <c r="R118" i="5"/>
  <c r="N118" i="5"/>
  <c r="D118" i="5"/>
  <c r="C118" i="5"/>
  <c r="E8" i="9" s="1"/>
  <c r="O113" i="5"/>
  <c r="C113" i="5"/>
  <c r="Q105" i="5"/>
  <c r="E105" i="5"/>
  <c r="Q97" i="5"/>
  <c r="E97" i="5"/>
  <c r="E95" i="5"/>
  <c r="E93" i="5"/>
  <c r="U83" i="5"/>
  <c r="Q83" i="5" s="1"/>
  <c r="O83" i="5"/>
  <c r="I83" i="5"/>
  <c r="E83" i="5"/>
  <c r="P80" i="5"/>
  <c r="Q93" i="5" s="1"/>
  <c r="P79" i="5"/>
  <c r="D79" i="5"/>
  <c r="L78" i="5"/>
  <c r="E78" i="5"/>
  <c r="Q78" i="5" s="1"/>
  <c r="D152" i="5" s="1"/>
  <c r="C152" i="5" s="1"/>
  <c r="W77" i="5"/>
  <c r="K77" i="5"/>
  <c r="V76" i="5"/>
  <c r="J76" i="5"/>
  <c r="U73" i="5"/>
  <c r="Q73" i="5"/>
  <c r="I73" i="5"/>
  <c r="E74" i="5" s="1"/>
  <c r="U72" i="5"/>
  <c r="Q72" i="5"/>
  <c r="O72" i="5"/>
  <c r="I72" i="5"/>
  <c r="E72" i="5"/>
  <c r="P64" i="5"/>
  <c r="D64" i="5"/>
  <c r="P63" i="5"/>
  <c r="D63" i="5"/>
  <c r="Q62" i="5"/>
  <c r="D160" i="5" s="1"/>
  <c r="C160" i="5" s="1"/>
  <c r="P62" i="5"/>
  <c r="D159" i="5" s="1"/>
  <c r="C159" i="5" s="1"/>
  <c r="Q59" i="5"/>
  <c r="P59" i="5"/>
  <c r="E59" i="5"/>
  <c r="D59" i="5"/>
  <c r="B52" i="5"/>
  <c r="B53" i="5" s="1"/>
  <c r="B51" i="5"/>
  <c r="B50" i="5"/>
  <c r="B49" i="5"/>
  <c r="B48" i="5"/>
  <c r="G47" i="5"/>
  <c r="F47" i="5"/>
  <c r="T119" i="5" s="1"/>
  <c r="E47" i="5"/>
  <c r="D184" i="5" s="1"/>
  <c r="C184" i="5" s="1"/>
  <c r="B47" i="5"/>
  <c r="B46" i="5"/>
  <c r="J43" i="5"/>
  <c r="C182" i="5" s="1"/>
  <c r="E757" i="7" s="1"/>
  <c r="I43" i="5"/>
  <c r="G43" i="5"/>
  <c r="E43" i="5"/>
  <c r="N25" i="5"/>
  <c r="BB22" i="5"/>
  <c r="BA22" i="5"/>
  <c r="M21" i="5"/>
  <c r="L88" i="6" s="1"/>
  <c r="K88" i="6" s="1"/>
  <c r="BC20" i="5"/>
  <c r="BD20" i="5" s="1"/>
  <c r="J20" i="5"/>
  <c r="J22" i="5" s="1"/>
  <c r="F20" i="5"/>
  <c r="L60" i="6" s="1"/>
  <c r="O60" i="6" s="1"/>
  <c r="N60" i="6" s="1"/>
  <c r="E60" i="6" s="1"/>
  <c r="BC10" i="5"/>
  <c r="O143" i="6" s="1"/>
  <c r="BB10" i="5"/>
  <c r="N143" i="6" s="1"/>
  <c r="BA10" i="5"/>
  <c r="AI143" i="6" s="1"/>
  <c r="AH10" i="5"/>
  <c r="AH9" i="5" s="1"/>
  <c r="AF10" i="5"/>
  <c r="AF9" i="5" s="1"/>
  <c r="K10" i="5"/>
  <c r="K20" i="5" s="1"/>
  <c r="J10" i="5"/>
  <c r="I10" i="5"/>
  <c r="I20" i="5" s="1"/>
  <c r="I22" i="5" s="1"/>
  <c r="H10" i="5"/>
  <c r="H20" i="5" s="1"/>
  <c r="G10" i="5"/>
  <c r="G20" i="5" s="1"/>
  <c r="F10" i="5"/>
  <c r="E10" i="5"/>
  <c r="E20" i="5" s="1"/>
  <c r="D10" i="5"/>
  <c r="D20" i="5" s="1"/>
  <c r="C10" i="5"/>
  <c r="C20" i="5" s="1"/>
  <c r="BC9" i="5"/>
  <c r="O142" i="6" s="1"/>
  <c r="BB9" i="5"/>
  <c r="N142" i="6" s="1"/>
  <c r="BA9" i="5"/>
  <c r="AI142" i="6" s="1"/>
  <c r="AD9" i="5"/>
  <c r="AB9" i="5"/>
  <c r="Z9" i="5"/>
  <c r="BC8" i="5"/>
  <c r="BB8" i="5"/>
  <c r="N141" i="6" s="1"/>
  <c r="BA8" i="5"/>
  <c r="AI141" i="6" s="1"/>
  <c r="BC7" i="5"/>
  <c r="O140" i="6" s="1"/>
  <c r="BB7" i="5"/>
  <c r="N140" i="6" s="1"/>
  <c r="BA7" i="5"/>
  <c r="AI140" i="6" s="1"/>
  <c r="AJ7" i="5"/>
  <c r="AD7" i="5"/>
  <c r="BC6" i="5"/>
  <c r="O139" i="6" s="1"/>
  <c r="BB6" i="5"/>
  <c r="N139" i="6" s="1"/>
  <c r="BA6" i="5"/>
  <c r="BA11" i="5" s="1"/>
  <c r="AJ6" i="5"/>
  <c r="AH6" i="5"/>
  <c r="AF6" i="5"/>
  <c r="AJ5" i="5"/>
  <c r="AH5" i="5"/>
  <c r="AF5" i="5"/>
  <c r="AD5" i="5"/>
  <c r="AB5" i="5"/>
  <c r="Z5" i="5"/>
  <c r="X5" i="5"/>
  <c r="S5" i="5"/>
  <c r="BM4" i="5"/>
  <c r="BL4" i="5"/>
  <c r="BK4" i="5"/>
  <c r="BE4" i="5" s="1"/>
  <c r="E150" i="6" s="1"/>
  <c r="BC4" i="5"/>
  <c r="O138" i="6" s="1"/>
  <c r="K80" i="6" s="1"/>
  <c r="BB4" i="5"/>
  <c r="N138" i="6" s="1"/>
  <c r="BA4" i="5"/>
  <c r="AI138" i="6" s="1"/>
  <c r="AH4" i="5"/>
  <c r="AH3" i="5" s="1"/>
  <c r="BM3" i="5"/>
  <c r="BL3" i="5"/>
  <c r="BK3" i="5"/>
  <c r="BJ3" i="5"/>
  <c r="BI3" i="5"/>
  <c r="BH3" i="5"/>
  <c r="BG3" i="5"/>
  <c r="BF3" i="5"/>
  <c r="BE3" i="5"/>
  <c r="E149" i="6" s="1"/>
  <c r="BC3" i="5"/>
  <c r="O137" i="6" s="1"/>
  <c r="BB3" i="5"/>
  <c r="BA3" i="5"/>
  <c r="AD3" i="5"/>
  <c r="Z3" i="5"/>
  <c r="L62" i="6" l="1"/>
  <c r="L216" i="6"/>
  <c r="E118" i="9"/>
  <c r="E117" i="9"/>
  <c r="K91" i="6"/>
  <c r="O93" i="6" s="1"/>
  <c r="N93" i="6" s="1"/>
  <c r="E93" i="6" s="1"/>
  <c r="G93" i="6" s="1"/>
  <c r="D178" i="5"/>
  <c r="C178" i="5" s="1"/>
  <c r="E755" i="7" s="1"/>
  <c r="E106" i="9"/>
  <c r="E431" i="7"/>
  <c r="E108" i="8"/>
  <c r="E178" i="7"/>
  <c r="G138" i="6"/>
  <c r="E190" i="7"/>
  <c r="G150" i="6"/>
  <c r="K165" i="6"/>
  <c r="K162" i="6"/>
  <c r="K163" i="6"/>
  <c r="K159" i="6"/>
  <c r="K166" i="6"/>
  <c r="K167" i="6"/>
  <c r="K160" i="6"/>
  <c r="K161" i="6"/>
  <c r="K164" i="6"/>
  <c r="L179" i="6"/>
  <c r="L215" i="6"/>
  <c r="D200" i="5"/>
  <c r="C200" i="5" s="1"/>
  <c r="L79" i="6"/>
  <c r="D22" i="5"/>
  <c r="C198" i="5"/>
  <c r="N20" i="5"/>
  <c r="L197" i="6"/>
  <c r="L61" i="6"/>
  <c r="D23" i="5"/>
  <c r="L161" i="6"/>
  <c r="D204" i="5"/>
  <c r="C204" i="5" s="1"/>
  <c r="G89" i="6"/>
  <c r="E129" i="7"/>
  <c r="J75" i="5"/>
  <c r="Q74" i="5"/>
  <c r="V75" i="5" s="1"/>
  <c r="I77" i="5"/>
  <c r="E56" i="8"/>
  <c r="E481" i="7"/>
  <c r="E54" i="9"/>
  <c r="E383" i="9"/>
  <c r="E127" i="8"/>
  <c r="E761" i="7"/>
  <c r="L219" i="6"/>
  <c r="L65" i="6"/>
  <c r="C199" i="5"/>
  <c r="L201" i="6"/>
  <c r="D205" i="5"/>
  <c r="C205" i="5" s="1"/>
  <c r="D201" i="5"/>
  <c r="C201" i="5" s="1"/>
  <c r="L83" i="6"/>
  <c r="L165" i="6"/>
  <c r="L183" i="6"/>
  <c r="H22" i="5"/>
  <c r="E179" i="7"/>
  <c r="G139" i="6"/>
  <c r="K187" i="6"/>
  <c r="K186" i="6"/>
  <c r="E111" i="9"/>
  <c r="E436" i="7"/>
  <c r="E113" i="8"/>
  <c r="E183" i="7"/>
  <c r="G143" i="6"/>
  <c r="G160" i="6"/>
  <c r="E200" i="7"/>
  <c r="E754" i="7"/>
  <c r="E377" i="9"/>
  <c r="E121" i="8"/>
  <c r="E189" i="7"/>
  <c r="G149" i="6"/>
  <c r="B386" i="7"/>
  <c r="B385" i="7"/>
  <c r="B388" i="7"/>
  <c r="C188" i="5"/>
  <c r="E385" i="7" s="1"/>
  <c r="C191" i="5"/>
  <c r="E388" i="7" s="1"/>
  <c r="K205" i="6"/>
  <c r="K204" i="6"/>
  <c r="E212" i="7"/>
  <c r="G172" i="6"/>
  <c r="L217" i="6"/>
  <c r="L199" i="6"/>
  <c r="L163" i="6"/>
  <c r="G23" i="5"/>
  <c r="L181" i="6"/>
  <c r="L81" i="6"/>
  <c r="L63" i="6"/>
  <c r="G22" i="5"/>
  <c r="K185" i="6"/>
  <c r="K177" i="6"/>
  <c r="K182" i="6"/>
  <c r="K183" i="6"/>
  <c r="K178" i="6"/>
  <c r="K179" i="6"/>
  <c r="K181" i="6"/>
  <c r="K184" i="6"/>
  <c r="K180" i="6"/>
  <c r="E91" i="9"/>
  <c r="E416" i="7"/>
  <c r="E93" i="8"/>
  <c r="K13" i="6"/>
  <c r="E12" i="6"/>
  <c r="L167" i="6"/>
  <c r="O168" i="6" s="1"/>
  <c r="N168" i="6" s="1"/>
  <c r="E168" i="6" s="1"/>
  <c r="L85" i="6"/>
  <c r="O86" i="6" s="1"/>
  <c r="N86" i="6" s="1"/>
  <c r="E86" i="6" s="1"/>
  <c r="L221" i="6"/>
  <c r="L203" i="6"/>
  <c r="O204" i="6" s="1"/>
  <c r="N204" i="6" s="1"/>
  <c r="E204" i="6" s="1"/>
  <c r="L185" i="6"/>
  <c r="O186" i="6" s="1"/>
  <c r="N186" i="6" s="1"/>
  <c r="E186" i="6" s="1"/>
  <c r="L67" i="6"/>
  <c r="O68" i="6" s="1"/>
  <c r="N68" i="6" s="1"/>
  <c r="E68" i="6" s="1"/>
  <c r="E381" i="9"/>
  <c r="E125" i="8"/>
  <c r="E759" i="7"/>
  <c r="E402" i="9"/>
  <c r="E146" i="8"/>
  <c r="E230" i="7"/>
  <c r="G190" i="6"/>
  <c r="L159" i="6"/>
  <c r="L77" i="6"/>
  <c r="L213" i="6"/>
  <c r="L195" i="6"/>
  <c r="M20" i="5"/>
  <c r="C23" i="5"/>
  <c r="L59" i="6"/>
  <c r="L177" i="6"/>
  <c r="E104" i="8"/>
  <c r="E102" i="9"/>
  <c r="E427" i="7"/>
  <c r="E53" i="7"/>
  <c r="G13" i="6"/>
  <c r="E185" i="7"/>
  <c r="G145" i="6"/>
  <c r="E433" i="7"/>
  <c r="E110" i="8"/>
  <c r="E108" i="9"/>
  <c r="E42" i="8"/>
  <c r="E467" i="7"/>
  <c r="E40" i="9"/>
  <c r="E447" i="7"/>
  <c r="E20" i="9"/>
  <c r="E22" i="8"/>
  <c r="E61" i="8"/>
  <c r="E486" i="7"/>
  <c r="E59" i="9"/>
  <c r="E110" i="7"/>
  <c r="G70" i="6"/>
  <c r="E43" i="8"/>
  <c r="E468" i="7"/>
  <c r="E41" i="9"/>
  <c r="K222" i="6"/>
  <c r="K223" i="6"/>
  <c r="E104" i="9"/>
  <c r="E429" i="7"/>
  <c r="E106" i="8"/>
  <c r="E137" i="6"/>
  <c r="R135" i="6"/>
  <c r="E135" i="6" s="1"/>
  <c r="E181" i="7"/>
  <c r="G141" i="6"/>
  <c r="K86" i="6"/>
  <c r="K87" i="6"/>
  <c r="E23" i="5"/>
  <c r="E130" i="7"/>
  <c r="G90" i="6"/>
  <c r="G174" i="6"/>
  <c r="E214" i="7"/>
  <c r="K60" i="6"/>
  <c r="K62" i="6"/>
  <c r="K65" i="6"/>
  <c r="K59" i="6"/>
  <c r="K61" i="6"/>
  <c r="K64" i="6"/>
  <c r="K67" i="6"/>
  <c r="K63" i="6"/>
  <c r="K66" i="6"/>
  <c r="AI144" i="6"/>
  <c r="B6" i="5"/>
  <c r="K217" i="6"/>
  <c r="K214" i="6"/>
  <c r="K219" i="6"/>
  <c r="K216" i="6"/>
  <c r="K221" i="6"/>
  <c r="K213" i="6"/>
  <c r="K218" i="6"/>
  <c r="K215" i="6"/>
  <c r="K220" i="6"/>
  <c r="E100" i="7"/>
  <c r="G60" i="6"/>
  <c r="E137" i="8"/>
  <c r="E393" i="9"/>
  <c r="E432" i="7"/>
  <c r="E109" i="8"/>
  <c r="E107" i="9"/>
  <c r="E22" i="5"/>
  <c r="T62" i="5"/>
  <c r="D176" i="5"/>
  <c r="C176" i="5" s="1"/>
  <c r="E769" i="7" s="1"/>
  <c r="E389" i="9"/>
  <c r="E133" i="8"/>
  <c r="E767" i="7"/>
  <c r="L80" i="6"/>
  <c r="E150" i="7"/>
  <c r="G110" i="6"/>
  <c r="G130" i="6"/>
  <c r="E23" i="7"/>
  <c r="B16" i="7" s="1"/>
  <c r="E387" i="7"/>
  <c r="E779" i="7"/>
  <c r="F22" i="5"/>
  <c r="L66" i="6"/>
  <c r="O72" i="6"/>
  <c r="N72" i="6" s="1"/>
  <c r="E72" i="6" s="1"/>
  <c r="AI139" i="6"/>
  <c r="G188" i="6"/>
  <c r="B757" i="7"/>
  <c r="E479" i="7"/>
  <c r="E52" i="9"/>
  <c r="E54" i="8"/>
  <c r="K197" i="6"/>
  <c r="K202" i="6"/>
  <c r="K196" i="6"/>
  <c r="K201" i="6"/>
  <c r="L164" i="6"/>
  <c r="O163" i="6" s="1"/>
  <c r="N163" i="6" s="1"/>
  <c r="E163" i="6" s="1"/>
  <c r="G228" i="6"/>
  <c r="E268" i="7"/>
  <c r="E435" i="7"/>
  <c r="E112" i="8"/>
  <c r="E110" i="9"/>
  <c r="E382" i="9"/>
  <c r="E126" i="8"/>
  <c r="E760" i="7"/>
  <c r="G25" i="6"/>
  <c r="G111" i="6"/>
  <c r="G120" i="6"/>
  <c r="G140" i="6"/>
  <c r="L184" i="6"/>
  <c r="E9" i="7"/>
  <c r="E87" i="8"/>
  <c r="E55" i="8"/>
  <c r="E480" i="7"/>
  <c r="L214" i="6"/>
  <c r="O214" i="6" s="1"/>
  <c r="N214" i="6" s="1"/>
  <c r="E214" i="6" s="1"/>
  <c r="L178" i="6"/>
  <c r="O178" i="6" s="1"/>
  <c r="N178" i="6" s="1"/>
  <c r="E178" i="6" s="1"/>
  <c r="E57" i="8"/>
  <c r="E482" i="7"/>
  <c r="E55" i="9"/>
  <c r="G46" i="5"/>
  <c r="E73" i="5"/>
  <c r="Q95" i="5"/>
  <c r="E391" i="9"/>
  <c r="E135" i="8"/>
  <c r="G18" i="6"/>
  <c r="K84" i="6"/>
  <c r="G91" i="6"/>
  <c r="E249" i="7"/>
  <c r="G209" i="6"/>
  <c r="E461" i="7"/>
  <c r="E52" i="8"/>
  <c r="E399" i="9"/>
  <c r="E143" i="8"/>
  <c r="E46" i="5"/>
  <c r="D127" i="5"/>
  <c r="C127" i="5" s="1"/>
  <c r="E58" i="8"/>
  <c r="E483" i="7"/>
  <c r="E56" i="9"/>
  <c r="L70" i="6"/>
  <c r="K70" i="6" s="1"/>
  <c r="K73" i="6" s="1"/>
  <c r="O75" i="6" s="1"/>
  <c r="N75" i="6" s="1"/>
  <c r="E75" i="6" s="1"/>
  <c r="K81" i="6"/>
  <c r="E229" i="7"/>
  <c r="G189" i="6"/>
  <c r="K195" i="6"/>
  <c r="E27" i="7"/>
  <c r="B20" i="7" s="1"/>
  <c r="E314" i="7"/>
  <c r="E84" i="9"/>
  <c r="E388" i="9"/>
  <c r="E132" i="8"/>
  <c r="E766" i="7"/>
  <c r="G171" i="6"/>
  <c r="E74" i="8"/>
  <c r="E72" i="9"/>
  <c r="E397" i="7"/>
  <c r="E378" i="9"/>
  <c r="E122" i="8"/>
  <c r="E392" i="9"/>
  <c r="E136" i="8"/>
  <c r="E182" i="7"/>
  <c r="G142" i="6"/>
  <c r="K203" i="6"/>
  <c r="E101" i="8"/>
  <c r="L220" i="6"/>
  <c r="L202" i="6"/>
  <c r="L166" i="6"/>
  <c r="L84" i="6"/>
  <c r="L200" i="6"/>
  <c r="O199" i="6" s="1"/>
  <c r="N199" i="6" s="1"/>
  <c r="E199" i="6" s="1"/>
  <c r="L218" i="6"/>
  <c r="O217" i="6" s="1"/>
  <c r="N217" i="6" s="1"/>
  <c r="E217" i="6" s="1"/>
  <c r="L64" i="6"/>
  <c r="O63" i="6" s="1"/>
  <c r="N63" i="6" s="1"/>
  <c r="E63" i="6" s="1"/>
  <c r="E105" i="8"/>
  <c r="E103" i="9"/>
  <c r="E428" i="7"/>
  <c r="E756" i="7"/>
  <c r="E379" i="9"/>
  <c r="E123" i="8"/>
  <c r="G71" i="6"/>
  <c r="L78" i="6"/>
  <c r="O78" i="6" s="1"/>
  <c r="N78" i="6" s="1"/>
  <c r="E78" i="6" s="1"/>
  <c r="G106" i="6"/>
  <c r="L196" i="6"/>
  <c r="O196" i="6" s="1"/>
  <c r="N196" i="6" s="1"/>
  <c r="E196" i="6" s="1"/>
  <c r="E22" i="7"/>
  <c r="B15" i="7" s="1"/>
  <c r="E399" i="7"/>
  <c r="L188" i="6"/>
  <c r="K188" i="6" s="1"/>
  <c r="K191" i="6" s="1"/>
  <c r="O193" i="6" s="1"/>
  <c r="N193" i="6" s="1"/>
  <c r="E193" i="6" s="1"/>
  <c r="B753" i="7"/>
  <c r="L206" i="6"/>
  <c r="K206" i="6" s="1"/>
  <c r="K209" i="6" s="1"/>
  <c r="O211" i="6" s="1"/>
  <c r="N211" i="6" s="1"/>
  <c r="E211" i="6" s="1"/>
  <c r="E59" i="8"/>
  <c r="E484" i="7"/>
  <c r="E57" i="9"/>
  <c r="E128" i="8"/>
  <c r="E762" i="7"/>
  <c r="E384" i="9"/>
  <c r="G14" i="6"/>
  <c r="G92" i="6"/>
  <c r="L162" i="6"/>
  <c r="G173" i="6"/>
  <c r="O206" i="6"/>
  <c r="N206" i="6" s="1"/>
  <c r="E206" i="6" s="1"/>
  <c r="O208" i="6"/>
  <c r="N208" i="6" s="1"/>
  <c r="E208" i="6" s="1"/>
  <c r="E475" i="7"/>
  <c r="E50" i="8"/>
  <c r="H47" i="5"/>
  <c r="H62" i="5"/>
  <c r="E129" i="8"/>
  <c r="E763" i="7"/>
  <c r="E385" i="9"/>
  <c r="O88" i="6"/>
  <c r="N88" i="6" s="1"/>
  <c r="E88" i="6" s="1"/>
  <c r="E147" i="7"/>
  <c r="G107" i="6"/>
  <c r="L224" i="6"/>
  <c r="K224" i="6" s="1"/>
  <c r="K227" i="6" s="1"/>
  <c r="O229" i="6" s="1"/>
  <c r="N229" i="6" s="1"/>
  <c r="E229" i="6" s="1"/>
  <c r="E151" i="8"/>
  <c r="E149" i="7"/>
  <c r="G109" i="6"/>
  <c r="E11" i="9"/>
  <c r="E782" i="7"/>
  <c r="E13" i="8"/>
  <c r="L182" i="6"/>
  <c r="O181" i="6" s="1"/>
  <c r="N181" i="6" s="1"/>
  <c r="E181" i="6" s="1"/>
  <c r="E398" i="9"/>
  <c r="E142" i="8"/>
  <c r="E764" i="7"/>
  <c r="E386" i="9"/>
  <c r="E130" i="8"/>
  <c r="E380" i="9"/>
  <c r="E124" i="8"/>
  <c r="E758" i="7"/>
  <c r="E265" i="7"/>
  <c r="G225" i="6"/>
  <c r="E438" i="7"/>
  <c r="L180" i="6"/>
  <c r="L198" i="6"/>
  <c r="E60" i="9"/>
  <c r="E62" i="8"/>
  <c r="L82" i="6"/>
  <c r="O81" i="6" s="1"/>
  <c r="N81" i="6" s="1"/>
  <c r="E81" i="6" s="1"/>
  <c r="E448" i="7"/>
  <c r="E21" i="9"/>
  <c r="E23" i="8"/>
  <c r="E478" i="7"/>
  <c r="E51" i="9"/>
  <c r="E387" i="9"/>
  <c r="E131" i="8"/>
  <c r="E765" i="7"/>
  <c r="G108" i="6"/>
  <c r="L170" i="6"/>
  <c r="K170" i="6" s="1"/>
  <c r="K173" i="6" s="1"/>
  <c r="O175" i="6" s="1"/>
  <c r="N175" i="6" s="1"/>
  <c r="E175" i="6" s="1"/>
  <c r="G191" i="6"/>
  <c r="E231" i="7"/>
  <c r="K198" i="6"/>
  <c r="E35" i="8"/>
  <c r="E112" i="9"/>
  <c r="G103" i="6"/>
  <c r="E44" i="8"/>
  <c r="E469" i="7"/>
  <c r="E42" i="9"/>
  <c r="F23" i="5"/>
  <c r="E105" i="9"/>
  <c r="E430" i="7"/>
  <c r="E107" i="8"/>
  <c r="G15" i="6"/>
  <c r="G21" i="6"/>
  <c r="O170" i="6"/>
  <c r="N170" i="6" s="1"/>
  <c r="E170" i="6" s="1"/>
  <c r="E232" i="7"/>
  <c r="E409" i="7"/>
  <c r="E785" i="7"/>
  <c r="E100" i="8"/>
  <c r="E61" i="9"/>
  <c r="E376" i="9"/>
  <c r="E158" i="7"/>
  <c r="O226" i="6"/>
  <c r="N226" i="6" s="1"/>
  <c r="E226" i="6" s="1"/>
  <c r="E191" i="7"/>
  <c r="E144" i="7"/>
  <c r="E752" i="7"/>
  <c r="E133" i="7" l="1"/>
  <c r="E175" i="7"/>
  <c r="G135" i="6"/>
  <c r="O177" i="6"/>
  <c r="N177" i="6" s="1"/>
  <c r="E177" i="6" s="1"/>
  <c r="O176" i="6"/>
  <c r="N176" i="6" s="1"/>
  <c r="E176" i="6" s="1"/>
  <c r="O219" i="6"/>
  <c r="N219" i="6" s="1"/>
  <c r="E219" i="6" s="1"/>
  <c r="O218" i="6"/>
  <c r="N218" i="6" s="1"/>
  <c r="E218" i="6" s="1"/>
  <c r="G137" i="6"/>
  <c r="E177" i="7"/>
  <c r="O58" i="6"/>
  <c r="N58" i="6" s="1"/>
  <c r="E58" i="6" s="1"/>
  <c r="O59" i="6"/>
  <c r="N59" i="6" s="1"/>
  <c r="E59" i="6" s="1"/>
  <c r="E226" i="7"/>
  <c r="G186" i="6"/>
  <c r="G88" i="6"/>
  <c r="E128" i="7"/>
  <c r="E115" i="7"/>
  <c r="G75" i="6"/>
  <c r="E244" i="7"/>
  <c r="G204" i="6"/>
  <c r="O195" i="6"/>
  <c r="N195" i="6" s="1"/>
  <c r="E195" i="6" s="1"/>
  <c r="O194" i="6"/>
  <c r="N194" i="6" s="1"/>
  <c r="E194" i="6" s="1"/>
  <c r="E126" i="7"/>
  <c r="G86" i="6"/>
  <c r="O197" i="6"/>
  <c r="N197" i="6" s="1"/>
  <c r="E197" i="6" s="1"/>
  <c r="O198" i="6"/>
  <c r="N198" i="6" s="1"/>
  <c r="E198" i="6" s="1"/>
  <c r="O203" i="6"/>
  <c r="N203" i="6" s="1"/>
  <c r="E203" i="6" s="1"/>
  <c r="O222" i="6"/>
  <c r="N222" i="6" s="1"/>
  <c r="E222" i="6" s="1"/>
  <c r="O62" i="6"/>
  <c r="N62" i="6" s="1"/>
  <c r="E62" i="6" s="1"/>
  <c r="O61" i="6"/>
  <c r="N61" i="6" s="1"/>
  <c r="E61" i="6" s="1"/>
  <c r="O67" i="6"/>
  <c r="N67" i="6" s="1"/>
  <c r="E67" i="6" s="1"/>
  <c r="E103" i="7"/>
  <c r="G63" i="6"/>
  <c r="O212" i="6"/>
  <c r="N212" i="6" s="1"/>
  <c r="E212" i="6" s="1"/>
  <c r="O213" i="6"/>
  <c r="N213" i="6" s="1"/>
  <c r="E213" i="6" s="1"/>
  <c r="E208" i="7"/>
  <c r="G168" i="6"/>
  <c r="O69" i="6"/>
  <c r="N69" i="6" s="1"/>
  <c r="E69" i="6" s="1"/>
  <c r="O66" i="6"/>
  <c r="N66" i="6" s="1"/>
  <c r="E66" i="6" s="1"/>
  <c r="G226" i="6"/>
  <c r="E266" i="7"/>
  <c r="G211" i="6"/>
  <c r="E251" i="7"/>
  <c r="G217" i="6"/>
  <c r="E257" i="7"/>
  <c r="E73" i="8"/>
  <c r="E71" i="9"/>
  <c r="E396" i="7"/>
  <c r="O76" i="6"/>
  <c r="N76" i="6" s="1"/>
  <c r="E76" i="6" s="1"/>
  <c r="O77" i="6"/>
  <c r="N77" i="6" s="1"/>
  <c r="E77" i="6" s="1"/>
  <c r="E52" i="7"/>
  <c r="G52" i="7" s="1"/>
  <c r="G12" i="6"/>
  <c r="O84" i="6"/>
  <c r="N84" i="6" s="1"/>
  <c r="E84" i="6" s="1"/>
  <c r="O87" i="6"/>
  <c r="N87" i="6" s="1"/>
  <c r="E87" i="6" s="1"/>
  <c r="E239" i="7"/>
  <c r="G199" i="6"/>
  <c r="O159" i="6"/>
  <c r="N159" i="6" s="1"/>
  <c r="E159" i="6" s="1"/>
  <c r="O158" i="6"/>
  <c r="N158" i="6" s="1"/>
  <c r="E158" i="6" s="1"/>
  <c r="O187" i="6"/>
  <c r="N187" i="6" s="1"/>
  <c r="E187" i="6" s="1"/>
  <c r="O184" i="6"/>
  <c r="N184" i="6" s="1"/>
  <c r="E184" i="6" s="1"/>
  <c r="O183" i="6"/>
  <c r="N183" i="6" s="1"/>
  <c r="E183" i="6" s="1"/>
  <c r="O182" i="6"/>
  <c r="N182" i="6" s="1"/>
  <c r="E182" i="6" s="1"/>
  <c r="U77" i="5"/>
  <c r="O77" i="5" s="1"/>
  <c r="C77" i="5"/>
  <c r="E394" i="9"/>
  <c r="E138" i="8"/>
  <c r="E221" i="7"/>
  <c r="G181" i="6"/>
  <c r="E233" i="7"/>
  <c r="G193" i="6"/>
  <c r="K169" i="6"/>
  <c r="K168" i="6"/>
  <c r="O164" i="6"/>
  <c r="N164" i="6" s="1"/>
  <c r="E164" i="6" s="1"/>
  <c r="O165" i="6"/>
  <c r="N165" i="6" s="1"/>
  <c r="E165" i="6" s="1"/>
  <c r="E112" i="7"/>
  <c r="G72" i="6"/>
  <c r="O166" i="6"/>
  <c r="N166" i="6" s="1"/>
  <c r="E166" i="6" s="1"/>
  <c r="O169" i="6"/>
  <c r="N169" i="6" s="1"/>
  <c r="E169" i="6" s="1"/>
  <c r="O82" i="6"/>
  <c r="N82" i="6" s="1"/>
  <c r="E82" i="6" s="1"/>
  <c r="O83" i="6"/>
  <c r="N83" i="6" s="1"/>
  <c r="E83" i="6" s="1"/>
  <c r="E121" i="7"/>
  <c r="G81" i="6"/>
  <c r="G208" i="6"/>
  <c r="E248" i="7"/>
  <c r="O205" i="6"/>
  <c r="N205" i="6" s="1"/>
  <c r="E205" i="6" s="1"/>
  <c r="O202" i="6"/>
  <c r="N202" i="6" s="1"/>
  <c r="E202" i="6" s="1"/>
  <c r="O20" i="5"/>
  <c r="O85" i="6"/>
  <c r="N85" i="6" s="1"/>
  <c r="E85" i="6" s="1"/>
  <c r="O80" i="6"/>
  <c r="N80" i="6" s="1"/>
  <c r="E80" i="6" s="1"/>
  <c r="O79" i="6"/>
  <c r="N79" i="6" s="1"/>
  <c r="E79" i="6" s="1"/>
  <c r="E246" i="7"/>
  <c r="G206" i="6"/>
  <c r="G196" i="6"/>
  <c r="E236" i="7"/>
  <c r="E218" i="7"/>
  <c r="G178" i="6"/>
  <c r="O223" i="6"/>
  <c r="N223" i="6" s="1"/>
  <c r="E223" i="6" s="1"/>
  <c r="O220" i="6"/>
  <c r="N220" i="6" s="1"/>
  <c r="E220" i="6" s="1"/>
  <c r="E397" i="9"/>
  <c r="E141" i="8"/>
  <c r="E396" i="9"/>
  <c r="E140" i="8"/>
  <c r="G68" i="6"/>
  <c r="E108" i="7"/>
  <c r="D183" i="5"/>
  <c r="C183" i="5" s="1"/>
  <c r="E770" i="7" s="1"/>
  <c r="S119" i="5"/>
  <c r="D119" i="5" s="1"/>
  <c r="G214" i="6"/>
  <c r="E254" i="7"/>
  <c r="E401" i="9"/>
  <c r="E145" i="8"/>
  <c r="E118" i="7"/>
  <c r="G78" i="6"/>
  <c r="O200" i="6"/>
  <c r="N200" i="6" s="1"/>
  <c r="E200" i="6" s="1"/>
  <c r="O201" i="6"/>
  <c r="N201" i="6" s="1"/>
  <c r="E201" i="6" s="1"/>
  <c r="E400" i="9"/>
  <c r="E144" i="8"/>
  <c r="O216" i="6"/>
  <c r="N216" i="6" s="1"/>
  <c r="E216" i="6" s="1"/>
  <c r="O215" i="6"/>
  <c r="N215" i="6" s="1"/>
  <c r="E215" i="6" s="1"/>
  <c r="O221" i="6"/>
  <c r="N221" i="6" s="1"/>
  <c r="E221" i="6" s="1"/>
  <c r="E203" i="7"/>
  <c r="G163" i="6"/>
  <c r="E139" i="8"/>
  <c r="E395" i="9"/>
  <c r="G170" i="6"/>
  <c r="E210" i="7"/>
  <c r="E215" i="7"/>
  <c r="G175" i="6"/>
  <c r="E269" i="7"/>
  <c r="G229" i="6"/>
  <c r="O65" i="6"/>
  <c r="N65" i="6" s="1"/>
  <c r="E65" i="6" s="1"/>
  <c r="O64" i="6"/>
  <c r="N64" i="6" s="1"/>
  <c r="E64" i="6" s="1"/>
  <c r="O162" i="6"/>
  <c r="N162" i="6" s="1"/>
  <c r="E162" i="6" s="1"/>
  <c r="O161" i="6"/>
  <c r="N161" i="6" s="1"/>
  <c r="E161" i="6" s="1"/>
  <c r="O167" i="6"/>
  <c r="N167" i="6" s="1"/>
  <c r="E167" i="6" s="1"/>
  <c r="O185" i="6"/>
  <c r="N185" i="6" s="1"/>
  <c r="E185" i="6" s="1"/>
  <c r="O179" i="6"/>
  <c r="N179" i="6" s="1"/>
  <c r="E179" i="6" s="1"/>
  <c r="O180" i="6"/>
  <c r="N180" i="6" s="1"/>
  <c r="E180" i="6" s="1"/>
  <c r="G67" i="6" l="1"/>
  <c r="E107" i="7"/>
  <c r="E101" i="7"/>
  <c r="G61" i="6"/>
  <c r="E219" i="7"/>
  <c r="G179" i="6"/>
  <c r="E125" i="7"/>
  <c r="G85" i="6"/>
  <c r="E262" i="7"/>
  <c r="G222" i="6"/>
  <c r="E380" i="7"/>
  <c r="C119" i="5"/>
  <c r="E416" i="8"/>
  <c r="E9" i="8"/>
  <c r="E408" i="8"/>
  <c r="E425" i="8"/>
  <c r="E225" i="7"/>
  <c r="G185" i="6"/>
  <c r="E261" i="7"/>
  <c r="G221" i="6"/>
  <c r="I62" i="5"/>
  <c r="U62" i="5"/>
  <c r="G203" i="6"/>
  <c r="E243" i="7"/>
  <c r="E198" i="7"/>
  <c r="G158" i="6"/>
  <c r="G202" i="6"/>
  <c r="E242" i="7"/>
  <c r="E127" i="7"/>
  <c r="G87" i="6"/>
  <c r="E238" i="7"/>
  <c r="G198" i="6"/>
  <c r="E124" i="7"/>
  <c r="G84" i="6"/>
  <c r="G197" i="6"/>
  <c r="E237" i="7"/>
  <c r="E99" i="7"/>
  <c r="G59" i="6"/>
  <c r="E227" i="7"/>
  <c r="G187" i="6"/>
  <c r="E256" i="7"/>
  <c r="G216" i="6"/>
  <c r="E98" i="7"/>
  <c r="G58" i="6"/>
  <c r="E204" i="7"/>
  <c r="G164" i="6"/>
  <c r="G162" i="6"/>
  <c r="E202" i="7"/>
  <c r="E104" i="7"/>
  <c r="G64" i="6"/>
  <c r="E106" i="7"/>
  <c r="G66" i="6"/>
  <c r="G80" i="6"/>
  <c r="E120" i="7"/>
  <c r="E201" i="7"/>
  <c r="G161" i="6"/>
  <c r="E117" i="7"/>
  <c r="G77" i="6"/>
  <c r="E109" i="7"/>
  <c r="G69" i="6"/>
  <c r="G194" i="6"/>
  <c r="E234" i="7"/>
  <c r="E205" i="7"/>
  <c r="G165" i="6"/>
  <c r="E207" i="7"/>
  <c r="G167" i="6"/>
  <c r="G220" i="6"/>
  <c r="E260" i="7"/>
  <c r="E116" i="7"/>
  <c r="G76" i="6"/>
  <c r="G195" i="6"/>
  <c r="E235" i="7"/>
  <c r="E258" i="7"/>
  <c r="G218" i="6"/>
  <c r="E119" i="7"/>
  <c r="G79" i="6"/>
  <c r="G215" i="6"/>
  <c r="E255" i="7"/>
  <c r="E240" i="7"/>
  <c r="G200" i="6"/>
  <c r="E123" i="7"/>
  <c r="G83" i="6"/>
  <c r="J99" i="5"/>
  <c r="J93" i="5"/>
  <c r="I76" i="5"/>
  <c r="K76" i="5"/>
  <c r="W76" i="5" s="1"/>
  <c r="K99" i="5"/>
  <c r="W99" i="5" s="1"/>
  <c r="K107" i="5"/>
  <c r="W107" i="5" s="1"/>
  <c r="C82" i="5"/>
  <c r="J107" i="5"/>
  <c r="F62" i="5"/>
  <c r="J70" i="5" s="1"/>
  <c r="J101" i="5"/>
  <c r="C62" i="5"/>
  <c r="K95" i="5"/>
  <c r="W95" i="5" s="1"/>
  <c r="E77" i="5"/>
  <c r="J105" i="5"/>
  <c r="V105" i="5" s="1"/>
  <c r="E259" i="7"/>
  <c r="G219" i="6"/>
  <c r="E220" i="7"/>
  <c r="G180" i="6"/>
  <c r="E105" i="7"/>
  <c r="G65" i="6"/>
  <c r="G82" i="6"/>
  <c r="E122" i="7"/>
  <c r="O82" i="5"/>
  <c r="O62" i="5"/>
  <c r="V93" i="5"/>
  <c r="R62" i="5"/>
  <c r="Q77" i="5"/>
  <c r="E253" i="7"/>
  <c r="G213" i="6"/>
  <c r="E216" i="7"/>
  <c r="G176" i="6"/>
  <c r="E102" i="7"/>
  <c r="G62" i="6"/>
  <c r="G223" i="6"/>
  <c r="E263" i="7"/>
  <c r="G182" i="6"/>
  <c r="E222" i="7"/>
  <c r="G212" i="6"/>
  <c r="E252" i="7"/>
  <c r="E217" i="7"/>
  <c r="G177" i="6"/>
  <c r="E245" i="7"/>
  <c r="G205" i="6"/>
  <c r="G169" i="6"/>
  <c r="E209" i="7"/>
  <c r="G183" i="6"/>
  <c r="E223" i="7"/>
  <c r="E199" i="7"/>
  <c r="G159" i="6"/>
  <c r="G201" i="6"/>
  <c r="E241" i="7"/>
  <c r="E206" i="7"/>
  <c r="G166" i="6"/>
  <c r="E224" i="7"/>
  <c r="G184" i="6"/>
  <c r="G131" i="6" l="1"/>
  <c r="E131" i="6" s="1"/>
  <c r="E171" i="7" s="1"/>
  <c r="G259" i="6"/>
  <c r="E259" i="6" s="1"/>
  <c r="E299" i="7" s="1"/>
  <c r="E404" i="9"/>
  <c r="E148" i="8"/>
  <c r="E781" i="7"/>
  <c r="E11" i="10"/>
  <c r="U82" i="5"/>
  <c r="Q82" i="5"/>
  <c r="Q63" i="5"/>
  <c r="D156" i="5"/>
  <c r="C156" i="5" s="1"/>
  <c r="E38" i="9" s="1"/>
  <c r="D155" i="5"/>
  <c r="C155" i="5" s="1"/>
  <c r="E465" i="7" s="1"/>
  <c r="I109" i="5"/>
  <c r="I104" i="5"/>
  <c r="U104" i="5" s="1"/>
  <c r="I113" i="5"/>
  <c r="U113" i="5" s="1"/>
  <c r="I99" i="5"/>
  <c r="U99" i="5" s="1"/>
  <c r="I87" i="5"/>
  <c r="I82" i="5"/>
  <c r="I93" i="5"/>
  <c r="U93" i="5" s="1"/>
  <c r="E82" i="5"/>
  <c r="I97" i="5"/>
  <c r="U97" i="5" s="1"/>
  <c r="I92" i="5"/>
  <c r="U92" i="5" s="1"/>
  <c r="I107" i="5"/>
  <c r="I89" i="5"/>
  <c r="I111" i="5"/>
  <c r="U111" i="5" s="1"/>
  <c r="I95" i="5"/>
  <c r="U95" i="5" s="1"/>
  <c r="I101" i="5"/>
  <c r="U101" i="5" s="1"/>
  <c r="I91" i="5"/>
  <c r="U91" i="5" s="1"/>
  <c r="I85" i="5"/>
  <c r="I94" i="5"/>
  <c r="U94" i="5" s="1"/>
  <c r="I90" i="5"/>
  <c r="I110" i="5"/>
  <c r="U110" i="5" s="1"/>
  <c r="I105" i="5"/>
  <c r="U105" i="5" s="1"/>
  <c r="D130" i="5"/>
  <c r="C130" i="5" s="1"/>
  <c r="E414" i="7" s="1"/>
  <c r="D157" i="5"/>
  <c r="C157" i="5" s="1"/>
  <c r="E40" i="8" s="1"/>
  <c r="D132" i="5"/>
  <c r="C132" i="5" s="1"/>
  <c r="E91" i="8" s="1"/>
  <c r="D131" i="5"/>
  <c r="C131" i="5" s="1"/>
  <c r="E89" i="9" s="1"/>
  <c r="D62" i="5"/>
  <c r="D134" i="5" s="1"/>
  <c r="C134" i="5" s="1"/>
  <c r="E62" i="5"/>
  <c r="D135" i="5" s="1"/>
  <c r="C135" i="5" s="1"/>
  <c r="V101" i="5"/>
  <c r="U76" i="5"/>
  <c r="D149" i="5" s="1"/>
  <c r="C149" i="5" s="1"/>
  <c r="D124" i="5"/>
  <c r="C124" i="5" s="1"/>
  <c r="V99" i="5"/>
  <c r="V107" i="5"/>
  <c r="E107" i="5"/>
  <c r="E63" i="5" l="1"/>
  <c r="E64" i="5" s="1"/>
  <c r="U90" i="5"/>
  <c r="Q91" i="5" s="1"/>
  <c r="E91" i="5"/>
  <c r="U85" i="5"/>
  <c r="Q85" i="5" s="1"/>
  <c r="E85" i="5"/>
  <c r="E109" i="5"/>
  <c r="U109" i="5"/>
  <c r="Q109" i="5" s="1"/>
  <c r="Q64" i="5"/>
  <c r="S62" i="5"/>
  <c r="E19" i="8"/>
  <c r="E444" i="7"/>
  <c r="E17" i="9"/>
  <c r="Q101" i="5"/>
  <c r="E93" i="9"/>
  <c r="E418" i="7"/>
  <c r="E95" i="8"/>
  <c r="E89" i="5"/>
  <c r="U89" i="5"/>
  <c r="Q89" i="5" s="1"/>
  <c r="K113" i="5"/>
  <c r="W113" i="5" s="1"/>
  <c r="J113" i="5"/>
  <c r="V113" i="5" s="1"/>
  <c r="I103" i="5"/>
  <c r="U87" i="5"/>
  <c r="E87" i="5"/>
  <c r="E86" i="5"/>
  <c r="K111" i="5"/>
  <c r="W111" i="5" s="1"/>
  <c r="J111" i="5"/>
  <c r="Q99" i="5"/>
  <c r="E92" i="9"/>
  <c r="E417" i="7"/>
  <c r="E94" i="8"/>
  <c r="U107" i="5"/>
  <c r="B115" i="5"/>
  <c r="B114" i="5"/>
  <c r="E393" i="7"/>
  <c r="E70" i="8"/>
  <c r="E68" i="9"/>
  <c r="E99" i="5"/>
  <c r="E101" i="5"/>
  <c r="G62" i="5" l="1"/>
  <c r="G64" i="5" s="1"/>
  <c r="M114" i="5"/>
  <c r="S63" i="5" s="1"/>
  <c r="B5" i="5" s="1"/>
  <c r="M115" i="5"/>
  <c r="S64" i="5"/>
  <c r="Q107" i="5"/>
  <c r="Q87" i="5"/>
  <c r="Q86" i="5"/>
  <c r="E111" i="5"/>
  <c r="V111" i="5"/>
  <c r="Q111" i="5" s="1"/>
  <c r="U103" i="5"/>
  <c r="Q103" i="5" s="1"/>
  <c r="E103" i="5"/>
  <c r="K79" i="5"/>
  <c r="J79" i="5" s="1"/>
  <c r="K80" i="5"/>
  <c r="J80" i="5" s="1"/>
  <c r="G63" i="5" l="1"/>
  <c r="B4" i="5" s="1"/>
  <c r="W79" i="5"/>
  <c r="V79" i="5" s="1"/>
  <c r="W80" i="5"/>
  <c r="V80" i="5" s="1"/>
</calcChain>
</file>

<file path=xl/comments1.xml><?xml version="1.0" encoding="utf-8"?>
<comments xmlns="http://schemas.openxmlformats.org/spreadsheetml/2006/main">
  <authors>
    <author>MOST</author>
  </authors>
  <commentList>
    <comment ref="M4" authorId="0" shapeId="0">
      <text>
        <r>
          <rPr>
            <sz val="9"/>
            <color indexed="81"/>
            <rFont val="宋体"/>
            <family val="3"/>
            <charset val="134"/>
          </rPr>
          <t xml:space="preserve">0x0002&lt;bit7&gt;
0x0004&lt;bit14&gt;
0x0004&lt;bit4:3&gt;
</t>
        </r>
      </text>
    </comment>
    <comment ref="N4" authorId="0" shapeId="0">
      <text>
        <r>
          <rPr>
            <sz val="9"/>
            <color indexed="81"/>
            <rFont val="宋体"/>
            <family val="3"/>
            <charset val="134"/>
          </rPr>
          <t xml:space="preserve">0x0004&lt;bit9&gt;
</t>
        </r>
      </text>
    </comment>
    <comment ref="O4" authorId="0" shapeId="0">
      <text>
        <r>
          <rPr>
            <sz val="9"/>
            <color indexed="81"/>
            <rFont val="宋体"/>
            <family val="3"/>
            <charset val="134"/>
          </rPr>
          <t xml:space="preserve">0x0004&lt;bit11:10&gt;
</t>
        </r>
      </text>
    </comment>
    <comment ref="S5" authorId="0" shapeId="0">
      <text>
        <r>
          <rPr>
            <sz val="9"/>
            <color indexed="81"/>
            <rFont val="宋体"/>
            <family val="3"/>
            <charset val="134"/>
          </rPr>
          <t xml:space="preserve">When Audio is enabled Extended Information must be enbled because Audio information is enbedded in extended part.
</t>
        </r>
      </text>
    </comment>
    <comment ref="N6" authorId="0" shapeId="0">
      <text>
        <r>
          <rPr>
            <sz val="9"/>
            <color indexed="81"/>
            <rFont val="宋体"/>
            <family val="3"/>
            <charset val="134"/>
          </rPr>
          <t xml:space="preserve">0x0004&lt;bit8&gt;
</t>
        </r>
      </text>
    </comment>
    <comment ref="O6" authorId="0" shapeId="0">
      <text>
        <r>
          <rPr>
            <sz val="9"/>
            <color indexed="81"/>
            <rFont val="宋体"/>
            <family val="3"/>
            <charset val="134"/>
          </rPr>
          <t xml:space="preserve">0x0004&lt;bit12&gt;
</t>
        </r>
      </text>
    </comment>
    <comment ref="O8" authorId="0" shapeId="0">
      <text>
        <r>
          <rPr>
            <sz val="9"/>
            <color indexed="81"/>
            <rFont val="宋体"/>
            <family val="3"/>
            <charset val="134"/>
          </rPr>
          <t xml:space="preserve">0x0004&lt;bit2&gt;
</t>
        </r>
      </text>
    </comment>
    <comment ref="D22" authorId="0" shapeId="0">
      <text>
        <r>
          <rPr>
            <sz val="9"/>
            <color indexed="81"/>
            <rFont val="宋体"/>
            <family val="3"/>
            <charset val="134"/>
          </rPr>
          <t xml:space="preserve">When HDCP is not supported
HPW+HBP+HFP must be bigger than 61
When HDCP is supported
HPW+HBP+HFP must be bigger than 105
</t>
        </r>
      </text>
    </comment>
    <comment ref="E22" authorId="0" shapeId="0">
      <text>
        <r>
          <rPr>
            <sz val="9"/>
            <color indexed="81"/>
            <rFont val="宋体"/>
            <family val="3"/>
            <charset val="134"/>
          </rPr>
          <t xml:space="preserve">When HDCP is not supported
HPW+HBP+HFP must be bigger than 61
When HDCP is supported
HPW+HBP+HFP must be bigger than 105
</t>
        </r>
      </text>
    </comment>
    <comment ref="G22" authorId="0" shapeId="0">
      <text>
        <r>
          <rPr>
            <sz val="9"/>
            <color indexed="81"/>
            <rFont val="宋体"/>
            <family val="3"/>
            <charset val="134"/>
          </rPr>
          <t xml:space="preserve">When HDCP is not supported
HPW+HBP+HFP must be bigger than 61
When HDCP is supported
HPW+HBP+HFP must be bigger than 105
</t>
        </r>
      </text>
    </comment>
    <comment ref="J24" authorId="0" shapeId="0">
      <text>
        <r>
          <rPr>
            <sz val="9"/>
            <color indexed="81"/>
            <rFont val="宋体"/>
            <family val="3"/>
            <charset val="134"/>
          </rPr>
          <t>0x8420&lt;bit0&gt;</t>
        </r>
      </text>
    </comment>
    <comment ref="C29" authorId="0" shapeId="0">
      <text>
        <r>
          <rPr>
            <sz val="9"/>
            <color indexed="81"/>
            <rFont val="宋体"/>
            <family val="3"/>
            <charset val="134"/>
          </rPr>
          <t>0x7000&lt;bit0&gt;</t>
        </r>
      </text>
    </comment>
    <comment ref="D29" authorId="0" shapeId="0">
      <text>
        <r>
          <rPr>
            <sz val="9"/>
            <color indexed="81"/>
            <rFont val="宋体"/>
            <family val="3"/>
            <charset val="134"/>
          </rPr>
          <t xml:space="preserve">0x7000&lt;bit2:1&gt;
</t>
        </r>
      </text>
    </comment>
    <comment ref="F40" authorId="0" shapeId="0">
      <text>
        <r>
          <rPr>
            <sz val="9"/>
            <color indexed="81"/>
            <rFont val="宋体"/>
            <family val="3"/>
            <charset val="134"/>
          </rPr>
          <t xml:space="preserve">0x05000&lt;bit8&gt;
</t>
        </r>
      </text>
    </comment>
    <comment ref="H40" authorId="0" shapeId="0">
      <text>
        <r>
          <rPr>
            <sz val="9"/>
            <color indexed="81"/>
            <rFont val="宋体"/>
            <family val="3"/>
            <charset val="134"/>
          </rPr>
          <t xml:space="preserve">0x5080&lt;bit8&gt;
</t>
        </r>
      </text>
    </comment>
    <comment ref="C42" authorId="0" shapeId="0">
      <text>
        <r>
          <rPr>
            <sz val="9"/>
            <color indexed="81"/>
            <rFont val="宋体"/>
            <family val="3"/>
            <charset val="134"/>
          </rPr>
          <t xml:space="preserve">0x500C&lt;bit15&gt;
0x5000&lt;bit8&gt;
</t>
        </r>
      </text>
    </comment>
    <comment ref="E42" authorId="0" shapeId="0">
      <text>
        <r>
          <rPr>
            <sz val="9"/>
            <color indexed="81"/>
            <rFont val="宋体"/>
            <family val="3"/>
            <charset val="134"/>
          </rPr>
          <t xml:space="preserve">0x500C&lt;bit11:0&gt;
</t>
        </r>
      </text>
    </comment>
    <comment ref="F42" authorId="0" shapeId="0">
      <text>
        <r>
          <rPr>
            <sz val="9"/>
            <color indexed="81"/>
            <rFont val="宋体"/>
            <family val="3"/>
            <charset val="134"/>
          </rPr>
          <t xml:space="preserve">0x500A&lt;bit5:0&gt;
</t>
        </r>
      </text>
    </comment>
    <comment ref="G42" authorId="0" shapeId="0">
      <text>
        <r>
          <rPr>
            <sz val="9"/>
            <color indexed="81"/>
            <rFont val="宋体"/>
            <family val="3"/>
            <charset val="134"/>
          </rPr>
          <t xml:space="preserve">0x508C&lt;bit11:0&gt;
</t>
        </r>
      </text>
    </comment>
    <comment ref="H42" authorId="0" shapeId="0">
      <text>
        <r>
          <rPr>
            <sz val="9"/>
            <color indexed="81"/>
            <rFont val="宋体"/>
            <family val="3"/>
            <charset val="134"/>
          </rPr>
          <t xml:space="preserve">0x508A&lt;bit5:0&gt;
</t>
        </r>
      </text>
    </comment>
    <comment ref="C45" authorId="0" shapeId="0">
      <text>
        <r>
          <rPr>
            <sz val="9"/>
            <color indexed="81"/>
            <rFont val="宋体"/>
            <family val="3"/>
            <charset val="134"/>
          </rPr>
          <t xml:space="preserve">0x0006&lt;bit[1:0]&gt;
</t>
        </r>
      </text>
    </comment>
    <comment ref="D45" authorId="0" shapeId="0">
      <text>
        <r>
          <rPr>
            <sz val="9"/>
            <color indexed="81"/>
            <rFont val="宋体"/>
            <family val="3"/>
            <charset val="134"/>
          </rPr>
          <t xml:space="preserve">0x017C&lt;bit0&gt;
0x037C&lt;bit0&gt;
</t>
        </r>
      </text>
    </comment>
    <comment ref="E45" authorId="0" shapeId="0">
      <text>
        <r>
          <rPr>
            <sz val="9"/>
            <color indexed="81"/>
            <rFont val="宋体"/>
            <family val="3"/>
            <charset val="134"/>
          </rPr>
          <t xml:space="preserve">0x500E&lt;bit11:0&gt;
</t>
        </r>
      </text>
    </comment>
    <comment ref="F45" authorId="0" shapeId="0">
      <text>
        <r>
          <rPr>
            <sz val="9"/>
            <color indexed="81"/>
            <rFont val="宋体"/>
            <family val="3"/>
            <charset val="134"/>
          </rPr>
          <t xml:space="preserve">0x500C&lt;bit13:8&gt;
</t>
        </r>
      </text>
    </comment>
    <comment ref="G45" authorId="0" shapeId="0">
      <text>
        <r>
          <rPr>
            <sz val="9"/>
            <color indexed="81"/>
            <rFont val="宋体"/>
            <family val="3"/>
            <charset val="134"/>
          </rPr>
          <t xml:space="preserve">0x508E&lt;bit11:0&gt;
</t>
        </r>
      </text>
    </comment>
    <comment ref="H45" authorId="0" shapeId="0">
      <text>
        <r>
          <rPr>
            <sz val="9"/>
            <color indexed="81"/>
            <rFont val="宋体"/>
            <family val="3"/>
            <charset val="134"/>
          </rPr>
          <t xml:space="preserve">0x508A&lt;bit13:8&gt;
</t>
        </r>
      </text>
    </comment>
    <comment ref="D47" authorId="0" shapeId="0">
      <text>
        <r>
          <rPr>
            <sz val="9"/>
            <color indexed="81"/>
            <rFont val="宋体"/>
            <family val="3"/>
            <charset val="134"/>
          </rPr>
          <t xml:space="preserve">0x0006&lt;bit2&gt;
</t>
        </r>
      </text>
    </comment>
    <comment ref="D63" authorId="0" shapeId="0">
      <text>
        <r>
          <rPr>
            <sz val="9"/>
            <color indexed="81"/>
            <rFont val="宋体"/>
            <family val="3"/>
            <charset val="134"/>
          </rPr>
          <t>LP-&gt;HS transition time is  not included in this time</t>
        </r>
      </text>
    </comment>
    <comment ref="E63" authorId="0" shapeId="0">
      <text>
        <r>
          <rPr>
            <sz val="9"/>
            <color indexed="81"/>
            <rFont val="宋体"/>
            <family val="3"/>
            <charset val="134"/>
          </rPr>
          <t>LP-&gt;HS transition time is not included in this time</t>
        </r>
      </text>
    </comment>
    <comment ref="P63" authorId="0" shapeId="0">
      <text>
        <r>
          <rPr>
            <sz val="9"/>
            <color indexed="81"/>
            <rFont val="宋体"/>
            <family val="3"/>
            <charset val="134"/>
          </rPr>
          <t xml:space="preserve">LP-&gt;HS transition time is  not included in this time,
</t>
        </r>
      </text>
    </comment>
    <comment ref="Q63" authorId="0" shapeId="0">
      <text>
        <r>
          <rPr>
            <sz val="9"/>
            <color indexed="81"/>
            <rFont val="宋体"/>
            <family val="3"/>
            <charset val="134"/>
          </rPr>
          <t xml:space="preserve">LP-&gt;HS transition time is  not included in this time
</t>
        </r>
      </text>
    </comment>
  </commentList>
</comments>
</file>

<file path=xl/comments2.xml><?xml version="1.0" encoding="utf-8"?>
<comments xmlns="http://schemas.openxmlformats.org/spreadsheetml/2006/main">
  <authors>
    <author>MOST</author>
  </authors>
  <commentList>
    <comment ref="L399" authorId="0" shapeId="0">
      <text>
        <r>
          <rPr>
            <sz val="9"/>
            <color indexed="81"/>
            <rFont val="宋体"/>
            <family val="3"/>
            <charset val="134"/>
          </rPr>
          <t>bit22</t>
        </r>
      </text>
    </comment>
    <comment ref="M399" authorId="0" shapeId="0">
      <text>
        <r>
          <rPr>
            <sz val="9"/>
            <color indexed="81"/>
            <rFont val="宋体"/>
            <family val="3"/>
            <charset val="134"/>
          </rPr>
          <t>bit21</t>
        </r>
      </text>
    </comment>
    <comment ref="N399" authorId="0" shapeId="0">
      <text>
        <r>
          <rPr>
            <sz val="9"/>
            <color indexed="81"/>
            <rFont val="宋体"/>
            <family val="3"/>
            <charset val="134"/>
          </rPr>
          <t>bit20</t>
        </r>
      </text>
    </comment>
    <comment ref="O399" authorId="0" shapeId="0">
      <text>
        <r>
          <rPr>
            <sz val="9"/>
            <color indexed="81"/>
            <rFont val="宋体"/>
            <family val="3"/>
            <charset val="134"/>
          </rPr>
          <t>bit19</t>
        </r>
      </text>
    </comment>
    <comment ref="P399" authorId="0" shapeId="0">
      <text>
        <r>
          <rPr>
            <sz val="9"/>
            <color indexed="81"/>
            <rFont val="宋体"/>
            <family val="3"/>
            <charset val="134"/>
          </rPr>
          <t>bit18</t>
        </r>
      </text>
    </comment>
    <comment ref="Q399" authorId="0" shapeId="0">
      <text>
        <r>
          <rPr>
            <sz val="9"/>
            <color indexed="81"/>
            <rFont val="宋体"/>
            <family val="3"/>
            <charset val="134"/>
          </rPr>
          <t>bit17</t>
        </r>
      </text>
    </comment>
    <comment ref="R399" authorId="0" shapeId="0">
      <text>
        <r>
          <rPr>
            <sz val="9"/>
            <color indexed="81"/>
            <rFont val="宋体"/>
            <family val="3"/>
            <charset val="134"/>
          </rPr>
          <t>bit16</t>
        </r>
      </text>
    </comment>
    <comment ref="S399" authorId="0" shapeId="0">
      <text>
        <r>
          <rPr>
            <sz val="9"/>
            <color indexed="81"/>
            <rFont val="宋体"/>
            <family val="3"/>
            <charset val="134"/>
          </rPr>
          <t>bit14</t>
        </r>
      </text>
    </comment>
    <comment ref="T399" authorId="0" shapeId="0">
      <text>
        <r>
          <rPr>
            <sz val="9"/>
            <color indexed="81"/>
            <rFont val="宋体"/>
            <family val="3"/>
            <charset val="134"/>
          </rPr>
          <t>bit10</t>
        </r>
      </text>
    </comment>
    <comment ref="U399" authorId="0" shapeId="0">
      <text>
        <r>
          <rPr>
            <sz val="9"/>
            <color indexed="81"/>
            <rFont val="宋体"/>
            <family val="3"/>
            <charset val="134"/>
          </rPr>
          <t>bit9</t>
        </r>
      </text>
    </comment>
    <comment ref="V399" authorId="0" shapeId="0">
      <text>
        <r>
          <rPr>
            <sz val="9"/>
            <color indexed="81"/>
            <rFont val="宋体"/>
            <family val="3"/>
            <charset val="134"/>
          </rPr>
          <t xml:space="preserve">bit1
</t>
        </r>
      </text>
    </comment>
    <comment ref="W399" authorId="0" shapeId="0">
      <text>
        <r>
          <rPr>
            <sz val="9"/>
            <color indexed="81"/>
            <rFont val="宋体"/>
            <family val="3"/>
            <charset val="134"/>
          </rPr>
          <t xml:space="preserve">bit0
</t>
        </r>
      </text>
    </comment>
    <comment ref="H424" authorId="0" shapeId="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450" authorId="0" shapeId="0">
      <text>
        <r>
          <rPr>
            <sz val="9"/>
            <color indexed="81"/>
            <rFont val="宋体"/>
            <family val="3"/>
            <charset val="134"/>
          </rPr>
          <t>bit22</t>
        </r>
      </text>
    </comment>
    <comment ref="M450" authorId="0" shapeId="0">
      <text>
        <r>
          <rPr>
            <sz val="9"/>
            <color indexed="81"/>
            <rFont val="宋体"/>
            <family val="3"/>
            <charset val="134"/>
          </rPr>
          <t>bit21</t>
        </r>
      </text>
    </comment>
    <comment ref="N450" authorId="0" shapeId="0">
      <text>
        <r>
          <rPr>
            <sz val="9"/>
            <color indexed="81"/>
            <rFont val="宋体"/>
            <family val="3"/>
            <charset val="134"/>
          </rPr>
          <t>bit20</t>
        </r>
      </text>
    </comment>
    <comment ref="O450" authorId="0" shapeId="0">
      <text>
        <r>
          <rPr>
            <sz val="9"/>
            <color indexed="81"/>
            <rFont val="宋体"/>
            <family val="3"/>
            <charset val="134"/>
          </rPr>
          <t>bit19</t>
        </r>
      </text>
    </comment>
    <comment ref="P450" authorId="0" shapeId="0">
      <text>
        <r>
          <rPr>
            <sz val="9"/>
            <color indexed="81"/>
            <rFont val="宋体"/>
            <family val="3"/>
            <charset val="134"/>
          </rPr>
          <t>bit18</t>
        </r>
      </text>
    </comment>
    <comment ref="Q450" authorId="0" shapeId="0">
      <text>
        <r>
          <rPr>
            <sz val="9"/>
            <color indexed="81"/>
            <rFont val="宋体"/>
            <family val="3"/>
            <charset val="134"/>
          </rPr>
          <t>bit17</t>
        </r>
      </text>
    </comment>
    <comment ref="R450" authorId="0" shapeId="0">
      <text>
        <r>
          <rPr>
            <sz val="9"/>
            <color indexed="81"/>
            <rFont val="宋体"/>
            <family val="3"/>
            <charset val="134"/>
          </rPr>
          <t>bit16</t>
        </r>
      </text>
    </comment>
    <comment ref="S450" authorId="0" shapeId="0">
      <text>
        <r>
          <rPr>
            <sz val="9"/>
            <color indexed="81"/>
            <rFont val="宋体"/>
            <family val="3"/>
            <charset val="134"/>
          </rPr>
          <t>bit14</t>
        </r>
      </text>
    </comment>
    <comment ref="T450" authorId="0" shapeId="0">
      <text>
        <r>
          <rPr>
            <sz val="9"/>
            <color indexed="81"/>
            <rFont val="宋体"/>
            <family val="3"/>
            <charset val="134"/>
          </rPr>
          <t>bit10</t>
        </r>
      </text>
    </comment>
    <comment ref="U450" authorId="0" shapeId="0">
      <text>
        <r>
          <rPr>
            <sz val="9"/>
            <color indexed="81"/>
            <rFont val="宋体"/>
            <family val="3"/>
            <charset val="134"/>
          </rPr>
          <t>bit9</t>
        </r>
      </text>
    </comment>
    <comment ref="V450" authorId="0" shapeId="0">
      <text>
        <r>
          <rPr>
            <sz val="9"/>
            <color indexed="81"/>
            <rFont val="宋体"/>
            <family val="3"/>
            <charset val="134"/>
          </rPr>
          <t xml:space="preserve">bit1
</t>
        </r>
      </text>
    </comment>
    <comment ref="W450" authorId="0" shapeId="0">
      <text>
        <r>
          <rPr>
            <sz val="9"/>
            <color indexed="81"/>
            <rFont val="宋体"/>
            <family val="3"/>
            <charset val="134"/>
          </rPr>
          <t xml:space="preserve">bit0
</t>
        </r>
      </text>
    </comment>
    <comment ref="H475" authorId="0" shapeId="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comments3.xml><?xml version="1.0" encoding="utf-8"?>
<comments xmlns="http://schemas.openxmlformats.org/spreadsheetml/2006/main">
  <authors>
    <author>MOST</author>
  </authors>
  <commentList>
    <comment ref="L25" authorId="0" shapeId="0">
      <text>
        <r>
          <rPr>
            <sz val="9"/>
            <color indexed="81"/>
            <rFont val="宋体"/>
            <family val="3"/>
            <charset val="134"/>
          </rPr>
          <t>bit22</t>
        </r>
      </text>
    </comment>
    <comment ref="M25" authorId="0" shapeId="0">
      <text>
        <r>
          <rPr>
            <sz val="9"/>
            <color indexed="81"/>
            <rFont val="宋体"/>
            <family val="3"/>
            <charset val="134"/>
          </rPr>
          <t>bit21</t>
        </r>
      </text>
    </comment>
    <comment ref="N25" authorId="0" shapeId="0">
      <text>
        <r>
          <rPr>
            <sz val="9"/>
            <color indexed="81"/>
            <rFont val="宋体"/>
            <family val="3"/>
            <charset val="134"/>
          </rPr>
          <t>bit20</t>
        </r>
      </text>
    </comment>
    <comment ref="O25" authorId="0" shapeId="0">
      <text>
        <r>
          <rPr>
            <sz val="9"/>
            <color indexed="81"/>
            <rFont val="宋体"/>
            <family val="3"/>
            <charset val="134"/>
          </rPr>
          <t>bit19</t>
        </r>
      </text>
    </comment>
    <comment ref="P25" authorId="0" shapeId="0">
      <text>
        <r>
          <rPr>
            <sz val="9"/>
            <color indexed="81"/>
            <rFont val="宋体"/>
            <family val="3"/>
            <charset val="134"/>
          </rPr>
          <t>bit18</t>
        </r>
      </text>
    </comment>
    <comment ref="Q25" authorId="0" shapeId="0">
      <text>
        <r>
          <rPr>
            <sz val="9"/>
            <color indexed="81"/>
            <rFont val="宋体"/>
            <family val="3"/>
            <charset val="134"/>
          </rPr>
          <t>bit17</t>
        </r>
      </text>
    </comment>
    <comment ref="R25" authorId="0" shapeId="0">
      <text>
        <r>
          <rPr>
            <sz val="9"/>
            <color indexed="81"/>
            <rFont val="宋体"/>
            <family val="3"/>
            <charset val="134"/>
          </rPr>
          <t>bit16</t>
        </r>
      </text>
    </comment>
    <comment ref="S25" authorId="0" shapeId="0">
      <text>
        <r>
          <rPr>
            <sz val="9"/>
            <color indexed="81"/>
            <rFont val="宋体"/>
            <family val="3"/>
            <charset val="134"/>
          </rPr>
          <t>bit14</t>
        </r>
      </text>
    </comment>
    <comment ref="T25" authorId="0" shapeId="0">
      <text>
        <r>
          <rPr>
            <sz val="9"/>
            <color indexed="81"/>
            <rFont val="宋体"/>
            <family val="3"/>
            <charset val="134"/>
          </rPr>
          <t>bit10</t>
        </r>
      </text>
    </comment>
    <comment ref="U25" authorId="0" shapeId="0">
      <text>
        <r>
          <rPr>
            <sz val="9"/>
            <color indexed="81"/>
            <rFont val="宋体"/>
            <family val="3"/>
            <charset val="134"/>
          </rPr>
          <t>bit9</t>
        </r>
      </text>
    </comment>
    <comment ref="V25" authorId="0" shapeId="0">
      <text>
        <r>
          <rPr>
            <sz val="9"/>
            <color indexed="81"/>
            <rFont val="宋体"/>
            <family val="3"/>
            <charset val="134"/>
          </rPr>
          <t xml:space="preserve">bit1
</t>
        </r>
      </text>
    </comment>
    <comment ref="W25" authorId="0" shapeId="0">
      <text>
        <r>
          <rPr>
            <sz val="9"/>
            <color indexed="81"/>
            <rFont val="宋体"/>
            <family val="3"/>
            <charset val="134"/>
          </rPr>
          <t xml:space="preserve">bit0
</t>
        </r>
      </text>
    </comment>
    <comment ref="H50" authorId="0" shapeId="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76" authorId="0" shapeId="0">
      <text>
        <r>
          <rPr>
            <sz val="9"/>
            <color indexed="81"/>
            <rFont val="宋体"/>
            <family val="3"/>
            <charset val="134"/>
          </rPr>
          <t>bit22</t>
        </r>
      </text>
    </comment>
    <comment ref="M76" authorId="0" shapeId="0">
      <text>
        <r>
          <rPr>
            <sz val="9"/>
            <color indexed="81"/>
            <rFont val="宋体"/>
            <family val="3"/>
            <charset val="134"/>
          </rPr>
          <t>bit21</t>
        </r>
      </text>
    </comment>
    <comment ref="N76" authorId="0" shapeId="0">
      <text>
        <r>
          <rPr>
            <sz val="9"/>
            <color indexed="81"/>
            <rFont val="宋体"/>
            <family val="3"/>
            <charset val="134"/>
          </rPr>
          <t>bit20</t>
        </r>
      </text>
    </comment>
    <comment ref="O76" authorId="0" shapeId="0">
      <text>
        <r>
          <rPr>
            <sz val="9"/>
            <color indexed="81"/>
            <rFont val="宋体"/>
            <family val="3"/>
            <charset val="134"/>
          </rPr>
          <t>bit19</t>
        </r>
      </text>
    </comment>
    <comment ref="P76" authorId="0" shapeId="0">
      <text>
        <r>
          <rPr>
            <sz val="9"/>
            <color indexed="81"/>
            <rFont val="宋体"/>
            <family val="3"/>
            <charset val="134"/>
          </rPr>
          <t>bit18</t>
        </r>
      </text>
    </comment>
    <comment ref="Q76" authorId="0" shapeId="0">
      <text>
        <r>
          <rPr>
            <sz val="9"/>
            <color indexed="81"/>
            <rFont val="宋体"/>
            <family val="3"/>
            <charset val="134"/>
          </rPr>
          <t>bit17</t>
        </r>
      </text>
    </comment>
    <comment ref="R76" authorId="0" shapeId="0">
      <text>
        <r>
          <rPr>
            <sz val="9"/>
            <color indexed="81"/>
            <rFont val="宋体"/>
            <family val="3"/>
            <charset val="134"/>
          </rPr>
          <t>bit16</t>
        </r>
      </text>
    </comment>
    <comment ref="S76" authorId="0" shapeId="0">
      <text>
        <r>
          <rPr>
            <sz val="9"/>
            <color indexed="81"/>
            <rFont val="宋体"/>
            <family val="3"/>
            <charset val="134"/>
          </rPr>
          <t>bit14</t>
        </r>
      </text>
    </comment>
    <comment ref="T76" authorId="0" shapeId="0">
      <text>
        <r>
          <rPr>
            <sz val="9"/>
            <color indexed="81"/>
            <rFont val="宋体"/>
            <family val="3"/>
            <charset val="134"/>
          </rPr>
          <t>bit10</t>
        </r>
      </text>
    </comment>
    <comment ref="U76" authorId="0" shapeId="0">
      <text>
        <r>
          <rPr>
            <sz val="9"/>
            <color indexed="81"/>
            <rFont val="宋体"/>
            <family val="3"/>
            <charset val="134"/>
          </rPr>
          <t>bit9</t>
        </r>
      </text>
    </comment>
    <comment ref="V76" authorId="0" shapeId="0">
      <text>
        <r>
          <rPr>
            <sz val="9"/>
            <color indexed="81"/>
            <rFont val="宋体"/>
            <family val="3"/>
            <charset val="134"/>
          </rPr>
          <t xml:space="preserve">bit1
</t>
        </r>
      </text>
    </comment>
    <comment ref="W76" authorId="0" shapeId="0">
      <text>
        <r>
          <rPr>
            <sz val="9"/>
            <color indexed="81"/>
            <rFont val="宋体"/>
            <family val="3"/>
            <charset val="134"/>
          </rPr>
          <t xml:space="preserve">bit0
</t>
        </r>
      </text>
    </comment>
    <comment ref="H101" authorId="0" shapeId="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comments4.xml><?xml version="1.0" encoding="utf-8"?>
<comments xmlns="http://schemas.openxmlformats.org/spreadsheetml/2006/main">
  <authors>
    <author>MOST</author>
  </authors>
  <commentList>
    <comment ref="L23" authorId="0" shapeId="0">
      <text>
        <r>
          <rPr>
            <sz val="9"/>
            <color indexed="81"/>
            <rFont val="宋体"/>
            <family val="3"/>
            <charset val="134"/>
          </rPr>
          <t>bit22</t>
        </r>
      </text>
    </comment>
    <comment ref="M23" authorId="0" shapeId="0">
      <text>
        <r>
          <rPr>
            <sz val="9"/>
            <color indexed="81"/>
            <rFont val="宋体"/>
            <family val="3"/>
            <charset val="134"/>
          </rPr>
          <t>bit21</t>
        </r>
      </text>
    </comment>
    <comment ref="N23" authorId="0" shapeId="0">
      <text>
        <r>
          <rPr>
            <sz val="9"/>
            <color indexed="81"/>
            <rFont val="宋体"/>
            <family val="3"/>
            <charset val="134"/>
          </rPr>
          <t>bit20</t>
        </r>
      </text>
    </comment>
    <comment ref="O23" authorId="0" shapeId="0">
      <text>
        <r>
          <rPr>
            <sz val="9"/>
            <color indexed="81"/>
            <rFont val="宋体"/>
            <family val="3"/>
            <charset val="134"/>
          </rPr>
          <t>bit19</t>
        </r>
      </text>
    </comment>
    <comment ref="P23" authorId="0" shapeId="0">
      <text>
        <r>
          <rPr>
            <sz val="9"/>
            <color indexed="81"/>
            <rFont val="宋体"/>
            <family val="3"/>
            <charset val="134"/>
          </rPr>
          <t>bit18</t>
        </r>
      </text>
    </comment>
    <comment ref="Q23" authorId="0" shapeId="0">
      <text>
        <r>
          <rPr>
            <sz val="9"/>
            <color indexed="81"/>
            <rFont val="宋体"/>
            <family val="3"/>
            <charset val="134"/>
          </rPr>
          <t>bit17</t>
        </r>
      </text>
    </comment>
    <comment ref="R23" authorId="0" shapeId="0">
      <text>
        <r>
          <rPr>
            <sz val="9"/>
            <color indexed="81"/>
            <rFont val="宋体"/>
            <family val="3"/>
            <charset val="134"/>
          </rPr>
          <t>bit16</t>
        </r>
      </text>
    </comment>
    <comment ref="S23" authorId="0" shapeId="0">
      <text>
        <r>
          <rPr>
            <sz val="9"/>
            <color indexed="81"/>
            <rFont val="宋体"/>
            <family val="3"/>
            <charset val="134"/>
          </rPr>
          <t>bit14</t>
        </r>
      </text>
    </comment>
    <comment ref="T23" authorId="0" shapeId="0">
      <text>
        <r>
          <rPr>
            <sz val="9"/>
            <color indexed="81"/>
            <rFont val="宋体"/>
            <family val="3"/>
            <charset val="134"/>
          </rPr>
          <t>bit10</t>
        </r>
      </text>
    </comment>
    <comment ref="U23" authorId="0" shapeId="0">
      <text>
        <r>
          <rPr>
            <sz val="9"/>
            <color indexed="81"/>
            <rFont val="宋体"/>
            <family val="3"/>
            <charset val="134"/>
          </rPr>
          <t>bit9</t>
        </r>
      </text>
    </comment>
    <comment ref="V23" authorId="0" shapeId="0">
      <text>
        <r>
          <rPr>
            <sz val="9"/>
            <color indexed="81"/>
            <rFont val="宋体"/>
            <family val="3"/>
            <charset val="134"/>
          </rPr>
          <t xml:space="preserve">bit1
</t>
        </r>
      </text>
    </comment>
    <comment ref="W23" authorId="0" shapeId="0">
      <text>
        <r>
          <rPr>
            <sz val="9"/>
            <color indexed="81"/>
            <rFont val="宋体"/>
            <family val="3"/>
            <charset val="134"/>
          </rPr>
          <t xml:space="preserve">bit0
</t>
        </r>
      </text>
    </comment>
    <comment ref="H48" authorId="0" shapeId="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 ref="L74" authorId="0" shapeId="0">
      <text>
        <r>
          <rPr>
            <sz val="9"/>
            <color indexed="81"/>
            <rFont val="宋体"/>
            <family val="3"/>
            <charset val="134"/>
          </rPr>
          <t>bit22</t>
        </r>
      </text>
    </comment>
    <comment ref="M74" authorId="0" shapeId="0">
      <text>
        <r>
          <rPr>
            <sz val="9"/>
            <color indexed="81"/>
            <rFont val="宋体"/>
            <family val="3"/>
            <charset val="134"/>
          </rPr>
          <t>bit21</t>
        </r>
      </text>
    </comment>
    <comment ref="N74" authorId="0" shapeId="0">
      <text>
        <r>
          <rPr>
            <sz val="9"/>
            <color indexed="81"/>
            <rFont val="宋体"/>
            <family val="3"/>
            <charset val="134"/>
          </rPr>
          <t>bit20</t>
        </r>
      </text>
    </comment>
    <comment ref="O74" authorId="0" shapeId="0">
      <text>
        <r>
          <rPr>
            <sz val="9"/>
            <color indexed="81"/>
            <rFont val="宋体"/>
            <family val="3"/>
            <charset val="134"/>
          </rPr>
          <t>bit19</t>
        </r>
      </text>
    </comment>
    <comment ref="P74" authorId="0" shapeId="0">
      <text>
        <r>
          <rPr>
            <sz val="9"/>
            <color indexed="81"/>
            <rFont val="宋体"/>
            <family val="3"/>
            <charset val="134"/>
          </rPr>
          <t>bit18</t>
        </r>
      </text>
    </comment>
    <comment ref="Q74" authorId="0" shapeId="0">
      <text>
        <r>
          <rPr>
            <sz val="9"/>
            <color indexed="81"/>
            <rFont val="宋体"/>
            <family val="3"/>
            <charset val="134"/>
          </rPr>
          <t>bit17</t>
        </r>
      </text>
    </comment>
    <comment ref="R74" authorId="0" shapeId="0">
      <text>
        <r>
          <rPr>
            <sz val="9"/>
            <color indexed="81"/>
            <rFont val="宋体"/>
            <family val="3"/>
            <charset val="134"/>
          </rPr>
          <t>bit16</t>
        </r>
      </text>
    </comment>
    <comment ref="S74" authorId="0" shapeId="0">
      <text>
        <r>
          <rPr>
            <sz val="9"/>
            <color indexed="81"/>
            <rFont val="宋体"/>
            <family val="3"/>
            <charset val="134"/>
          </rPr>
          <t>bit14</t>
        </r>
      </text>
    </comment>
    <comment ref="T74" authorId="0" shapeId="0">
      <text>
        <r>
          <rPr>
            <sz val="9"/>
            <color indexed="81"/>
            <rFont val="宋体"/>
            <family val="3"/>
            <charset val="134"/>
          </rPr>
          <t>bit10</t>
        </r>
      </text>
    </comment>
    <comment ref="U74" authorId="0" shapeId="0">
      <text>
        <r>
          <rPr>
            <sz val="9"/>
            <color indexed="81"/>
            <rFont val="宋体"/>
            <family val="3"/>
            <charset val="134"/>
          </rPr>
          <t>bit9</t>
        </r>
      </text>
    </comment>
    <comment ref="V74" authorId="0" shapeId="0">
      <text>
        <r>
          <rPr>
            <sz val="9"/>
            <color indexed="81"/>
            <rFont val="宋体"/>
            <family val="3"/>
            <charset val="134"/>
          </rPr>
          <t xml:space="preserve">bit1
</t>
        </r>
      </text>
    </comment>
    <comment ref="W74" authorId="0" shapeId="0">
      <text>
        <r>
          <rPr>
            <sz val="9"/>
            <color indexed="81"/>
            <rFont val="宋体"/>
            <family val="3"/>
            <charset val="134"/>
          </rPr>
          <t xml:space="preserve">bit0
</t>
        </r>
      </text>
    </comment>
    <comment ref="H99" authorId="0" shapeId="0">
      <text>
        <r>
          <rPr>
            <sz val="9"/>
            <color indexed="81"/>
            <rFont val="宋体"/>
            <family val="3"/>
            <charset val="134"/>
          </rPr>
          <t xml:space="preserve">Bit13: Invalid Data Length
Bit12: DSI VC Invalid
Bit11: DSI Data Type Recognition Error
Bit10: CRC Error (Long Packet Only)
Bit9:  ECC Error (Multiple bit)
Bit8:  ECC Error (Single bit)
Bit6:  Faulty Control Error
Bit4:  LP Transfer Sync Error
Bit3:  Escape Mode Entry Command Error
</t>
        </r>
      </text>
    </comment>
  </commentList>
</comments>
</file>

<file path=xl/sharedStrings.xml><?xml version="1.0" encoding="utf-8"?>
<sst xmlns="http://schemas.openxmlformats.org/spreadsheetml/2006/main" count="7378" uniqueCount="2422">
  <si>
    <t>Revison</t>
  </si>
  <si>
    <t>HowToUse</t>
  </si>
  <si>
    <t>State Diagram</t>
  </si>
  <si>
    <t>Main_Parameters</t>
  </si>
  <si>
    <t>EDID</t>
  </si>
  <si>
    <t>Source_Init_EnbDSI</t>
  </si>
  <si>
    <t>Source_Suspend</t>
  </si>
  <si>
    <t>Source_ColorBar</t>
  </si>
  <si>
    <t>Source_DSI_Command</t>
  </si>
  <si>
    <t>Source_HDMITimChk</t>
  </si>
  <si>
    <t>Code</t>
  </si>
  <si>
    <t>Rev</t>
  </si>
  <si>
    <t>Note</t>
  </si>
  <si>
    <t>Tv01</t>
  </si>
  <si>
    <t>v01</t>
  </si>
  <si>
    <t>1st Edition</t>
  </si>
  <si>
    <t>Tv02</t>
  </si>
  <si>
    <t>v02</t>
  </si>
  <si>
    <t>Modify 4.5</t>
  </si>
  <si>
    <t>Modify K column judgement</t>
  </si>
  <si>
    <t>Modify delay command expression.</t>
  </si>
  <si>
    <t>Add conditional cell color painting to J column</t>
  </si>
  <si>
    <t>Tv03</t>
  </si>
  <si>
    <t>Modify D22, H22 Formulas</t>
  </si>
  <si>
    <t>v03</t>
  </si>
  <si>
    <t>Delete line 374,375</t>
  </si>
  <si>
    <t>Modify D21, H21</t>
  </si>
  <si>
    <t>Modify D59~D64,E59~E64,P59~P64,Q59~Q64</t>
  </si>
  <si>
    <t>Tv04</t>
  </si>
  <si>
    <t>Add explanation of Color Bar.</t>
  </si>
  <si>
    <t>Add B115, M115</t>
  </si>
  <si>
    <t>Add formula to support new resolution</t>
  </si>
  <si>
    <t>v04</t>
  </si>
  <si>
    <t>Move 0x02A0,0x02AC,0x04A0,0x04AC setting earlier</t>
  </si>
  <si>
    <t>Modify Typo.</t>
  </si>
  <si>
    <t>Modify B114, M114</t>
  </si>
  <si>
    <t>Move 0x0110,0x0310 to command TX part.</t>
  </si>
  <si>
    <t>Modify D62~D63,E62~E63,P62~P63,Q62~Q63</t>
  </si>
  <si>
    <t>Modiy 0x0128,0x0328 bit set part.</t>
  </si>
  <si>
    <t>Add G64,S64</t>
  </si>
  <si>
    <t>Modify CMD part of 0x8671 and 0x8675</t>
  </si>
  <si>
    <t xml:space="preserve">Change to fixed value (C60,O60)  </t>
  </si>
  <si>
    <t>Add new resolution to B20, S3~S10</t>
  </si>
  <si>
    <t>Modify formula for 0x0370</t>
  </si>
  <si>
    <t>Tv05</t>
  </si>
  <si>
    <t>Modify calculation formula for 0x0170 and 0x0370.</t>
  </si>
  <si>
    <t>v05</t>
  </si>
  <si>
    <t>Modify 0x021C,0x041C setting.</t>
  </si>
  <si>
    <t>Change reference point of 0x0170 and 0x0370.</t>
  </si>
  <si>
    <t>Use different value for 0x0170,0x0370 between HDMI input and Color Bar.</t>
  </si>
  <si>
    <t>Change DDC_5V interrupt related part.</t>
  </si>
  <si>
    <t>Tv06</t>
  </si>
  <si>
    <t>Add explanation of "Source_HDMITimChk" sheet.</t>
  </si>
  <si>
    <t>v06</t>
  </si>
  <si>
    <t>Change 0x0128,0x0328 value</t>
  </si>
  <si>
    <t>Change to fixed value for 0x0128,0x0328&lt;bit1&gt;</t>
  </si>
  <si>
    <t>Change 0x8410 value</t>
  </si>
  <si>
    <t>Tv07</t>
  </si>
  <si>
    <t>Modify cell number related with Signal Soure setting.</t>
  </si>
  <si>
    <t>Move Signal Source input cell and color bar kind input cell position.</t>
  </si>
  <si>
    <t>v07</t>
  </si>
  <si>
    <t>Delete 0x5008,0x5088 setting</t>
  </si>
  <si>
    <t>Add HDMI VSYNC,HSYNC polarity status</t>
  </si>
  <si>
    <t>Macro names are changed.</t>
  </si>
  <si>
    <t>Delete M25</t>
  </si>
  <si>
    <t>Add conditonal cell color change to M23,M24.</t>
  </si>
  <si>
    <t>Tv08</t>
  </si>
  <si>
    <t>Modify judgement formula of E43,E46,G43,G46</t>
  </si>
  <si>
    <t>Tv09</t>
  </si>
  <si>
    <t>Add explanaiton of "Main_Parameters" C43.</t>
  </si>
  <si>
    <t>Add C43</t>
  </si>
  <si>
    <t>v08</t>
  </si>
  <si>
    <t xml:space="preserve">Add G column to select Register setting enable/disable. </t>
  </si>
  <si>
    <t>PIC24 format converter is modified.</t>
  </si>
  <si>
    <t>B column formula is changed.</t>
  </si>
  <si>
    <t>Tv10</t>
  </si>
  <si>
    <t>Modifiy 0x0170, 0x0370 related formula. (D130,D154,D155)</t>
  </si>
  <si>
    <t>v09</t>
  </si>
  <si>
    <t>Modify address of HDCP Key loading register (-&gt;0x85EC)</t>
  </si>
  <si>
    <t>Tv11</t>
  </si>
  <si>
    <t>Add explanation of audio related EDID.</t>
  </si>
  <si>
    <t>Add R17, S5</t>
  </si>
  <si>
    <t>Modify Short Audio Descriptor part</t>
  </si>
  <si>
    <t>Add EDID: Speaker Allocation part</t>
  </si>
  <si>
    <t>0x8C8D, 0x8C90~0x8C99 are changed.</t>
  </si>
  <si>
    <t>Tv12</t>
  </si>
  <si>
    <t>Modify 0x8C82</t>
  </si>
  <si>
    <t>Tv13</t>
  </si>
  <si>
    <t>Add HV_CLR and delay command.</t>
  </si>
  <si>
    <t>Tv14</t>
  </si>
  <si>
    <t>v10</t>
  </si>
  <si>
    <t>Add EQ setting (J14)</t>
  </si>
  <si>
    <t>Add Dummy Pixel Setting (0x500A~0x5014,0x508A~0x5094)</t>
  </si>
  <si>
    <t>Add setting of color for dumy pixels (J46,J47,J48,K46,K47,K48)</t>
  </si>
  <si>
    <t>Add EQ setting (0x8420)</t>
  </si>
  <si>
    <t>Tv15</t>
  </si>
  <si>
    <t>v11</t>
  </si>
  <si>
    <t>Add H size and V size (O23,O24)</t>
  </si>
  <si>
    <t>Add Monitor Active Area Size</t>
  </si>
  <si>
    <t>Add ERROR comment for mismatch between selected timing and EDID.</t>
  </si>
  <si>
    <t>Add Min/Max H/V rate setting</t>
  </si>
  <si>
    <t>Modify conditional cell color</t>
  </si>
  <si>
    <t>Add setting for CEA extension parameters</t>
  </si>
  <si>
    <t>Tv16</t>
  </si>
  <si>
    <t>Modify 0x0500 setting</t>
  </si>
  <si>
    <t>Add more condition to H11.</t>
  </si>
  <si>
    <t>Add 0x850B,0x851B setting.</t>
  </si>
  <si>
    <t>Change interrupt enable setting.</t>
  </si>
  <si>
    <t>Add interrupt handling.</t>
  </si>
  <si>
    <t>Tv17</t>
  </si>
  <si>
    <t>v12</t>
  </si>
  <si>
    <t>Modify I91,I101,U91,U101 calculation formula</t>
  </si>
  <si>
    <t>Tv18</t>
  </si>
  <si>
    <t>Tv19</t>
  </si>
  <si>
    <t>Delete 0x8520 read sequence.</t>
  </si>
  <si>
    <t>Tv20</t>
  </si>
  <si>
    <t>Add 0x508E setting</t>
  </si>
  <si>
    <t>Tv21</t>
  </si>
  <si>
    <t>v13</t>
  </si>
  <si>
    <t>Change C118,C119</t>
  </si>
  <si>
    <t>Modify B46</t>
  </si>
  <si>
    <t>Tv22</t>
  </si>
  <si>
    <t>v14</t>
  </si>
  <si>
    <t>Modify C186,C189</t>
  </si>
  <si>
    <t>Tv23</t>
  </si>
  <si>
    <t>Add Manufacturer Name area</t>
  </si>
  <si>
    <t>Tv24</t>
  </si>
  <si>
    <t>v15</t>
  </si>
  <si>
    <t>"Native" and ID code are added for EDID</t>
  </si>
  <si>
    <t>Modify J137~J143, K137~K143</t>
  </si>
  <si>
    <t>Tv25</t>
  </si>
  <si>
    <t>Modify 0x0110,0x0310 settings. S117,U117,S118,U118,S715,U715,S716,U716</t>
  </si>
  <si>
    <t>Modify 0x0110,0x0310 settings. S117,U117,S118,U118,S403,U403,S404,U404</t>
  </si>
  <si>
    <t>Tv26</t>
  </si>
  <si>
    <t>v16</t>
  </si>
  <si>
    <t>Remove M81,O81</t>
  </si>
  <si>
    <t>Modify U99,U101 calculation formula</t>
  </si>
  <si>
    <t>Tv27</t>
  </si>
  <si>
    <t>v17</t>
  </si>
  <si>
    <t>Modify 0x0110,0x0310 bit[2:1] to fix 1</t>
  </si>
  <si>
    <t>Tv28</t>
  </si>
  <si>
    <t>v18</t>
  </si>
  <si>
    <t>Modify formula of I85, I90-I95, I97, I104-I105, I107, I109</t>
  </si>
  <si>
    <t>Modify formula of U85, U90-U95, U97, U104-U105, U107, U109</t>
  </si>
  <si>
    <t>Modify formula of E91, E93, E95, E105</t>
  </si>
  <si>
    <t>Modify formula of Q91, Q93, Q95, Q105</t>
  </si>
  <si>
    <t>Modify D109, P109</t>
  </si>
  <si>
    <t>Tv29</t>
  </si>
  <si>
    <t>v19</t>
  </si>
  <si>
    <t>Change expression of L22</t>
  </si>
  <si>
    <t>Modify delay value after video start</t>
  </si>
  <si>
    <t>Change HDCP related register part</t>
  </si>
  <si>
    <t>Tv30</t>
  </si>
  <si>
    <t>Change format name. PIC24* to C source *</t>
  </si>
  <si>
    <t>Change function name for C source * conversion.</t>
  </si>
  <si>
    <t>Tv31</t>
  </si>
  <si>
    <t>v20</t>
  </si>
  <si>
    <t>Modifiy HDMI HPW+HBP judgement. (D22,E22)</t>
  </si>
  <si>
    <t>Modify delay between LCD command transmission during video transmission.</t>
  </si>
  <si>
    <t>Tv32</t>
  </si>
  <si>
    <t>Support Manufacture Name</t>
  </si>
  <si>
    <t>Tv33</t>
  </si>
  <si>
    <t>Sheet added</t>
  </si>
  <si>
    <t>Change sequence order</t>
  </si>
  <si>
    <t>Add Interrupt setting</t>
  </si>
  <si>
    <t>Tv34</t>
  </si>
  <si>
    <t>v21</t>
  </si>
  <si>
    <t>Modify formula of C211</t>
  </si>
  <si>
    <t>Tv35</t>
  </si>
  <si>
    <t>Change "Half(Auto)" to "Half(Manual)"</t>
  </si>
  <si>
    <t>v22</t>
  </si>
  <si>
    <t>Add Half(Manual) split setting.</t>
  </si>
  <si>
    <t>Change 0x0002 setting.</t>
  </si>
  <si>
    <t>Delete Half(Auto) split setting</t>
  </si>
  <si>
    <t>Change splitter setting</t>
  </si>
  <si>
    <t>Tv36</t>
  </si>
  <si>
    <t>v23</t>
  </si>
  <si>
    <t>Modify requirment for HDMI HPW,HBP,HFP</t>
  </si>
  <si>
    <t>Add G22 judgement</t>
  </si>
  <si>
    <t>Tv37</t>
  </si>
  <si>
    <t>Add cases for Auto Display Off</t>
  </si>
  <si>
    <t>v24</t>
  </si>
  <si>
    <t>Add Auto Display Off mode setting</t>
  </si>
  <si>
    <t>Delete RS4, RS5</t>
  </si>
  <si>
    <t>1st edition. RS_DO,RS4 and RS5.</t>
  </si>
  <si>
    <t>Tv38</t>
  </si>
  <si>
    <t>v25</t>
  </si>
  <si>
    <t>Add Solid Color Bar setting</t>
  </si>
  <si>
    <t>Add Solid Color Bar setting.</t>
  </si>
  <si>
    <t>Modify delay value conversion</t>
  </si>
  <si>
    <t>Modify Color Bar register setting order.</t>
  </si>
  <si>
    <t>Delete RM11A format</t>
  </si>
  <si>
    <t>Tv39</t>
  </si>
  <si>
    <t>v26</t>
  </si>
  <si>
    <t>Modify conditional color setting of C24.</t>
  </si>
  <si>
    <t>Enable link selection by D42.</t>
  </si>
  <si>
    <t>Tv40</t>
  </si>
  <si>
    <t>Add HDMI cable status check routine.</t>
  </si>
  <si>
    <t>&lt;HDMI Input&gt;</t>
  </si>
  <si>
    <t xml:space="preserve">Select "Main_Parameters" sheet. </t>
  </si>
  <si>
    <t xml:space="preserve">Fill parameters to yellow colored cells
</t>
  </si>
  <si>
    <t>2-1</t>
  </si>
  <si>
    <t>Select DSI output source by C29. Select "HDMI".</t>
  </si>
  <si>
    <t>2-2</t>
  </si>
  <si>
    <t>Fill HDMI related paramters at "HDMI Input" part.</t>
  </si>
  <si>
    <t>2-1-1</t>
  </si>
  <si>
    <t>HDMI input timing can be selected by cell B20. If other timings which are not listed in the cell is needed, select "Original" and fill timigns to cell C19~K19,L20,L21,M23,M24,M25.</t>
  </si>
  <si>
    <t>2-3</t>
  </si>
  <si>
    <t>Select "DSI Output Format" by C45. Select DSI mode by D45.</t>
  </si>
  <si>
    <t>2-4</t>
  </si>
  <si>
    <t>Set split mode.</t>
  </si>
  <si>
    <t>2-4-1</t>
  </si>
  <si>
    <t>Split mode "enable"/"disable" is set by F40 and H40 for DSI-TX0 and DSI-TX1 each. When "disabled", HDMI input goes to both DSI-TX0 and DSI-TX1 without splitting.</t>
  </si>
  <si>
    <t>2-4-2</t>
  </si>
  <si>
    <t>Split mode is set by C42. "Half(Manual)" mode will divide H active pixel from HDMI into half automatically and input to DSI-TX0 and DSI-TX1 each. 
When "Manual" mode is selected by C42, H active pixel for DSI-TX0 is set by E42 and E45. G42 and G45 are used to set H active pixel for DSI-TX1. 1st pixel of HDMI is pixel "1".
H active pixel for DSI-TX0 and DSI-TX1 is shown in E47 and G47 each.
For both "Half(Manual)" and "Manual" mode, dummy pixels can be added at the begingig and at the end of active pixel. Dummy pixel for DSI-TX0 is set by F42 and F45 and by H42 and H45 for DSI-TX1.
Pixels including dummy pixels need to be sent through DSI-TX0 and DSI-TX1 are shown in F47 and H47 each.</t>
  </si>
  <si>
    <t>2-4-3</t>
  </si>
  <si>
    <t>TX0,TX1 enable/disable is set by C43.</t>
  </si>
  <si>
    <t>2-5</t>
  </si>
  <si>
    <t>Fill "DSI Output Detail Timing" part</t>
  </si>
  <si>
    <t>2-5-1</t>
  </si>
  <si>
    <t>Different timing parameters can be set for DSI-TX0 and DSI-TX1. If same timing parameters is OK and the timing can meet timing requirement, set O50 as "Same as TX0".
For this case, same parameters are used for DSI-TX0 and DSI-TX1. Only setting parameters to DSI-TX0 side is OK. If different timing parameters are required, DSI-TX1 side parameters must be set independently.
Following explanation assumes a case that same timing parameters are used.</t>
  </si>
  <si>
    <t>2-5-2</t>
  </si>
  <si>
    <t xml:space="preserve">Set REFCLK frequency to C72 and set DSI lane to C78. </t>
  </si>
  <si>
    <t>2-5-3</t>
  </si>
  <si>
    <r>
      <rPr>
        <sz val="11"/>
        <color indexed="8"/>
        <rFont val="Arial"/>
        <family val="2"/>
      </rPr>
      <t>Suitable DSI speed is listed in J79,J80. Please adjust DSI speed referring to these values.
  J79:reference DSI speed when keeping same HPW+HBP time period as HDMI input.
  J80:reference DSI speed when no HPW+HBP time period is inserted.
To get DSI speed frequency, set Pre Divider value which decides unit clock (E74). Lower frequency is better.</t>
    </r>
    <r>
      <rPr>
        <sz val="11"/>
        <color indexed="8"/>
        <rFont val="ＭＳ Ｐゴシック"/>
        <family val="2"/>
      </rPr>
      <t>　</t>
    </r>
    <r>
      <rPr>
        <sz val="11"/>
        <color indexed="8"/>
        <rFont val="Arial"/>
        <family val="2"/>
      </rPr>
      <t xml:space="preserve">Pre divided value (I73) should be within spec(min)(J73) and spec(max)(K73).
Select DSI speed range (C74) according to J79 and J80.
DSI speed is calculated by Unit Clock(E74) * Multiply value(C75). DSI speed should be within spec(min)(J77) and spec(max)(K77).
Adjust LP&lt;-&gt;HS transition time paramters (C85~C105) for Judge column (E*) to be "OK".
As paramters at C column increase, calculated value (I column) will also increasae.
When the calculated value becomes within spec (J column and H column), judge (E column) will be "OK".
For C column parameters, please select relatively small value which can be "OK". </t>
    </r>
  </si>
  <si>
    <t>2-5-4</t>
  </si>
  <si>
    <t xml:space="preserve">Horizontal related porch timing on DSI is set by D60,D61,E60,D61 for DSI-TX0 and P60,P61,Q60,Q61 for DSI-TX1.
When DSI output is Sync Event Mode, only E60,E61 and Q60,Q61 are used and all is used for Sync Pulse Mode. 
E60(Q60) are used to set porch setting mode for Sync Event Mode and D60,E60(P60,Q60) are used to set porch setting mode for Sync Pulse Mode.
"Follow input" means that corresponding porch time period of DSI becomes almost the same as HDMI input porch timing. By using "Set", user can set porch value (HPW+HBP) on DSI side freely. 
Porch value is set by E61(Q61) for Sync Event Mode (HPW+HBP),  set by D61,E61(P61,Q61) for Sync Pulse Mode(HPW, HBP). Recommended mode is "Set".
Porch time period in "ns" unit is shown in E63(Q63) for Sync Event Mode (HPW+HBP),shown in D63,E63(P63,Q63) for Sync Pulse Mode(HPW, HBP).
Also shown in "ByteClock" unit below "ns" unit.  Please adjust porch value referring to these time. </t>
  </si>
  <si>
    <t>2-5-5</t>
  </si>
  <si>
    <t>When G63(S63) is "NG", DSI cannot output all the data within 1line. Please adjust parameters according to ERROR message shown in  B4~B9.</t>
  </si>
  <si>
    <t>2-6</t>
  </si>
  <si>
    <t>Fill Audio Related parameters according to required configuration. (Columns M,N,O, Row 2~6).</t>
  </si>
  <si>
    <t>2-7</t>
  </si>
  <si>
    <t>Fill EDID related parameters according to capability of receivable resolution/frame rate/Timng.
EDID data includes 1st and 2nd descriptors for recommended display timing.
Extra descriptors 3rd ~ 7th are enabled by R5.
There are 2 ways of setting for EDID.
One is to select from predefiend value. another is setting by user.
By setting S3~S10, user can select which method to use. When "Original" is selected, timing parameters set into C20~K20,L21,M23,M24 are used as EDID data.
When "New" is selected, timing data written into corresponding cells in "EDID" sheet is used as EDID data. 
Audio related EDID data is set through R17 and T17. In EDID, sampling capability is set as 48kHz/44.1kHz/32kHz and capability of receiving data is 16bit.
Multi Channel Audio is required, fill EDID:Speaker allocation information through A4~AJ10.</t>
  </si>
  <si>
    <t>2-8</t>
  </si>
  <si>
    <t>Select "EDID" sheet.  Fill EDID data in yellow colored cells if needed.</t>
  </si>
  <si>
    <t>Select "Source_*" sheet. Fill orange colored cells if needed.</t>
  </si>
  <si>
    <t xml:space="preserve">Command transmission to DSI-RX should be filled in "Command Transmission Before Video Start" and/or "Command Transmission After Video Start.
</t>
  </si>
  <si>
    <t>Setting seuqnece is automatically calculated and listed in B, D, E columns at "Source_*" sheet.
C column is Command. D column is Address, E column is Data.</t>
  </si>
  <si>
    <t>&lt;Embedded Color Bar Output&gt;</t>
  </si>
  <si>
    <t>Select DSI output source by C29. Select "Color Bar". Color Bar mode can be set by D29.</t>
  </si>
  <si>
    <t>Fill Color Bar size related paramters using "HDMI Input" part.</t>
  </si>
  <si>
    <t>Color Bar size and timing can be selected by cell B20. If other timings which are not listed in the cell is needed, select "Original" and fill timigns to cell C19~K19.
For Color Bar case, maximum PCLK(C20) frequency is limited by DSI-TX0 speed. PCLK(C20) &lt;= 2* DSI-TX0 ByteClock(C82).</t>
  </si>
  <si>
    <t>Select "Source_ColorBar" sheet. Fill orange colored cells if needed.</t>
  </si>
  <si>
    <t xml:space="preserve">Command transmission to DSI-RX should be filled in "Command Transmission Before Video Start" and/or "Command Transmission After Video Start.
"LP" or "HS" is decided by MODE_CONFIG Register bit4. Before command transmission, please set this bit to select "LP" or "HS".
</t>
  </si>
  <si>
    <t>Setting seuqnece is automatically calculated and listed on B, D, E columns at "Source_ColorBar" sheet.
"EDID" part, "LP Command" part and "HS Command" part are folded.
C column is Command. D column is Address, E column is Data.</t>
  </si>
  <si>
    <t>&lt;Read HDMI Timing&gt;</t>
  </si>
  <si>
    <t>TC358870XBG has a function to read inputted HDMI timing.</t>
  </si>
  <si>
    <t>"Source_HDMITimChk" sheet is used for this function.</t>
  </si>
  <si>
    <t>Select "Source_HDMITimChk" sheet.</t>
  </si>
  <si>
    <t>Execute sequnece listed in the sheet.</t>
  </si>
  <si>
    <t>Fill read out value by the sequence to yellow colored cells.</t>
  </si>
  <si>
    <t>HDMI signal timing inputted to TC358770XBG will be shown in H column.</t>
  </si>
  <si>
    <t>// Initialization for Stand-by (RS1)</t>
  </si>
  <si>
    <t>// Software Reset</t>
  </si>
  <si>
    <t>i2c1_uh2cd_write16(0x0004,0x0004); // ConfCtl0</t>
  </si>
  <si>
    <t>i2c1_uh2cd_write16(0x0002,0x3F00); // SysCtl</t>
  </si>
  <si>
    <t>i2c1_uh2cd_write16(0x0002,0x0000); // SysCtl</t>
  </si>
  <si>
    <t>i2c1_uh2cd_write16(0x0006,0x0000); // ConfCtl1</t>
  </si>
  <si>
    <t>// HDMI Interrupt Mask, Clear</t>
  </si>
  <si>
    <t>i2c1_uh2cd_write16(0x0016,0x0F3F); // IntMask</t>
  </si>
  <si>
    <t>i2c1_uh2cd_write8(0x8502,0xFF); // SYS_INT</t>
  </si>
  <si>
    <t>i2c1_uh2cd_write8(0x850B,0xFF); // MISC_INT</t>
  </si>
  <si>
    <t>i2c1_uh2cd_write16(0x0014,0x0F3F); // IntStatus</t>
  </si>
  <si>
    <t>i2c1_uh2cd_write8(0x8512,0xFE); // SYS_INTM</t>
  </si>
  <si>
    <t>i2c1_uh2cd_write8(0x851B,0xFD); // MISC_INTM</t>
  </si>
  <si>
    <t>// HDMI PHY</t>
  </si>
  <si>
    <t>i2c1_uh2cd_write8(0x8410,0x03); // PHY CTL</t>
  </si>
  <si>
    <t>i2c1_uh2cd_write8(0x8413,0x3F); // PHY_ENB</t>
  </si>
  <si>
    <t>i2c1_uh2cd_write8(0x8420,0x07); // EQ_BYPS</t>
  </si>
  <si>
    <t>i2c1_uh2cd_write8(0x84F0,0x31); // APLL_CTL</t>
  </si>
  <si>
    <t>i2c1_uh2cd_write8(0x84F4,0x01); // DDCIO_CTL</t>
  </si>
  <si>
    <t>// HDMI Clock</t>
  </si>
  <si>
    <t>i2c1_uh2cd_write16(0x8540,0x12C0); // SYS_FREQ0_1</t>
  </si>
  <si>
    <t>i2c1_uh2cd_write8(0x8630,0x00); // LOCKDET_FREQ0</t>
  </si>
  <si>
    <t>i2c1_uh2cd_write16(0x8631,0x0753); // LOCKDET_REF1_2</t>
  </si>
  <si>
    <t>i2c1_uh2cd_write8(0x8670,0x02); // NCO_F0_MOD</t>
  </si>
  <si>
    <t>i2c1_uh2cd_write16(0x8A0C,0x12C0); // CSC_SCLK0_1</t>
  </si>
  <si>
    <t>// EDID</t>
  </si>
  <si>
    <t>i2c1_uh2cd_write8(0x85E0,0x01); // EDID_MODE</t>
  </si>
  <si>
    <t>i2c1_uh2cd_write16(0x85E3,0x0100); // EDID_LEN1_2</t>
  </si>
  <si>
    <t>// EDID Data</t>
  </si>
  <si>
    <t>i2c1_uh2cd_write8(0x8C00,0x00); // EDID_RAM</t>
  </si>
  <si>
    <t>i2c1_uh2cd_write8(0x8C01,0xFF); // EDID_RAM</t>
  </si>
  <si>
    <t>i2c1_uh2cd_write8(0x8C02,0xFF); // EDID_RAM</t>
  </si>
  <si>
    <t>i2c1_uh2cd_write8(0x8C03,0xFF); // EDID_RAM</t>
  </si>
  <si>
    <t>i2c1_uh2cd_write8(0x8C04,0xFF); // EDID_RAM</t>
  </si>
  <si>
    <t>i2c1_uh2cd_write8(0x8C05,0xFF); // EDID_RAM</t>
  </si>
  <si>
    <t>i2c1_uh2cd_write8(0x8C06,0xFF); // EDID_RAM</t>
  </si>
  <si>
    <t>i2c1_uh2cd_write8(0x8C07,0x00); // EDID_RAM</t>
  </si>
  <si>
    <t>i2c1_uh2cd_write8(0x8C08,0x52); // EDID_RAM</t>
  </si>
  <si>
    <t>i2c1_uh2cd_write8(0x8C09,0x62); // EDID_RAM</t>
  </si>
  <si>
    <t>i2c1_uh2cd_write8(0x8C0A,0x88); // EDID_RAM</t>
  </si>
  <si>
    <t>i2c1_uh2cd_write8(0x8C0B,0x88); // EDID_RAM</t>
  </si>
  <si>
    <t>i2c1_uh2cd_write8(0x8C0C,0x00); // EDID_RAM</t>
  </si>
  <si>
    <t>i2c1_uh2cd_write8(0x8C0D,0x88); // EDID_RAM</t>
  </si>
  <si>
    <t>i2c1_uh2cd_write8(0x8C0E,0x88); // EDID_RAM</t>
  </si>
  <si>
    <t>i2c1_uh2cd_write8(0x8C0F,0x88); // EDID_RAM</t>
  </si>
  <si>
    <t>i2c1_uh2cd_write8(0x8C10,0x1C); // EDID_RAM</t>
  </si>
  <si>
    <t>i2c1_uh2cd_write8(0x8C11,0x15); // EDID_RAM</t>
  </si>
  <si>
    <t>i2c1_uh2cd_write8(0x8C12,0x01); // EDID_RAM</t>
  </si>
  <si>
    <t>i2c1_uh2cd_write8(0x8C13,0x03); // EDID_RAM</t>
  </si>
  <si>
    <t>i2c1_uh2cd_write8(0x8C14,0x80); // EDID_RAM</t>
  </si>
  <si>
    <t>i2c1_uh2cd_write8(0x8C15,0x00); // EDID_RAM</t>
  </si>
  <si>
    <t>i2c1_uh2cd_write8(0x8C16,0x00); // EDID_RAM</t>
  </si>
  <si>
    <t>i2c1_uh2cd_write8(0x8C17,0x78); // EDID_RAM</t>
  </si>
  <si>
    <t>i2c1_uh2cd_write8(0x8C18,0x0A); // EDID_RAM</t>
  </si>
  <si>
    <t>i2c1_uh2cd_write8(0x8C19,0x0D); // EDID_RAM</t>
  </si>
  <si>
    <t>i2c1_uh2cd_write8(0x8C1A,0xC9); // EDID_RAM</t>
  </si>
  <si>
    <t>i2c1_uh2cd_write8(0x8C1B,0xA0); // EDID_RAM</t>
  </si>
  <si>
    <t>i2c1_uh2cd_write8(0x8C1C,0x57); // EDID_RAM</t>
  </si>
  <si>
    <t>i2c1_uh2cd_write8(0x8C1D,0x47); // EDID_RAM</t>
  </si>
  <si>
    <t>i2c1_uh2cd_write8(0x8C1E,0x98); // EDID_RAM</t>
  </si>
  <si>
    <t>i2c1_uh2cd_write8(0x8C1F,0x27); // EDID_RAM</t>
  </si>
  <si>
    <t>i2c1_uh2cd_write8(0x8C20,0x12); // EDID_RAM</t>
  </si>
  <si>
    <t>i2c1_uh2cd_write8(0x8C21,0x48); // EDID_RAM</t>
  </si>
  <si>
    <t>i2c1_uh2cd_write8(0x8C22,0x4C); // EDID_RAM</t>
  </si>
  <si>
    <t>i2c1_uh2cd_write8(0x8C23,0x00); // EDID_RAM</t>
  </si>
  <si>
    <t>i2c1_uh2cd_write8(0x8C24,0x00); // EDID_RAM</t>
  </si>
  <si>
    <t>i2c1_uh2cd_write8(0x8C25,0x00); // EDID_RAM</t>
  </si>
  <si>
    <t>i2c1_uh2cd_write8(0x8C26,0x01); // EDID_RAM</t>
  </si>
  <si>
    <t>i2c1_uh2cd_write8(0x8C27,0x01); // EDID_RAM</t>
  </si>
  <si>
    <t>i2c1_uh2cd_write8(0x8C28,0x01); // EDID_RAM</t>
  </si>
  <si>
    <t>i2c1_uh2cd_write8(0x8C29,0x01); // EDID_RAM</t>
  </si>
  <si>
    <t>i2c1_uh2cd_write8(0x8C2A,0x01); // EDID_RAM</t>
  </si>
  <si>
    <t>i2c1_uh2cd_write8(0x8C2B,0x01); // EDID_RAM</t>
  </si>
  <si>
    <t>i2c1_uh2cd_write8(0x8C2C,0x01); // EDID_RAM</t>
  </si>
  <si>
    <t>i2c1_uh2cd_write8(0x8C2D,0x01); // EDID_RAM</t>
  </si>
  <si>
    <t>i2c1_uh2cd_write8(0x8C2E,0x01); // EDID_RAM</t>
  </si>
  <si>
    <t>i2c1_uh2cd_write8(0x8C2F,0x01); // EDID_RAM</t>
  </si>
  <si>
    <t>i2c1_uh2cd_write8(0x8C30,0x01); // EDID_RAM</t>
  </si>
  <si>
    <t>i2c1_uh2cd_write8(0x8C31,0x01); // EDID_RAM</t>
  </si>
  <si>
    <t>i2c1_uh2cd_write8(0x8C32,0x01); // EDID_RAM</t>
  </si>
  <si>
    <t>i2c1_uh2cd_write8(0x8C33,0x01); // EDID_RAM</t>
  </si>
  <si>
    <t>i2c1_uh2cd_write8(0x8C34,0x01); // EDID_RAM</t>
  </si>
  <si>
    <t>i2c1_uh2cd_write8(0x8C35,0x01); // EDID_RAM</t>
  </si>
  <si>
    <t>i2c1_uh2cd_write8(0x8C38,0x38); // EDID_RAM</t>
  </si>
  <si>
    <t>i2c1_uh2cd_write8(0x8C39,0xFA); // EDID_RAM</t>
  </si>
  <si>
    <t>i2c1_uh2cd_write8(0x8C3A,0x40); // EDID_RAM</t>
  </si>
  <si>
    <t>i2c1_uh2cd_write8(0x8C3B,0x80); // EDID_RAM</t>
  </si>
  <si>
    <t>i2c1_uh2cd_write8(0x8C3D,0x70); // EDID_RAM</t>
  </si>
  <si>
    <t>i2c1_uh2cd_write8(0x8C3E,0x64); // EDID_RAM</t>
  </si>
  <si>
    <t>i2c1_uh2cd_write8(0x8C3F,0x32); // EDID_RAM</t>
  </si>
  <si>
    <t>i2c1_uh2cd_write8(0x8C41,0x00); // EDID_RAM</t>
  </si>
  <si>
    <t>i2c1_uh2cd_write8(0x8C42,0xC0); // EDID_RAM</t>
  </si>
  <si>
    <t>i2c1_uh2cd_write8(0x8C43,0x78); // EDID_RAM</t>
  </si>
  <si>
    <t>i2c1_uh2cd_write8(0x8C44,0x00); // EDID_RAM</t>
  </si>
  <si>
    <t>i2c1_uh2cd_write8(0x8C45,0x00); // EDID_RAM</t>
  </si>
  <si>
    <t>i2c1_uh2cd_write8(0x8C46,0x00); // EDID_RAM</t>
  </si>
  <si>
    <t>i2c1_uh2cd_write8(0x8C4A,0x38); // EDID_RAM</t>
  </si>
  <si>
    <t>i2c1_uh2cd_write8(0x8C4B,0xFA); // EDID_RAM</t>
  </si>
  <si>
    <t>i2c1_uh2cd_write8(0x8C4C,0x40); // EDID_RAM</t>
  </si>
  <si>
    <t>i2c1_uh2cd_write8(0x8C4D,0x80); // EDID_RAM</t>
  </si>
  <si>
    <t>i2c1_uh2cd_write8(0x8C4F,0x70); // EDID_RAM</t>
  </si>
  <si>
    <t>i2c1_uh2cd_write8(0x8C50,0x64); // EDID_RAM</t>
  </si>
  <si>
    <t>i2c1_uh2cd_write8(0x8C51,0x32); // EDID_RAM</t>
  </si>
  <si>
    <t>i2c1_uh2cd_write8(0x8C53,0x00); // EDID_RAM</t>
  </si>
  <si>
    <t>i2c1_uh2cd_write8(0x8C54,0xC0); // EDID_RAM</t>
  </si>
  <si>
    <t>i2c1_uh2cd_write8(0x8C55,0x78); // EDID_RAM</t>
  </si>
  <si>
    <t>i2c1_uh2cd_write8(0x8C56,0x00); // EDID_RAM</t>
  </si>
  <si>
    <t>i2c1_uh2cd_write8(0x8C57,0x00); // EDID_RAM</t>
  </si>
  <si>
    <t>i2c1_uh2cd_write8(0x8C58,0x00); // EDID_RAM</t>
  </si>
  <si>
    <t>i2c1_uh2cd_write8(0x8C5A,0x00); // EDID_RAM</t>
  </si>
  <si>
    <t>i2c1_uh2cd_write8(0x8C5B,0x00); // EDID_RAM</t>
  </si>
  <si>
    <t>i2c1_uh2cd_write8(0x8C5C,0x00); // EDID_RAM</t>
  </si>
  <si>
    <t>i2c1_uh2cd_write8(0x8C5D,0xFC); // EDID_RAM</t>
  </si>
  <si>
    <t>i2c1_uh2cd_write8(0x8C5E,0x00); // EDID_RAM</t>
  </si>
  <si>
    <t>i2c1_uh2cd_write8(0x8C5F,0x54); // EDID_RAM</t>
  </si>
  <si>
    <t>i2c1_uh2cd_write8(0x8C60,0x6F); // EDID_RAM</t>
  </si>
  <si>
    <t>i2c1_uh2cd_write8(0x8C61,0x73); // EDID_RAM</t>
  </si>
  <si>
    <t>i2c1_uh2cd_write8(0x8C62,0x68); // EDID_RAM</t>
  </si>
  <si>
    <t>i2c1_uh2cd_write8(0x8C63,0x69); // EDID_RAM</t>
  </si>
  <si>
    <t>i2c1_uh2cd_write8(0x8C64,0x62); // EDID_RAM</t>
  </si>
  <si>
    <t>i2c1_uh2cd_write8(0x8C65,0x61); // EDID_RAM</t>
  </si>
  <si>
    <t>i2c1_uh2cd_write8(0x8C66,0x2D); // EDID_RAM</t>
  </si>
  <si>
    <t>i2c1_uh2cd_write8(0x8C67,0x55); // EDID_RAM</t>
  </si>
  <si>
    <t>i2c1_uh2cd_write8(0x8C68,0x48); // EDID_RAM</t>
  </si>
  <si>
    <t>i2c1_uh2cd_write8(0x8C69,0x32); // EDID_RAM</t>
  </si>
  <si>
    <t>i2c1_uh2cd_write8(0x8C6A,0x44); // EDID_RAM</t>
  </si>
  <si>
    <t>i2c1_uh2cd_write8(0x8C6B,0x0A); // EDID_RAM</t>
  </si>
  <si>
    <t>i2c1_uh2cd_write8(0x8C6C,0x00); // EDID_RAM</t>
  </si>
  <si>
    <t>i2c1_uh2cd_write8(0x8C6D,0x00); // EDID_RAM</t>
  </si>
  <si>
    <t>i2c1_uh2cd_write8(0x8C6E,0x00); // EDID_RAM</t>
  </si>
  <si>
    <t>i2c1_uh2cd_write8(0x8C6F,0xFD); // EDID_RAM</t>
  </si>
  <si>
    <t>i2c1_uh2cd_write8(0x8C70,0x00); // EDID_RAM</t>
  </si>
  <si>
    <t>i2c1_uh2cd_write8(0x8C71,0x14); // EDID_RAM</t>
  </si>
  <si>
    <t>i2c1_uh2cd_write8(0x8C72,0x78); // EDID_RAM</t>
  </si>
  <si>
    <t>i2c1_uh2cd_write8(0x8C73,0x01); // EDID_RAM</t>
  </si>
  <si>
    <t>i2c1_uh2cd_write8(0x8C74,0xFF); // EDID_RAM</t>
  </si>
  <si>
    <t>i2c1_uh2cd_write8(0x8C75,0x1D); // EDID_RAM</t>
  </si>
  <si>
    <t>i2c1_uh2cd_write8(0x8C76,0x00); // EDID_RAM</t>
  </si>
  <si>
    <t>i2c1_uh2cd_write8(0x8C77,0x0A); // EDID_RAM</t>
  </si>
  <si>
    <t>i2c1_uh2cd_write8(0x8C78,0x20); // EDID_RAM</t>
  </si>
  <si>
    <t>i2c1_uh2cd_write8(0x8C79,0x20); // EDID_RAM</t>
  </si>
  <si>
    <t>i2c1_uh2cd_write8(0x8C7A,0x20); // EDID_RAM</t>
  </si>
  <si>
    <t>i2c1_uh2cd_write8(0x8C7B,0x20); // EDID_RAM</t>
  </si>
  <si>
    <t>i2c1_uh2cd_write8(0x8C7C,0x20); // EDID_RAM</t>
  </si>
  <si>
    <t>i2c1_uh2cd_write8(0x8C7D,0x20); // EDID_RAM</t>
  </si>
  <si>
    <t>i2c1_uh2cd_write8(0x8C80,0x02); // EDID_RAM</t>
  </si>
  <si>
    <t>i2c1_uh2cd_write8(0x8C81,0x03); // EDID_RAM</t>
  </si>
  <si>
    <t>i2c1_uh2cd_write8(0x8C82,0x1A); // EDID_RAM</t>
  </si>
  <si>
    <t>i2c1_uh2cd_write8(0x8C83,0x71); // EDID_RAM</t>
  </si>
  <si>
    <t>i2c1_uh2cd_write8(0x8C84,0x47); // EDID_RAM</t>
  </si>
  <si>
    <t>i2c1_uh2cd_write8(0x8C85,0xC6); // EDID_RAM</t>
  </si>
  <si>
    <t>i2c1_uh2cd_write8(0x8C86,0x46); // EDID_RAM</t>
  </si>
  <si>
    <t>i2c1_uh2cd_write8(0x8C87,0x46); // EDID_RAM</t>
  </si>
  <si>
    <t>i2c1_uh2cd_write8(0x8C88,0x46); // EDID_RAM</t>
  </si>
  <si>
    <t>i2c1_uh2cd_write8(0x8C89,0x46); // EDID_RAM</t>
  </si>
  <si>
    <t>i2c1_uh2cd_write8(0x8C8A,0x46); // EDID_RAM</t>
  </si>
  <si>
    <t>i2c1_uh2cd_write8(0x8C8B,0x46); // EDID_RAM</t>
  </si>
  <si>
    <t>i2c1_uh2cd_write8(0x8C8C,0x23); // EDID_RAM</t>
  </si>
  <si>
    <t>i2c1_uh2cd_write8(0x8C8D,0x09); // EDID_RAM</t>
  </si>
  <si>
    <t>i2c1_uh2cd_write8(0x8C8E,0x07); // EDID_RAM</t>
  </si>
  <si>
    <t>i2c1_uh2cd_write8(0x8C8F,0x01); // EDID_RAM</t>
  </si>
  <si>
    <t>i2c1_uh2cd_write8(0x8C90,0x83); // EDID_RAM</t>
  </si>
  <si>
    <t>i2c1_uh2cd_write8(0x8C91,0x01); // EDID_RAM</t>
  </si>
  <si>
    <t>i2c1_uh2cd_write8(0x8C92,0x00); // EDID_RAM</t>
  </si>
  <si>
    <t>i2c1_uh2cd_write8(0x8C93,0x00); // EDID_RAM</t>
  </si>
  <si>
    <t>i2c1_uh2cd_write8(0x8C94,0x65); // EDID_RAM</t>
  </si>
  <si>
    <t>i2c1_uh2cd_write8(0x8C95,0x03); // EDID_RAM</t>
  </si>
  <si>
    <t>i2c1_uh2cd_write8(0x8C96,0x0C); // EDID_RAM</t>
  </si>
  <si>
    <t>i2c1_uh2cd_write8(0x8C97,0x00); // EDID_RAM</t>
  </si>
  <si>
    <t>i2c1_uh2cd_write8(0x8C98,0x10); // EDID_RAM</t>
  </si>
  <si>
    <t>i2c1_uh2cd_write8(0x8C99,0x00); // EDID_RAM</t>
  </si>
  <si>
    <t>i2c1_uh2cd_write8(0x8C9C,0x38); // EDID_RAM</t>
  </si>
  <si>
    <t>i2c1_uh2cd_write8(0x8C9D,0xFA); // EDID_RAM</t>
  </si>
  <si>
    <t>i2c1_uh2cd_write8(0x8C9E,0x40); // EDID_RAM</t>
  </si>
  <si>
    <t>i2c1_uh2cd_write8(0x8C9F,0x80); // EDID_RAM</t>
  </si>
  <si>
    <t>i2c1_uh2cd_write8(0x8CA1,0x70); // EDID_RAM</t>
  </si>
  <si>
    <t>i2c1_uh2cd_write8(0x8CA2,0x64); // EDID_RAM</t>
  </si>
  <si>
    <t>i2c1_uh2cd_write8(0x8CA3,0x32); // EDID_RAM</t>
  </si>
  <si>
    <t>i2c1_uh2cd_write8(0x8CA5,0x00); // EDID_RAM</t>
  </si>
  <si>
    <t>i2c1_uh2cd_write8(0x8CA6,0xC0); // EDID_RAM</t>
  </si>
  <si>
    <t>i2c1_uh2cd_write8(0x8CA7,0x78); // EDID_RAM</t>
  </si>
  <si>
    <t>i2c1_uh2cd_write8(0x8CA8,0x00); // EDID_RAM</t>
  </si>
  <si>
    <t>i2c1_uh2cd_write8(0x8CA9,0x00); // EDID_RAM</t>
  </si>
  <si>
    <t>i2c1_uh2cd_write8(0x8CAA,0x00); // EDID_RAM</t>
  </si>
  <si>
    <t>i2c1_uh2cd_write8(0x8CAE,0x38); // EDID_RAM</t>
  </si>
  <si>
    <t>i2c1_uh2cd_write8(0x8CAF,0xFA); // EDID_RAM</t>
  </si>
  <si>
    <t>i2c1_uh2cd_write8(0x8CB0,0x40); // EDID_RAM</t>
  </si>
  <si>
    <t>i2c1_uh2cd_write8(0x8CB1,0x80); // EDID_RAM</t>
  </si>
  <si>
    <t>i2c1_uh2cd_write8(0x8CB3,0x70); // EDID_RAM</t>
  </si>
  <si>
    <t>i2c1_uh2cd_write8(0x8CB4,0x64); // EDID_RAM</t>
  </si>
  <si>
    <t>i2c1_uh2cd_write8(0x8CB5,0x32); // EDID_RAM</t>
  </si>
  <si>
    <t>i2c1_uh2cd_write8(0x8CB7,0x00); // EDID_RAM</t>
  </si>
  <si>
    <t>i2c1_uh2cd_write8(0x8CB8,0xC0); // EDID_RAM</t>
  </si>
  <si>
    <t>i2c1_uh2cd_write8(0x8CB9,0x78); // EDID_RAM</t>
  </si>
  <si>
    <t>i2c1_uh2cd_write8(0x8CBA,0x00); // EDID_RAM</t>
  </si>
  <si>
    <t>i2c1_uh2cd_write8(0x8CBB,0x00); // EDID_RAM</t>
  </si>
  <si>
    <t>i2c1_uh2cd_write8(0x8CBC,0x00); // EDID_RAM</t>
  </si>
  <si>
    <t>i2c1_uh2cd_write8(0x8CC0,0x38); // EDID_RAM</t>
  </si>
  <si>
    <t>i2c1_uh2cd_write8(0x8CC1,0xFA); // EDID_RAM</t>
  </si>
  <si>
    <t>i2c1_uh2cd_write8(0x8CC2,0x40); // EDID_RAM</t>
  </si>
  <si>
    <t>i2c1_uh2cd_write8(0x8CC3,0x80); // EDID_RAM</t>
  </si>
  <si>
    <t>i2c1_uh2cd_write8(0x8CC5,0x70); // EDID_RAM</t>
  </si>
  <si>
    <t>i2c1_uh2cd_write8(0x8CC6,0x64); // EDID_RAM</t>
  </si>
  <si>
    <t>i2c1_uh2cd_write8(0x8CC7,0x32); // EDID_RAM</t>
  </si>
  <si>
    <t>i2c1_uh2cd_write8(0x8CC9,0x00); // EDID_RAM</t>
  </si>
  <si>
    <t>i2c1_uh2cd_write8(0x8CCA,0xC0); // EDID_RAM</t>
  </si>
  <si>
    <t>i2c1_uh2cd_write8(0x8CCB,0x78); // EDID_RAM</t>
  </si>
  <si>
    <t>i2c1_uh2cd_write8(0x8CCC,0x00); // EDID_RAM</t>
  </si>
  <si>
    <t>i2c1_uh2cd_write8(0x8CCD,0x00); // EDID_RAM</t>
  </si>
  <si>
    <t>i2c1_uh2cd_write8(0x8CCE,0x00); // EDID_RAM</t>
  </si>
  <si>
    <t>i2c1_uh2cd_write8(0x8CD2,0x38); // EDID_RAM</t>
  </si>
  <si>
    <t>i2c1_uh2cd_write8(0x8CD3,0xFA); // EDID_RAM</t>
  </si>
  <si>
    <t>i2c1_uh2cd_write8(0x8CD4,0x40); // EDID_RAM</t>
  </si>
  <si>
    <t>i2c1_uh2cd_write8(0x8CD5,0x80); // EDID_RAM</t>
  </si>
  <si>
    <t>i2c1_uh2cd_write8(0x8CD7,0x70); // EDID_RAM</t>
  </si>
  <si>
    <t>i2c1_uh2cd_write8(0x8CD8,0x64); // EDID_RAM</t>
  </si>
  <si>
    <t>i2c1_uh2cd_write8(0x8CD9,0x32); // EDID_RAM</t>
  </si>
  <si>
    <t>i2c1_uh2cd_write8(0x8CDB,0x00); // EDID_RAM</t>
  </si>
  <si>
    <t>i2c1_uh2cd_write8(0x8CDC,0xC0); // EDID_RAM</t>
  </si>
  <si>
    <t>i2c1_uh2cd_write8(0x8CDD,0x78); // EDID_RAM</t>
  </si>
  <si>
    <t>i2c1_uh2cd_write8(0x8CDE,0x00); // EDID_RAM</t>
  </si>
  <si>
    <t>i2c1_uh2cd_write8(0x8CDF,0x00); // EDID_RAM</t>
  </si>
  <si>
    <t>i2c1_uh2cd_write8(0x8CE0,0x00); // EDID_RAM</t>
  </si>
  <si>
    <t>i2c1_uh2cd_write8(0x8CE2,0x00); // EDID_RAM</t>
  </si>
  <si>
    <t>i2c1_uh2cd_write8(0x8CE3,0x00); // EDID_RAM</t>
  </si>
  <si>
    <t>i2c1_uh2cd_write8(0x8CE4,0x00); // EDID_RAM</t>
  </si>
  <si>
    <t>i2c1_uh2cd_write8(0x8CE5,0x00); // EDID_RAM</t>
  </si>
  <si>
    <t>i2c1_uh2cd_write8(0x8CE6,0x00); // EDID_RAM</t>
  </si>
  <si>
    <t>i2c1_uh2cd_write8(0x8CE7,0x00); // EDID_RAM</t>
  </si>
  <si>
    <t>i2c1_uh2cd_write8(0x8CE8,0x00); // EDID_RAM</t>
  </si>
  <si>
    <t>i2c1_uh2cd_write8(0x8CE9,0x00); // EDID_RAM</t>
  </si>
  <si>
    <t>i2c1_uh2cd_write8(0x8CEA,0x00); // EDID_RAM</t>
  </si>
  <si>
    <t>i2c1_uh2cd_write8(0x8CEB,0x00); // EDID_RAM</t>
  </si>
  <si>
    <t>i2c1_uh2cd_write8(0x8CEC,0x00); // EDID_RAM</t>
  </si>
  <si>
    <t>i2c1_uh2cd_write8(0x8CED,0x00); // EDID_RAM</t>
  </si>
  <si>
    <t>i2c1_uh2cd_write8(0x8CEE,0x00); // EDID_RAM</t>
  </si>
  <si>
    <t>i2c1_uh2cd_write8(0x8CEF,0x00); // EDID_RAM</t>
  </si>
  <si>
    <t>i2c1_uh2cd_write8(0x8CF0,0x00); // EDID_RAM</t>
  </si>
  <si>
    <t>i2c1_uh2cd_write8(0x8CF1,0x00); // EDID_RAM</t>
  </si>
  <si>
    <t>i2c1_uh2cd_write8(0x8CF2,0x00); // EDID_RAM</t>
  </si>
  <si>
    <t>i2c1_uh2cd_write8(0x8CF3,0x00); // EDID_RAM</t>
  </si>
  <si>
    <t>i2c1_uh2cd_write8(0x8CF4,0x00); // EDID_RAM</t>
  </si>
  <si>
    <t>i2c1_uh2cd_write8(0x8CF5,0x00); // EDID_RAM</t>
  </si>
  <si>
    <t>i2c1_uh2cd_write8(0x8CF6,0x00); // EDID_RAM</t>
  </si>
  <si>
    <t>i2c1_uh2cd_write8(0x8CF7,0x00); // EDID_RAM</t>
  </si>
  <si>
    <t>i2c1_uh2cd_write8(0x8CF8,0x00); // EDID_RAM</t>
  </si>
  <si>
    <t>i2c1_uh2cd_write8(0x8CF9,0x00); // EDID_RAM</t>
  </si>
  <si>
    <t>i2c1_uh2cd_write8(0x8CFA,0x00); // EDID_RAM</t>
  </si>
  <si>
    <t>i2c1_uh2cd_write8(0x8CFB,0x00); // EDID_RAM</t>
  </si>
  <si>
    <t>i2c1_uh2cd_write8(0x8CFC,0x00); // EDID_RAM</t>
  </si>
  <si>
    <t>i2c1_uh2cd_write8(0x8CFD,0x00); // EDID_RAM</t>
  </si>
  <si>
    <t>i2c1_uh2cd_write8(0x8CFE,0x00); // EDID_RAM</t>
  </si>
  <si>
    <t>// HDCP Setting</t>
  </si>
  <si>
    <t>// HDMI SYSTEM</t>
  </si>
  <si>
    <t>i2c1_uh2cd_write8(0x8543,0x02); // DDC_CTL</t>
  </si>
  <si>
    <t>i2c1_uh2cd_write8(0x8544,0x10); // HPD_CTL</t>
  </si>
  <si>
    <t>// HDMI Audio Setting</t>
  </si>
  <si>
    <t>i2c1_uh2cd_write8(0x8600,0x00); // AUD_Auto_Mute</t>
  </si>
  <si>
    <t>i2c1_uh2cd_write8(0x8602,0xF3); // Auto_CMD0</t>
  </si>
  <si>
    <t>i2c1_uh2cd_write8(0x8603,0x02); // Auto_CMD1</t>
  </si>
  <si>
    <t>i2c1_uh2cd_write8(0x8604,0x0C); // Auto_CMD2</t>
  </si>
  <si>
    <t>i2c1_uh2cd_write8(0x8606,0x05); // BUFINIT_START</t>
  </si>
  <si>
    <t>i2c1_uh2cd_write8(0x8607,0x00); // FS_MUTE</t>
  </si>
  <si>
    <t>i2c1_uh2cd_write8(0x8652,0x02); // SDO_MODE1</t>
  </si>
  <si>
    <t>i2c1_uh2cd_write32(0x8671,0x020C49BA); // NCO_48F0A_D</t>
  </si>
  <si>
    <t>i2c1_uh2cd_write32(0x8675,0x01E1B089); // NCO_44F0A_D</t>
  </si>
  <si>
    <t>i2c1_uh2cd_write8(0x8680,0x00); // AUD_MODE</t>
  </si>
  <si>
    <t>// Check HDMI cable status</t>
  </si>
  <si>
    <t xml:space="preserve">i2c1_uh2cd_read8(0x8520); // </t>
  </si>
  <si>
    <t>// Enable Interrupt</t>
  </si>
  <si>
    <t>i2c1_uh2cd_write16(0x0016,0x0F1F); // IntMask</t>
  </si>
  <si>
    <t>// Enter Sleep</t>
  </si>
  <si>
    <t>i2c1_uh2cd_write16(0x0002,0x0001); // SysCtl</t>
  </si>
  <si>
    <t>// Interrupt Service Routine(RS_Int)</t>
  </si>
  <si>
    <t>// Exit from Sleep</t>
  </si>
  <si>
    <t>Waitx1us(10);</t>
  </si>
  <si>
    <t>// Check Interrupt</t>
  </si>
  <si>
    <t>i2c1_uh2cd_read16(0x0014); // IntStatus</t>
  </si>
  <si>
    <t>i2c1_uh2cd_read16(0x001A); // IntSYSSTATUS</t>
  </si>
  <si>
    <t>i2c1_uh2cd_read8(0x8502); // SYS_INT</t>
  </si>
  <si>
    <t>i2c1_uh2cd_read8(0x850B); // MISC_INT</t>
  </si>
  <si>
    <t>i2c1_uh2cd_read8(0x8520); // SYS_STATUS</t>
  </si>
  <si>
    <t>// Initialization for Ready (RS2)</t>
  </si>
  <si>
    <t>i2c1_uh2cd_write16(0x0016,0x0D3F); // IntMask</t>
  </si>
  <si>
    <t>// Set HPDO to "H"</t>
  </si>
  <si>
    <t>i2c1_uh2cd_write8(0x854A,0x01); // INIT_END</t>
  </si>
  <si>
    <t>// MIPI Output Enable(RS3)</t>
  </si>
  <si>
    <t>// Check HDMI resolution/format</t>
  </si>
  <si>
    <t>Waitx1ms(5000);</t>
  </si>
  <si>
    <t>// MIPI Output Setting</t>
  </si>
  <si>
    <t>// Stop Video and Audio</t>
  </si>
  <si>
    <t>i2c1_uh2cd_write16(0x0004,0x0C34); // ConfCtl0</t>
  </si>
  <si>
    <t>// Soft Reset CSI-TX and Splitter Block</t>
  </si>
  <si>
    <t>i2c1_uh2cd_write16(0x0002,0x1200); // SysCtl</t>
  </si>
  <si>
    <t>// Video Color Format Setting</t>
  </si>
  <si>
    <t>i2c1_uh2cd_write8(0x8A02,0x42); // VOUT_SYNC0</t>
  </si>
  <si>
    <t>// DSI-TX0 Transition Timing</t>
  </si>
  <si>
    <t>i2c1_uh2cd_write32(0x0108,0x00000001); // DSI_TX_CLKEN</t>
  </si>
  <si>
    <t>i2c1_uh2cd_write32(0x010C,0x00000001); // DSI_TX_CLKSEL</t>
  </si>
  <si>
    <t>i2c1_uh2cd_write32(0x02A0,0x00000001); // MIPI_PLL_CONTROL</t>
  </si>
  <si>
    <t>i2c1_uh2cd_write32(0x02AC,0x000090CF); // MIPI_PLL_CNF</t>
  </si>
  <si>
    <t>Waitx1ms(1);</t>
  </si>
  <si>
    <t>i2c1_uh2cd_write32(0x02A0,0x00000003); // MIPI_PLL_CONTROL</t>
  </si>
  <si>
    <t>i2c1_uh2cd_write32(0x0118,0x00000014); // LANE_ENABLE</t>
  </si>
  <si>
    <t>i2c1_uh2cd_write32(0x0120,0x00001770); // LINE_INIT_COUNT</t>
  </si>
  <si>
    <t>i2c1_uh2cd_write32(0x0124,0x00000000); // HSTX_TO_COUNT</t>
  </si>
  <si>
    <t>i2c1_uh2cd_write32(0x0128,0x00000101); // FUNC_ENABLE</t>
  </si>
  <si>
    <t>i2c1_uh2cd_write32(0x0130,0x00010000); // DSI_TATO_COUNT</t>
  </si>
  <si>
    <t>i2c1_uh2cd_write32(0x0134,0x00005000); // DSI_PRESP_BTA_COUNT</t>
  </si>
  <si>
    <t>i2c1_uh2cd_write32(0x0138,0x00010000); // DSI_PRESP_LPR_COUNT</t>
  </si>
  <si>
    <t>i2c1_uh2cd_write32(0x013C,0x00010000); // DSI_PRESP_LPW_COUNT</t>
  </si>
  <si>
    <t>i2c1_uh2cd_write32(0x0140,0x00010000); // DSI_PRESP_HSR_COUNT</t>
  </si>
  <si>
    <t>i2c1_uh2cd_write32(0x0144,0x00010000); // DSI_PRESP_HSW_COUNT</t>
  </si>
  <si>
    <t>i2c1_uh2cd_write32(0x0148,0x00001000); // DSI_PR_TO_COUNT</t>
  </si>
  <si>
    <t>i2c1_uh2cd_write32(0x014C,0x00010000); // DSI_LRX-H_TO_COUNT</t>
  </si>
  <si>
    <t>i2c1_uh2cd_write32(0x0150,0x00000161); // FUNC_MODE</t>
  </si>
  <si>
    <t>i2c1_uh2cd_write32(0x0154,0x00000001); // DSI_RX_VC_ENABLE</t>
  </si>
  <si>
    <t>i2c1_uh2cd_write32(0x0158,0x000000C8); // IND_TO_COUNT</t>
  </si>
  <si>
    <t>i2c1_uh2cd_write32(0x0168,0x0000002A); // DSI_HSYNC_STOP_COUNT</t>
  </si>
  <si>
    <t>i2c1_uh2cd_write32(0x017C,0x00000081); // DSI_TX_MODE</t>
  </si>
  <si>
    <t>i2c1_uh2cd_write32(0x01A4,0x00000000); // DSI_RX_STATE_INT_MASK</t>
  </si>
  <si>
    <t>i2c1_uh2cd_write32(0x01C0,0x00000015); // DSI_LPRX_THRESH_COUNT</t>
  </si>
  <si>
    <t>i2c1_uh2cd_write32(0x0214,0x00000000); // APP_SIDE_ERR_INT_MASK</t>
  </si>
  <si>
    <t>i2c1_uh2cd_write32(0x021C,0x00000080); // DSI_RX_ERR_INT_MASK</t>
  </si>
  <si>
    <t>i2c1_uh2cd_write32(0x0224,0x00000000); // DSI_LPTX_INT_MASK</t>
  </si>
  <si>
    <t>i2c1_uh2cd_write32(0x0254,0x00000006); // LPTXTIMECNT</t>
  </si>
  <si>
    <t>i2c1_uh2cd_write32(0x0270,0x00000020); // HSTXVREGCNT</t>
  </si>
  <si>
    <t>i2c1_uh2cd_write32(0x0274,0x0000001F); // HSTXVREGEN</t>
  </si>
  <si>
    <t>i2c1_uh2cd_write32(0x0278,0x00060005); // BTA_COUNT</t>
  </si>
  <si>
    <t>i2c1_uh2cd_write32(0x027C,0x00000002); // DPHY_TX ADJUST</t>
  </si>
  <si>
    <t>i2c1_uh2cd_write32(0x011C,0x00000001); // DSITX_START</t>
  </si>
  <si>
    <t>// DSI-TX1 Transition Timing</t>
  </si>
  <si>
    <t>i2c1_uh2cd_write32(0x0308,0x00000001); // DSI_TX_CLKEN</t>
  </si>
  <si>
    <t>i2c1_uh2cd_write32(0x030C,0x00000001); // DSI_TX_CLKSEL</t>
  </si>
  <si>
    <t>i2c1_uh2cd_write32(0x04A0,0x00000001); // MIPI_PLL_CONTROL</t>
  </si>
  <si>
    <t>i2c1_uh2cd_write32(0x04AC,0x000090CF); // MIPI_PLL_CNF</t>
  </si>
  <si>
    <t>i2c1_uh2cd_write32(0x04A0,0x00000003); // MIPI_PLL_CONTROL</t>
  </si>
  <si>
    <t>i2c1_uh2cd_write32(0x0318,0x00000014); // LANE_ENABLE</t>
  </si>
  <si>
    <t>i2c1_uh2cd_write32(0x0320,0x00001770); // LINE_INIT_COUNT</t>
  </si>
  <si>
    <t>i2c1_uh2cd_write32(0x0324,0x00000000); // HSTX_TO_COUNT</t>
  </si>
  <si>
    <t>i2c1_uh2cd_write32(0x0328,0x00000101); // FUNC_ENABLE</t>
  </si>
  <si>
    <t>i2c1_uh2cd_write32(0x0330,0x00010000); // DSI_TATO_COUNT</t>
  </si>
  <si>
    <t>i2c1_uh2cd_write32(0x0334,0x00005000); // DSI_PRESP_BTA_COUNT</t>
  </si>
  <si>
    <t>i2c1_uh2cd_write32(0x0338,0x00010000); // DSI_PRESP_LPR_COUNT</t>
  </si>
  <si>
    <t>i2c1_uh2cd_write32(0x033C,0x00010000); // DSI_PRESP_LPW_COUNT</t>
  </si>
  <si>
    <t>i2c1_uh2cd_write32(0x0340,0x00010000); // DSI_PRESP_HSR_COUNT</t>
  </si>
  <si>
    <t>i2c1_uh2cd_write32(0x0344,0x00010000); // DSI_PRESP_HSW_COUNT</t>
  </si>
  <si>
    <t>i2c1_uh2cd_write32(0x0348,0x00001000); // DSI_PR_TO_COUNT</t>
  </si>
  <si>
    <t>i2c1_uh2cd_write32(0x034C,0x00010000); // DSI_LRX-H_TO_COUNT</t>
  </si>
  <si>
    <t>i2c1_uh2cd_write32(0x0350,0x00000161); // FUNC_MODE</t>
  </si>
  <si>
    <t>i2c1_uh2cd_write32(0x0354,0x00000001); // DSI_RX_VC_ENABLE</t>
  </si>
  <si>
    <t>i2c1_uh2cd_write32(0x0358,0x000000C8); // IND_TO_COUNT</t>
  </si>
  <si>
    <t>i2c1_uh2cd_write32(0x0368,0x0000002A); // DSI_HSYNC_STOP_COUNT</t>
  </si>
  <si>
    <t>i2c1_uh2cd_write32(0x037C,0x00000081); // DSI_TX_MODE</t>
  </si>
  <si>
    <t>i2c1_uh2cd_write32(0x038C,0x00000001); // DSI_HSYNC_WIDTH</t>
  </si>
  <si>
    <t>i2c1_uh2cd_write32(0x0390,0x00000104); // DSI_HBPR</t>
  </si>
  <si>
    <t>i2c1_uh2cd_write32(0x03A4,0x00000000); // DSI_RX_STATE_INT_MASK</t>
  </si>
  <si>
    <t>i2c1_uh2cd_write32(0x03C0,0x00000015); // DSI_LPRX_THRESH_COUNT</t>
  </si>
  <si>
    <t>i2c1_uh2cd_write32(0x0414,0x00000000); // APP_SIDE_ERR_INT_MASK</t>
  </si>
  <si>
    <t>i2c1_uh2cd_write32(0x041C,0x00000080); // DSI_RX_ERR_INT_MASK</t>
  </si>
  <si>
    <t>i2c1_uh2cd_write32(0x0424,0x00000000); // DSI_LPTX_INT_MASK</t>
  </si>
  <si>
    <t>i2c1_uh2cd_write32(0x0454,0x00000006); // LPTXTIMECNT</t>
  </si>
  <si>
    <t>i2c1_uh2cd_write32(0x0470,0x00000020); // HSTXVREGCNT</t>
  </si>
  <si>
    <t>i2c1_uh2cd_write32(0x0474,0x0000001F); // HSTXVREGEN</t>
  </si>
  <si>
    <t>i2c1_uh2cd_write32(0x0478,0x00060005); // BTA_COUNT</t>
  </si>
  <si>
    <t>i2c1_uh2cd_write32(0x047C,0x00000002); // DPHY_TX ADJUST</t>
  </si>
  <si>
    <t>i2c1_uh2cd_write32(0x031C,0x00000001); // DSITX_START</t>
  </si>
  <si>
    <t>// Command Transmission Before Video Start</t>
  </si>
  <si>
    <t>i2c1_uh2cd_write16(0x0500,0x0004); // CMD_SEL</t>
  </si>
  <si>
    <t>i2c1_uh2cd_write32(0x0110,0x00000016); // MODE_CONFIG</t>
  </si>
  <si>
    <t>i2c1_uh2cd_write32(0x0310,0x00000016); // MODE_CONFIG</t>
  </si>
  <si>
    <t>// LCD Initialization</t>
  </si>
  <si>
    <t>// Soft Reset</t>
  </si>
  <si>
    <t>i2c1_uh2cd_write16(0x0504,0x0005); // DCSCMD_Q</t>
  </si>
  <si>
    <t>i2c1_uh2cd_write16(0x0504,0x0001); // DCSCMD_Q</t>
  </si>
  <si>
    <t>Waitx1ms(5);</t>
  </si>
  <si>
    <t>// Set Pixel Format</t>
  </si>
  <si>
    <t>i2c1_uh2cd_write16(0x0504,0x0015); // DCSCMD_Q</t>
  </si>
  <si>
    <t>i2c1_uh2cd_write16(0x0504,0x773A); // DCSCMD_Q</t>
  </si>
  <si>
    <t>Waitx1us(200);</t>
  </si>
  <si>
    <t>// Set Column Address</t>
  </si>
  <si>
    <t>i2c1_uh2cd_write16(0x0504,0x8039); // DCSCMD_Q</t>
  </si>
  <si>
    <t>i2c1_uh2cd_write16(0x0504,0x002A); // DCSCMD_Q</t>
  </si>
  <si>
    <t>i2c1_uh2cd_write16(0x0504,0x0400); // DCSCMD_Q</t>
  </si>
  <si>
    <t>i2c1_uh2cd_write16(0x0504,0x00FF); // DCSCMD_Q</t>
  </si>
  <si>
    <t>// Set Page Address</t>
  </si>
  <si>
    <t>i2c1_uh2cd_write16(0x0504,0x002B); // DCSCMD_Q</t>
  </si>
  <si>
    <t>i2c1_uh2cd_write16(0x0504,0x0600); // DCSCMD_Q</t>
  </si>
  <si>
    <t>i2c1_uh2cd_write16(0x0504,0x003F); // DCSCMD_Q</t>
  </si>
  <si>
    <t>// Set Tear On</t>
  </si>
  <si>
    <t>i2c1_uh2cd_write16(0x0504,0x0035); // DCSCMD_Q</t>
  </si>
  <si>
    <t>// Set Tear Scanline</t>
  </si>
  <si>
    <t>i2c1_uh2cd_write16(0x0504,0x0003); // DCSCMD_Q</t>
  </si>
  <si>
    <t>i2c1_uh2cd_write16(0x0504,0x0044); // DCSCMD_Q</t>
  </si>
  <si>
    <t>i2c1_uh2cd_write16(0x0504,0x0000); // DCSCMD_Q</t>
  </si>
  <si>
    <t>// Write Display Brightness</t>
  </si>
  <si>
    <t>i2c1_uh2cd_write16(0x0504,0xFF51); // DCSCMD_Q</t>
  </si>
  <si>
    <t>// Write Control Display</t>
  </si>
  <si>
    <t>i2c1_uh2cd_write16(0x0504,0x2453); // DCSCMD_Q</t>
  </si>
  <si>
    <t>// Adaptive Brightness Control</t>
  </si>
  <si>
    <t>i2c1_uh2cd_write16(0x0504,0x0155); // DCSCMD_Q</t>
  </si>
  <si>
    <t>// Exit Sleep</t>
  </si>
  <si>
    <t>i2c1_uh2cd_write16(0x0504,0x0011); // DCSCMD_Q</t>
  </si>
  <si>
    <t>Waitx1ms(120);</t>
  </si>
  <si>
    <t>// MCAP</t>
  </si>
  <si>
    <t>i2c1_uh2cd_write16(0x0504,0x0023); // DCSCMD_Q</t>
  </si>
  <si>
    <t>i2c1_uh2cd_write16(0x0504,0x00B0); // DCSCMD_Q</t>
  </si>
  <si>
    <t>// Backlight Control 4</t>
  </si>
  <si>
    <t>i2c1_uh2cd_write16(0x0504,0x8029); // DCSCMD_Q</t>
  </si>
  <si>
    <t>i2c1_uh2cd_write16(0x0504,0x0014); // DCSCMD_Q</t>
  </si>
  <si>
    <t>i2c1_uh2cd_write16(0x0504,0x7DCE); // DCSCMD_Q</t>
  </si>
  <si>
    <t>i2c1_uh2cd_write16(0x0504,0x4840); // DCSCMD_Q</t>
  </si>
  <si>
    <t>i2c1_uh2cd_write16(0x0504,0x6756); // DCSCMD_Q</t>
  </si>
  <si>
    <t>i2c1_uh2cd_write16(0x0504,0x8878); // DCSCMD_Q</t>
  </si>
  <si>
    <t>i2c1_uh2cd_write16(0x0504,0xA798); // DCSCMD_Q</t>
  </si>
  <si>
    <t>i2c1_uh2cd_write16(0x0504,0xC3B5); // DCSCMD_Q</t>
  </si>
  <si>
    <t>i2c1_uh2cd_write16(0x0504,0xDED1); // DCSCMD_Q</t>
  </si>
  <si>
    <t>i2c1_uh2cd_write16(0x0504,0xF2E9); // DCSCMD_Q</t>
  </si>
  <si>
    <t>i2c1_uh2cd_write16(0x0504,0xFFFA); // DCSCMD_Q</t>
  </si>
  <si>
    <t>i2c1_uh2cd_write16(0x0504,0x0004); // DCSCMD_Q</t>
  </si>
  <si>
    <t>// Split Control</t>
  </si>
  <si>
    <t>i2c1_uh2cd_write16(0x5000,0x0100); // STX0_CTL</t>
  </si>
  <si>
    <t>i2c1_uh2cd_write16(0x500C,0x0000); // STX0_FPX</t>
  </si>
  <si>
    <t>i2c1_uh2cd_write16(0x5080,0x0100); // STX1_CTL</t>
  </si>
  <si>
    <t>i2c1_uh2cd_write16(0x508E,0x0437); // STX1_LPX</t>
  </si>
  <si>
    <t>i2c1_uh2cd_write16(0x7080,0x0080); // STX_DBG</t>
  </si>
  <si>
    <t>i2c1_uh2cd_write16(0x5008,0x0CA8); // STX0_WC</t>
  </si>
  <si>
    <t>i2c1_uh2cd_write16(0x5088,0x0CA8); // STX1_WC</t>
  </si>
  <si>
    <t>i2c1_uh2cd_write8(0x8503,0xFF); // CLK_INT</t>
  </si>
  <si>
    <t>i2c1_uh2cd_write8(0x8504,0xFF); // PACKET_INT</t>
  </si>
  <si>
    <t>i2c1_uh2cd_write8(0x8505,0xFF); // CBIT_INT</t>
  </si>
  <si>
    <t>i2c1_uh2cd_write8(0x8506,0xFF); // AUDIO_INT</t>
  </si>
  <si>
    <t>// Start Video TX</t>
  </si>
  <si>
    <t>i2c1_uh2cd_write16(0x0004,0x0C37); // ConfCtl0</t>
  </si>
  <si>
    <t>// Command Transmission After Video Start.</t>
  </si>
  <si>
    <t>i2c1_uh2cd_write32(0x0110,0x00000006); // MODE_CONFIG</t>
  </si>
  <si>
    <t>i2c1_uh2cd_write32(0x0310,0x00000006); // MODE_CONFIG</t>
  </si>
  <si>
    <t>Waitx1ms(32);</t>
  </si>
  <si>
    <t>// Interface Setting</t>
  </si>
  <si>
    <t>i2c1_uh2cd_write16(0x0504,0x14B3); // DCSCMD_Q</t>
  </si>
  <si>
    <t>i2c1_uh2cd_write16(0x0504,0x03B0); // DCSCMD_Q</t>
  </si>
  <si>
    <t>// Set Display On</t>
  </si>
  <si>
    <t>i2c1_uh2cd_write16(0x0504,0x0029); // DCSCMD_Q</t>
  </si>
  <si>
    <t>TOSHIBA Confidential</t>
  </si>
  <si>
    <t>Title</t>
  </si>
  <si>
    <t>1080*1920</t>
  </si>
  <si>
    <t>Audio Related</t>
  </si>
  <si>
    <t>EDID Related (Video)</t>
  </si>
  <si>
    <t>Native</t>
  </si>
  <si>
    <t>ID code</t>
  </si>
  <si>
    <t>EDID: Speaker Allocation</t>
  </si>
  <si>
    <t>Org</t>
  </si>
  <si>
    <t>Org/New</t>
  </si>
  <si>
    <t>New</t>
  </si>
  <si>
    <t>Speaker Allocation</t>
  </si>
  <si>
    <t>&lt;Error Message&gt;</t>
  </si>
  <si>
    <t>Audio Out</t>
  </si>
  <si>
    <t>Aud CH Sel</t>
  </si>
  <si>
    <t>Audio CH</t>
  </si>
  <si>
    <t>1st Descriptor</t>
  </si>
  <si>
    <t>Original</t>
  </si>
  <si>
    <t>Yes</t>
  </si>
  <si>
    <t>I2S</t>
  </si>
  <si>
    <t>Auto</t>
  </si>
  <si>
    <t>2nd Descriptor</t>
  </si>
  <si>
    <t>No</t>
  </si>
  <si>
    <t>I2S/TDM dly</t>
  </si>
  <si>
    <t>Audio BitClk</t>
  </si>
  <si>
    <t>Extended Inf</t>
  </si>
  <si>
    <t>Enable</t>
  </si>
  <si>
    <t>No Delay</t>
  </si>
  <si>
    <t>Free Run</t>
  </si>
  <si>
    <t>3rd Descriptor</t>
  </si>
  <si>
    <t>FRONT</t>
  </si>
  <si>
    <t>4th Descriptor</t>
  </si>
  <si>
    <t>I2C Auto Inc</t>
  </si>
  <si>
    <t>Auto Inc</t>
  </si>
  <si>
    <t>5th Descriptor</t>
  </si>
  <si>
    <t>6th Descriptor</t>
  </si>
  <si>
    <t>7th Descriptor</t>
  </si>
  <si>
    <t>REAR</t>
  </si>
  <si>
    <t>HDMI Input</t>
  </si>
  <si>
    <t>EDID Rletaed (Audio)</t>
  </si>
  <si>
    <t>PCLK</t>
  </si>
  <si>
    <t>HPW</t>
  </si>
  <si>
    <t>HBPR</t>
  </si>
  <si>
    <t>Hactive</t>
  </si>
  <si>
    <t>HFPR</t>
  </si>
  <si>
    <t>VSW</t>
  </si>
  <si>
    <t>VBPR</t>
  </si>
  <si>
    <t>Vactive</t>
  </si>
  <si>
    <t>VFPR</t>
  </si>
  <si>
    <t>Common Timing</t>
  </si>
  <si>
    <t>Timing Select</t>
  </si>
  <si>
    <t>(MHz)</t>
  </si>
  <si>
    <t>(PCLK)</t>
  </si>
  <si>
    <t>(line)</t>
  </si>
  <si>
    <t>Format</t>
  </si>
  <si>
    <t>Htotal</t>
  </si>
  <si>
    <t>Vtotal</t>
  </si>
  <si>
    <t>Original Timing Input -&gt;</t>
  </si>
  <si>
    <t>fps</t>
  </si>
  <si>
    <t>(us)</t>
  </si>
  <si>
    <t>(ms)</t>
  </si>
  <si>
    <t>CVT HTTL</t>
  </si>
  <si>
    <t>CVT HPW</t>
  </si>
  <si>
    <t>CVT HBP</t>
  </si>
  <si>
    <t>CVT HFP</t>
  </si>
  <si>
    <t>RGB888</t>
  </si>
  <si>
    <t>&lt;=297MHz(HDMI)</t>
  </si>
  <si>
    <t>&gt;=32</t>
  </si>
  <si>
    <t>&gt;=40</t>
  </si>
  <si>
    <t>1-4096</t>
  </si>
  <si>
    <t>&gt;=8</t>
  </si>
  <si>
    <t>2-1023</t>
  </si>
  <si>
    <t>1-1023</t>
  </si>
  <si>
    <t>Progressive</t>
  </si>
  <si>
    <t>HDCP</t>
  </si>
  <si>
    <t>Audio</t>
  </si>
  <si>
    <t>&lt;=2*TX0ByteClk(CB)</t>
  </si>
  <si>
    <t>Non HDCP chip</t>
  </si>
  <si>
    <t>HSYNC Pol</t>
  </si>
  <si>
    <t>H Active</t>
  </si>
  <si>
    <t>H size(mm)</t>
  </si>
  <si>
    <t>PCLK for Auto Disp Off-&gt;</t>
  </si>
  <si>
    <t>ns</t>
  </si>
  <si>
    <t>us</t>
  </si>
  <si>
    <t xml:space="preserve">EQ </t>
  </si>
  <si>
    <t>Disable</t>
  </si>
  <si>
    <t>VSYNC Pol</t>
  </si>
  <si>
    <t>V size(mm)</t>
  </si>
  <si>
    <t>R(0~255)</t>
  </si>
  <si>
    <t>G(0~255)</t>
  </si>
  <si>
    <t>B(0~255)</t>
  </si>
  <si>
    <t>Signal Source</t>
  </si>
  <si>
    <t>HDMI</t>
  </si>
  <si>
    <t>Bar</t>
  </si>
  <si>
    <t>TX0 Splitter-&gt;</t>
  </si>
  <si>
    <t>Bypass</t>
  </si>
  <si>
    <t>TX1 Splitter-&gt;</t>
  </si>
  <si>
    <t>Interlace VID</t>
  </si>
  <si>
    <t>DSI Mode</t>
  </si>
  <si>
    <t>Splitter Mode</t>
  </si>
  <si>
    <t>1st Pixel to</t>
  </si>
  <si>
    <t>TX0 Output
Start Pixel</t>
  </si>
  <si>
    <t>TX0 Dmy Pix
(Start)</t>
  </si>
  <si>
    <t>TX1 Output
Start Pixel</t>
  </si>
  <si>
    <t>TX1 Dmy Pix
(Start)</t>
  </si>
  <si>
    <t>for Top
(Hex 2digit)</t>
  </si>
  <si>
    <t>for Bottom
(Hex 2digit)</t>
  </si>
  <si>
    <t>DSI0</t>
  </si>
  <si>
    <t>A0</t>
  </si>
  <si>
    <t>Splitter</t>
  </si>
  <si>
    <t>TX0/1 Enable</t>
  </si>
  <si>
    <t>DSI Output
Format</t>
  </si>
  <si>
    <t>DSI
Sync Mode</t>
  </si>
  <si>
    <t>TX0 Output
End Pixel</t>
  </si>
  <si>
    <t>TX0 Dmy Pix
(End)</t>
  </si>
  <si>
    <t>TX1 Output
End Pixel</t>
  </si>
  <si>
    <t>TX1 Dmy Pix
(End)</t>
  </si>
  <si>
    <t>SyncEvent</t>
  </si>
  <si>
    <t>TX0 DMY Color</t>
  </si>
  <si>
    <t>TX1 DMY Color</t>
  </si>
  <si>
    <t>MSF</t>
  </si>
  <si>
    <t>TX0 Trf Pix</t>
  </si>
  <si>
    <t>TX1 Trf Pix</t>
  </si>
  <si>
    <t>R</t>
  </si>
  <si>
    <t>G</t>
  </si>
  <si>
    <t>Auto Disp Off</t>
  </si>
  <si>
    <t>B</t>
  </si>
  <si>
    <t>DSI-TX0 Output</t>
  </si>
  <si>
    <t>Parameter Select-&gt;</t>
  </si>
  <si>
    <t>Same as TX0</t>
  </si>
  <si>
    <t>DSI-TX1 Outout</t>
  </si>
  <si>
    <t>Timing</t>
  </si>
  <si>
    <t>HPW+HBP by</t>
  </si>
  <si>
    <t>HS</t>
  </si>
  <si>
    <t>Follow Input</t>
  </si>
  <si>
    <t>HFP  left</t>
  </si>
  <si>
    <t>V Active</t>
  </si>
  <si>
    <t>V Blank</t>
  </si>
  <si>
    <t>Set</t>
  </si>
  <si>
    <t>Mbps/lane</t>
  </si>
  <si>
    <t>Time(ns)-&gt;</t>
  </si>
  <si>
    <t>Time(ByteClk)-&gt;</t>
  </si>
  <si>
    <t>DSI Output Detail Timing</t>
  </si>
  <si>
    <t>Value</t>
  </si>
  <si>
    <t>Sepc min</t>
  </si>
  <si>
    <t>Spec max</t>
  </si>
  <si>
    <t>REFCLK</t>
  </si>
  <si>
    <t>MHz</t>
  </si>
  <si>
    <t>REFCK(MHz)</t>
  </si>
  <si>
    <t>Pre Divider value</t>
  </si>
  <si>
    <t>1-16</t>
  </si>
  <si>
    <t>PLL input clock(MHz)</t>
  </si>
  <si>
    <t>DSI speed range(Mbps)</t>
  </si>
  <si>
    <t>500M-1G</t>
  </si>
  <si>
    <t>Unit Clock</t>
  </si>
  <si>
    <t>Multiply value of Unit Clock</t>
  </si>
  <si>
    <t>1-511</t>
  </si>
  <si>
    <t>Multiply Vaue</t>
  </si>
  <si>
    <t>FRS,PRD,FBD-&gt;</t>
  </si>
  <si>
    <t>DSI speed/lane</t>
  </si>
  <si>
    <t>DSI speed (Mbps/lane)</t>
  </si>
  <si>
    <t>DSI lane</t>
  </si>
  <si>
    <t>lane</t>
  </si>
  <si>
    <t>Suitable DSI speed(Mbps/lane)</t>
  </si>
  <si>
    <t>Add EOT</t>
  </si>
  <si>
    <t>HPW+HBP</t>
  </si>
  <si>
    <t>DSI clock enable during LP</t>
  </si>
  <si>
    <t>Min</t>
  </si>
  <si>
    <t>HS Byte Clock</t>
  </si>
  <si>
    <t>SYSCLK Freq(MHz)</t>
  </si>
  <si>
    <t>LPTX of SLAVE</t>
  </si>
  <si>
    <t>Line Init Control</t>
  </si>
  <si>
    <t>Line Init Control(us)</t>
  </si>
  <si>
    <t>REG[0120h]bit[15:0]</t>
  </si>
  <si>
    <t>0-65535</t>
  </si>
  <si>
    <t>REG[0310h]bit[15:0]</t>
  </si>
  <si>
    <t>LPTXTIMECNT</t>
  </si>
  <si>
    <r>
      <rPr>
        <sz val="11"/>
        <rFont val="Arial"/>
        <family val="2"/>
      </rPr>
      <t>TLPX</t>
    </r>
    <r>
      <rPr>
        <sz val="8"/>
        <rFont val="Arial"/>
        <family val="2"/>
      </rPr>
      <t>(Master)</t>
    </r>
    <r>
      <rPr>
        <sz val="11"/>
        <color indexed="8"/>
        <rFont val="Arial"/>
        <family val="2"/>
      </rPr>
      <t>/TLPX</t>
    </r>
    <r>
      <rPr>
        <sz val="8"/>
        <rFont val="Arial"/>
        <family val="2"/>
      </rPr>
      <t>(SLAVE)</t>
    </r>
  </si>
  <si>
    <t>TLPTXTIMECNT</t>
  </si>
  <si>
    <t>REG[0254h]bit[11:0]</t>
  </si>
  <si>
    <t>1-2047</t>
  </si>
  <si>
    <t>TLPX(ns)</t>
  </si>
  <si>
    <t>REG[0454h]bit[11:0]</t>
  </si>
  <si>
    <t>TCLK_HEADERCNT</t>
  </si>
  <si>
    <t>TCLK-PREPARE(ns)</t>
  </si>
  <si>
    <t>REG[0258h]bit[6:0]</t>
  </si>
  <si>
    <t>0-127</t>
  </si>
  <si>
    <t>REG[0458h]bit[6:0]</t>
  </si>
  <si>
    <t>TCLK-PREPARE+</t>
  </si>
  <si>
    <t>REG[0258h]bit[23:16]</t>
  </si>
  <si>
    <t>0-255</t>
  </si>
  <si>
    <t>TCLK-ZERO(ns)</t>
  </si>
  <si>
    <t>REG[0458h]bit[23:16]</t>
  </si>
  <si>
    <t>TCLK-Pre(ns)</t>
  </si>
  <si>
    <t>REG[0258h]bit[13:8]</t>
  </si>
  <si>
    <t>0-63</t>
  </si>
  <si>
    <t>REG[0458h]bit[13:8]</t>
  </si>
  <si>
    <t>TCLKTRAILCNT</t>
  </si>
  <si>
    <t>TCLK-TRAIL(ns)</t>
  </si>
  <si>
    <t>REG[025Ch]bit[7:0]</t>
  </si>
  <si>
    <t>REG[045Ch]bit[7:0]</t>
  </si>
  <si>
    <t>TCLK-EXIT(ns)</t>
  </si>
  <si>
    <t>REG[025Ch]bit[26:16]</t>
  </si>
  <si>
    <t>REG[045Ch]bit[26:16]</t>
  </si>
  <si>
    <t>THS_HEADERCNT</t>
  </si>
  <si>
    <t>THS-PREPARE(ns)</t>
  </si>
  <si>
    <t>REG[0260h]bit[6:0]</t>
  </si>
  <si>
    <t>REG[0460h]bit[6:0]</t>
  </si>
  <si>
    <t>THS-PREPARE+</t>
  </si>
  <si>
    <t>REG[0260h]bit[23:16]</t>
  </si>
  <si>
    <t>THS-ZERO(ns)</t>
  </si>
  <si>
    <t>REG[0460h]bit[23:16]</t>
  </si>
  <si>
    <t>TWAKEUPCNT</t>
  </si>
  <si>
    <t>TWAKEUP(ms)</t>
  </si>
  <si>
    <t>REG[0264h]bit[15:0]</t>
  </si>
  <si>
    <t>REG[0464h]bit[15:0]</t>
  </si>
  <si>
    <t>TCLKPOSTCNT</t>
  </si>
  <si>
    <t>TCLK-POST(ns)</t>
  </si>
  <si>
    <t>REG[0268h]bit[10:0]</t>
  </si>
  <si>
    <t>0-2047</t>
  </si>
  <si>
    <t>REG[0468h]bit[10:0]</t>
  </si>
  <si>
    <t>THSTRAILCNT</t>
  </si>
  <si>
    <t>THS-TRAIL(ns)</t>
  </si>
  <si>
    <t>REG[026Ch]bit[7:0]</t>
  </si>
  <si>
    <t>0-15</t>
  </si>
  <si>
    <t>REG[046Ch]bit[7:0]</t>
  </si>
  <si>
    <t>THS-EXIT(ns)</t>
  </si>
  <si>
    <t>REG[026Ch]bit[26:16]</t>
  </si>
  <si>
    <t>1-15</t>
  </si>
  <si>
    <t>REG[046Ch]bit[26:16]</t>
  </si>
  <si>
    <t>BTA_COUNT</t>
  </si>
  <si>
    <t>RX-TA-SURE(ns)</t>
  </si>
  <si>
    <t>REG[0278h]bit[10:0]</t>
  </si>
  <si>
    <t>REG[0478h]bit[10:0]</t>
  </si>
  <si>
    <t>TX-TA-GO(ns)</t>
  </si>
  <si>
    <t>REG[0278h]bit[26:16]</t>
  </si>
  <si>
    <t>REG[0478h]bit[26:16]</t>
  </si>
  <si>
    <t>&lt;= DSI:HS-&gt;LP-&gt;HS time (ns)</t>
  </si>
  <si>
    <t>Upper: Min</t>
  </si>
  <si>
    <t>&lt;= DSI:HS-&gt;LP-&gt;HS(short) time (ns)</t>
  </si>
  <si>
    <t>Lower: Max</t>
  </si>
  <si>
    <t>Address(Hex)</t>
  </si>
  <si>
    <t>Data(Hex)</t>
  </si>
  <si>
    <r>
      <rPr>
        <sz val="11"/>
        <color rgb="FFFF0000"/>
        <rFont val="Arial"/>
        <family val="2"/>
      </rPr>
      <t>bi</t>
    </r>
    <r>
      <rPr>
        <sz val="11"/>
        <color rgb="FFFF0000"/>
        <rFont val="ＭＳ Ｐゴシック"/>
        <family val="2"/>
      </rPr>
      <t>ｔ</t>
    </r>
    <r>
      <rPr>
        <sz val="11"/>
        <color rgb="FFFF0000"/>
        <rFont val="Arial"/>
        <family val="2"/>
      </rPr>
      <t>15</t>
    </r>
  </si>
  <si>
    <r>
      <rPr>
        <sz val="11"/>
        <color rgb="FFFF0000"/>
        <rFont val="Arial"/>
        <family val="2"/>
      </rPr>
      <t>bi</t>
    </r>
    <r>
      <rPr>
        <sz val="11"/>
        <color rgb="FFFF0000"/>
        <rFont val="ＭＳ Ｐゴシック"/>
        <family val="2"/>
      </rPr>
      <t>ｔ</t>
    </r>
    <r>
      <rPr>
        <sz val="11"/>
        <color rgb="FFFF0000"/>
        <rFont val="Arial"/>
        <family val="2"/>
      </rPr>
      <t>14</t>
    </r>
  </si>
  <si>
    <r>
      <rPr>
        <sz val="11"/>
        <color rgb="FFFF0000"/>
        <rFont val="Arial"/>
        <family val="2"/>
      </rPr>
      <t>bi</t>
    </r>
    <r>
      <rPr>
        <sz val="11"/>
        <color rgb="FFFF0000"/>
        <rFont val="ＭＳ Ｐゴシック"/>
        <family val="2"/>
      </rPr>
      <t>ｔ</t>
    </r>
    <r>
      <rPr>
        <sz val="11"/>
        <color rgb="FFFF0000"/>
        <rFont val="Arial"/>
        <family val="2"/>
      </rPr>
      <t>13</t>
    </r>
  </si>
  <si>
    <r>
      <rPr>
        <sz val="11"/>
        <color rgb="FFFF0000"/>
        <rFont val="Arial"/>
        <family val="2"/>
      </rPr>
      <t>bi</t>
    </r>
    <r>
      <rPr>
        <sz val="11"/>
        <color rgb="FFFF0000"/>
        <rFont val="ＭＳ Ｐゴシック"/>
        <family val="2"/>
      </rPr>
      <t>ｔ</t>
    </r>
    <r>
      <rPr>
        <sz val="11"/>
        <color rgb="FFFF0000"/>
        <rFont val="Arial"/>
        <family val="2"/>
      </rPr>
      <t>12</t>
    </r>
  </si>
  <si>
    <r>
      <rPr>
        <sz val="11"/>
        <color rgb="FFFF0000"/>
        <rFont val="Arial"/>
        <family val="2"/>
      </rPr>
      <t>bi</t>
    </r>
    <r>
      <rPr>
        <sz val="11"/>
        <color rgb="FFFF0000"/>
        <rFont val="ＭＳ Ｐゴシック"/>
        <family val="2"/>
      </rPr>
      <t>ｔ</t>
    </r>
    <r>
      <rPr>
        <sz val="11"/>
        <color rgb="FFFF0000"/>
        <rFont val="Arial"/>
        <family val="2"/>
      </rPr>
      <t>11</t>
    </r>
  </si>
  <si>
    <r>
      <rPr>
        <sz val="11"/>
        <color rgb="FFFF0000"/>
        <rFont val="Arial"/>
        <family val="2"/>
      </rPr>
      <t>bi</t>
    </r>
    <r>
      <rPr>
        <sz val="11"/>
        <color rgb="FFFF0000"/>
        <rFont val="ＭＳ Ｐゴシック"/>
        <family val="2"/>
      </rPr>
      <t>ｔ</t>
    </r>
    <r>
      <rPr>
        <sz val="11"/>
        <color rgb="FFFF0000"/>
        <rFont val="Arial"/>
        <family val="2"/>
      </rPr>
      <t>10</t>
    </r>
  </si>
  <si>
    <r>
      <rPr>
        <sz val="11"/>
        <color rgb="FFFF0000"/>
        <rFont val="Arial"/>
        <family val="2"/>
      </rPr>
      <t>bi</t>
    </r>
    <r>
      <rPr>
        <sz val="11"/>
        <color rgb="FFFF0000"/>
        <rFont val="ＭＳ Ｐゴシック"/>
        <family val="2"/>
      </rPr>
      <t>ｔ</t>
    </r>
    <r>
      <rPr>
        <sz val="11"/>
        <color rgb="FFFF0000"/>
        <rFont val="Arial"/>
        <family val="2"/>
      </rPr>
      <t>09</t>
    </r>
  </si>
  <si>
    <r>
      <rPr>
        <sz val="11"/>
        <color rgb="FFFF0000"/>
        <rFont val="Arial"/>
        <family val="2"/>
      </rPr>
      <t>bi</t>
    </r>
    <r>
      <rPr>
        <sz val="11"/>
        <color rgb="FFFF0000"/>
        <rFont val="ＭＳ Ｐゴシック"/>
        <family val="2"/>
      </rPr>
      <t>ｔ</t>
    </r>
    <r>
      <rPr>
        <sz val="11"/>
        <color rgb="FFFF0000"/>
        <rFont val="Arial"/>
        <family val="2"/>
      </rPr>
      <t>08</t>
    </r>
  </si>
  <si>
    <r>
      <rPr>
        <sz val="11"/>
        <color rgb="FFFF0000"/>
        <rFont val="Arial"/>
        <family val="2"/>
      </rPr>
      <t>bi</t>
    </r>
    <r>
      <rPr>
        <sz val="11"/>
        <color rgb="FFFF0000"/>
        <rFont val="ＭＳ Ｐゴシック"/>
        <family val="2"/>
      </rPr>
      <t>ｔ</t>
    </r>
    <r>
      <rPr>
        <sz val="11"/>
        <color rgb="FFFF0000"/>
        <rFont val="Arial"/>
        <family val="2"/>
      </rPr>
      <t>07</t>
    </r>
  </si>
  <si>
    <r>
      <rPr>
        <sz val="11"/>
        <color rgb="FFFF0000"/>
        <rFont val="Arial"/>
        <family val="2"/>
      </rPr>
      <t>bi</t>
    </r>
    <r>
      <rPr>
        <sz val="11"/>
        <color rgb="FFFF0000"/>
        <rFont val="ＭＳ Ｐゴシック"/>
        <family val="2"/>
      </rPr>
      <t>ｔ</t>
    </r>
    <r>
      <rPr>
        <sz val="11"/>
        <color rgb="FFFF0000"/>
        <rFont val="Arial"/>
        <family val="2"/>
      </rPr>
      <t>06</t>
    </r>
  </si>
  <si>
    <r>
      <rPr>
        <sz val="11"/>
        <color rgb="FFFF0000"/>
        <rFont val="Arial"/>
        <family val="2"/>
      </rPr>
      <t>bi</t>
    </r>
    <r>
      <rPr>
        <sz val="11"/>
        <color rgb="FFFF0000"/>
        <rFont val="ＭＳ Ｐゴシック"/>
        <family val="2"/>
      </rPr>
      <t>ｔ</t>
    </r>
    <r>
      <rPr>
        <sz val="11"/>
        <color rgb="FFFF0000"/>
        <rFont val="Arial"/>
        <family val="2"/>
      </rPr>
      <t>05</t>
    </r>
  </si>
  <si>
    <r>
      <rPr>
        <sz val="11"/>
        <color rgb="FFFF0000"/>
        <rFont val="Arial"/>
        <family val="2"/>
      </rPr>
      <t>bi</t>
    </r>
    <r>
      <rPr>
        <sz val="11"/>
        <color rgb="FFFF0000"/>
        <rFont val="ＭＳ Ｐゴシック"/>
        <family val="2"/>
      </rPr>
      <t>ｔ</t>
    </r>
    <r>
      <rPr>
        <sz val="11"/>
        <color rgb="FFFF0000"/>
        <rFont val="Arial"/>
        <family val="2"/>
      </rPr>
      <t>04</t>
    </r>
  </si>
  <si>
    <r>
      <rPr>
        <sz val="11"/>
        <color rgb="FFFF0000"/>
        <rFont val="Arial"/>
        <family val="2"/>
      </rPr>
      <t>bi</t>
    </r>
    <r>
      <rPr>
        <sz val="11"/>
        <color rgb="FFFF0000"/>
        <rFont val="ＭＳ Ｐゴシック"/>
        <family val="2"/>
      </rPr>
      <t>ｔ</t>
    </r>
    <r>
      <rPr>
        <sz val="11"/>
        <color rgb="FFFF0000"/>
        <rFont val="Arial"/>
        <family val="2"/>
      </rPr>
      <t>03</t>
    </r>
  </si>
  <si>
    <r>
      <rPr>
        <sz val="11"/>
        <color rgb="FFFF0000"/>
        <rFont val="Arial"/>
        <family val="2"/>
      </rPr>
      <t>bi</t>
    </r>
    <r>
      <rPr>
        <sz val="11"/>
        <color rgb="FFFF0000"/>
        <rFont val="ＭＳ Ｐゴシック"/>
        <family val="2"/>
      </rPr>
      <t>ｔ</t>
    </r>
    <r>
      <rPr>
        <sz val="11"/>
        <color rgb="FFFF0000"/>
        <rFont val="Arial"/>
        <family val="2"/>
      </rPr>
      <t>02</t>
    </r>
  </si>
  <si>
    <r>
      <rPr>
        <sz val="11"/>
        <color rgb="FFFF0000"/>
        <rFont val="Arial"/>
        <family val="2"/>
      </rPr>
      <t>bi</t>
    </r>
    <r>
      <rPr>
        <sz val="11"/>
        <color rgb="FFFF0000"/>
        <rFont val="ＭＳ Ｐゴシック"/>
        <family val="2"/>
      </rPr>
      <t>ｔ</t>
    </r>
    <r>
      <rPr>
        <sz val="11"/>
        <color rgb="FFFF0000"/>
        <rFont val="Arial"/>
        <family val="2"/>
      </rPr>
      <t>01</t>
    </r>
  </si>
  <si>
    <r>
      <rPr>
        <sz val="11"/>
        <color rgb="FFFF0000"/>
        <rFont val="Arial"/>
        <family val="2"/>
      </rPr>
      <t>bi</t>
    </r>
    <r>
      <rPr>
        <sz val="11"/>
        <color rgb="FFFF0000"/>
        <rFont val="ＭＳ Ｐゴシック"/>
        <family val="2"/>
      </rPr>
      <t>ｔ</t>
    </r>
    <r>
      <rPr>
        <sz val="11"/>
        <color rgb="FFFF0000"/>
        <rFont val="Arial"/>
        <family val="2"/>
      </rPr>
      <t>00</t>
    </r>
  </si>
  <si>
    <t>0004</t>
  </si>
  <si>
    <t>0006</t>
  </si>
  <si>
    <t>000A</t>
  </si>
  <si>
    <t>02AC</t>
  </si>
  <si>
    <t>0110</t>
  </si>
  <si>
    <t>0118</t>
  </si>
  <si>
    <t>0120</t>
  </si>
  <si>
    <t>0170(HDMI input)</t>
  </si>
  <si>
    <t>0170(Color Bar)</t>
  </si>
  <si>
    <t>0170(Dummy Color Bar)</t>
  </si>
  <si>
    <t>017C</t>
  </si>
  <si>
    <t>018C</t>
  </si>
  <si>
    <t>0190</t>
  </si>
  <si>
    <t>0254</t>
  </si>
  <si>
    <t>0258</t>
  </si>
  <si>
    <t>025C</t>
  </si>
  <si>
    <t>0260</t>
  </si>
  <si>
    <t>0264</t>
  </si>
  <si>
    <t>0268</t>
  </si>
  <si>
    <t>026C</t>
  </si>
  <si>
    <t>0274</t>
  </si>
  <si>
    <t>0278</t>
  </si>
  <si>
    <t>04AC</t>
  </si>
  <si>
    <t>0310</t>
  </si>
  <si>
    <t>0318</t>
  </si>
  <si>
    <t>0320</t>
  </si>
  <si>
    <t>0370(HDMI Input)</t>
  </si>
  <si>
    <t>0370(Color Bar)</t>
  </si>
  <si>
    <t>0370(Dummy Color Bar)</t>
  </si>
  <si>
    <t>037C</t>
  </si>
  <si>
    <t>038C</t>
  </si>
  <si>
    <t>0390</t>
  </si>
  <si>
    <t>0454</t>
  </si>
  <si>
    <t>0458</t>
  </si>
  <si>
    <t>045C</t>
  </si>
  <si>
    <t>0460</t>
  </si>
  <si>
    <t>0464</t>
  </si>
  <si>
    <t>0468</t>
  </si>
  <si>
    <t>046C</t>
  </si>
  <si>
    <t>0474</t>
  </si>
  <si>
    <t>0478</t>
  </si>
  <si>
    <t>5000</t>
  </si>
  <si>
    <t>5008</t>
  </si>
  <si>
    <t>500C</t>
  </si>
  <si>
    <t>500E</t>
  </si>
  <si>
    <t>5080</t>
  </si>
  <si>
    <t>5088</t>
  </si>
  <si>
    <t>508C</t>
  </si>
  <si>
    <t>508E</t>
  </si>
  <si>
    <t>8A00</t>
  </si>
  <si>
    <t>8A01</t>
  </si>
  <si>
    <t>14</t>
  </si>
  <si>
    <t>8A08</t>
  </si>
  <si>
    <t>7000</t>
  </si>
  <si>
    <t>7002</t>
  </si>
  <si>
    <t>7004</t>
  </si>
  <si>
    <t>7006</t>
  </si>
  <si>
    <t>7008</t>
  </si>
  <si>
    <t>700A</t>
  </si>
  <si>
    <t>700C</t>
  </si>
  <si>
    <t>700E</t>
  </si>
  <si>
    <t>7010</t>
  </si>
  <si>
    <t>7012</t>
  </si>
  <si>
    <t>7014</t>
  </si>
  <si>
    <t>7016</t>
  </si>
  <si>
    <t>500A</t>
  </si>
  <si>
    <t>5010</t>
  </si>
  <si>
    <t>5012</t>
  </si>
  <si>
    <t>5014</t>
  </si>
  <si>
    <t>508A</t>
  </si>
  <si>
    <t>5090</t>
  </si>
  <si>
    <t>5092</t>
  </si>
  <si>
    <t>5094</t>
  </si>
  <si>
    <t>PPISYSDTClkSel(HDMI)</t>
  </si>
  <si>
    <t>PPISYSDTClkSel(Color Bar)</t>
  </si>
  <si>
    <t>THS_PREZEROCNT</t>
  </si>
  <si>
    <t>TC358870XBG EDID Setting</t>
  </si>
  <si>
    <t>EDID: Version 1, Revision 3   CEA-Extension Revision 3</t>
  </si>
  <si>
    <t>REM</t>
  </si>
  <si>
    <t>EDID Data</t>
  </si>
  <si>
    <t>EDID setting is folded in line 67~line 324</t>
  </si>
  <si>
    <t>WR8</t>
  </si>
  <si>
    <t>EDID_RAM</t>
  </si>
  <si>
    <t>8C00</t>
  </si>
  <si>
    <t>00</t>
  </si>
  <si>
    <t>Headder Start</t>
  </si>
  <si>
    <t>Block 0 Header</t>
  </si>
  <si>
    <t>8C01</t>
  </si>
  <si>
    <t>FF</t>
  </si>
  <si>
    <t>8C02</t>
  </si>
  <si>
    <t>8C03</t>
  </si>
  <si>
    <t>8C04</t>
  </si>
  <si>
    <t>8C05</t>
  </si>
  <si>
    <t>8C06</t>
  </si>
  <si>
    <t>8C07</t>
  </si>
  <si>
    <t>Headder End</t>
  </si>
  <si>
    <t>8C08</t>
  </si>
  <si>
    <t>Manufacturer Name</t>
  </si>
  <si>
    <t>Product Information</t>
  </si>
  <si>
    <t>Judge</t>
  </si>
  <si>
    <t>Vender ID</t>
  </si>
  <si>
    <t>8C09</t>
  </si>
  <si>
    <t>Manufacturer ID(3 characters)</t>
  </si>
  <si>
    <t>TSB</t>
  </si>
  <si>
    <t>8C0A</t>
  </si>
  <si>
    <t>Product Code</t>
  </si>
  <si>
    <t>Product code0(0-255)-&gt;</t>
  </si>
  <si>
    <t>8C0B</t>
  </si>
  <si>
    <t>Product code1(0-255)-&gt;</t>
  </si>
  <si>
    <t>8C0C</t>
  </si>
  <si>
    <t>Serial Number</t>
  </si>
  <si>
    <t>Serial number0(0-255)-&gt;</t>
  </si>
  <si>
    <t>8C0D</t>
  </si>
  <si>
    <t>Serial number1(0-255)-&gt;</t>
  </si>
  <si>
    <t>8C0E</t>
  </si>
  <si>
    <t>Serial number2(0-255)-&gt;</t>
  </si>
  <si>
    <t>8C0F</t>
  </si>
  <si>
    <t>Serial number3(0-255)-&gt;</t>
  </si>
  <si>
    <t>8C10</t>
  </si>
  <si>
    <t>Week Of Manufacture</t>
  </si>
  <si>
    <t>Week of Manufacture(0-53)-&gt;</t>
  </si>
  <si>
    <t>8C11</t>
  </si>
  <si>
    <t>Year of Manufacture</t>
  </si>
  <si>
    <t>Year of Manufacture(ex.2012)-&gt;</t>
  </si>
  <si>
    <t>8C12</t>
  </si>
  <si>
    <t>01</t>
  </si>
  <si>
    <t>Version</t>
  </si>
  <si>
    <t>EDID version</t>
  </si>
  <si>
    <t>8C13</t>
  </si>
  <si>
    <t>03</t>
  </si>
  <si>
    <t>Revision</t>
  </si>
  <si>
    <t>EDID revision</t>
  </si>
  <si>
    <t>8C14</t>
  </si>
  <si>
    <t>80</t>
  </si>
  <si>
    <t>Video Input Definition</t>
  </si>
  <si>
    <t>Monitor Active Area Size</t>
  </si>
  <si>
    <t>Basic Display Parameter</t>
  </si>
  <si>
    <t>8C15</t>
  </si>
  <si>
    <t>Max Horizontal Imange size (in cm)</t>
  </si>
  <si>
    <t>Hrozontal Size (cm)</t>
  </si>
  <si>
    <t>Unknown</t>
  </si>
  <si>
    <t>8C16</t>
  </si>
  <si>
    <t>Max Vertical Imange size (in cm)</t>
  </si>
  <si>
    <t>Vertical Size (cm)</t>
  </si>
  <si>
    <t>8C17</t>
  </si>
  <si>
    <t>78</t>
  </si>
  <si>
    <t>Gammma</t>
  </si>
  <si>
    <t>8C18</t>
  </si>
  <si>
    <t>0A</t>
  </si>
  <si>
    <t>Feature Support</t>
  </si>
  <si>
    <t>8C19</t>
  </si>
  <si>
    <t>0D</t>
  </si>
  <si>
    <t>Red/Green Low Bits</t>
  </si>
  <si>
    <t>Color Characteristics</t>
  </si>
  <si>
    <t>8C1A</t>
  </si>
  <si>
    <t>C9</t>
  </si>
  <si>
    <t>Blue/White Low Bits</t>
  </si>
  <si>
    <t>8C1B</t>
  </si>
  <si>
    <t>Red-x</t>
  </si>
  <si>
    <t>8C1C</t>
  </si>
  <si>
    <t>57</t>
  </si>
  <si>
    <t>Red-y</t>
  </si>
  <si>
    <t>8C1D</t>
  </si>
  <si>
    <t>47</t>
  </si>
  <si>
    <t>Green-x</t>
  </si>
  <si>
    <t>8C1E</t>
  </si>
  <si>
    <t>98</t>
  </si>
  <si>
    <t>Green-y</t>
  </si>
  <si>
    <t>8C1F</t>
  </si>
  <si>
    <t>27</t>
  </si>
  <si>
    <t>Blue-x</t>
  </si>
  <si>
    <t>8C20</t>
  </si>
  <si>
    <t>12</t>
  </si>
  <si>
    <t>Blue-y</t>
  </si>
  <si>
    <t>8C21</t>
  </si>
  <si>
    <t>48</t>
  </si>
  <si>
    <t>White-x</t>
  </si>
  <si>
    <t>8C22</t>
  </si>
  <si>
    <t>4C</t>
  </si>
  <si>
    <t>White-y</t>
  </si>
  <si>
    <t>8C23</t>
  </si>
  <si>
    <t>Established Timing 1</t>
  </si>
  <si>
    <t>Established Timings</t>
  </si>
  <si>
    <t>8C24</t>
  </si>
  <si>
    <t>Established Timing 2</t>
  </si>
  <si>
    <t>8C25</t>
  </si>
  <si>
    <t>Manufacturer's Timing</t>
  </si>
  <si>
    <t>8C26</t>
  </si>
  <si>
    <t>Standard Timing ID #1</t>
  </si>
  <si>
    <t>8C27</t>
  </si>
  <si>
    <t>8C28</t>
  </si>
  <si>
    <t>Standard Timing ID #2</t>
  </si>
  <si>
    <t>8C29</t>
  </si>
  <si>
    <t>8C2A</t>
  </si>
  <si>
    <t>Standard Timing ID #3</t>
  </si>
  <si>
    <t>8C2B</t>
  </si>
  <si>
    <t>8C2C</t>
  </si>
  <si>
    <t>Standard Timing ID #4</t>
  </si>
  <si>
    <t>8C2D</t>
  </si>
  <si>
    <t>8C2E</t>
  </si>
  <si>
    <t>Standard Timing ID #5</t>
  </si>
  <si>
    <t>8C2F</t>
  </si>
  <si>
    <t>8C30</t>
  </si>
  <si>
    <t>Standard Timing ID #6</t>
  </si>
  <si>
    <t>8C31</t>
  </si>
  <si>
    <t>8C32</t>
  </si>
  <si>
    <t>Standard Timing ID #7</t>
  </si>
  <si>
    <t>8C33</t>
  </si>
  <si>
    <t>8C34</t>
  </si>
  <si>
    <t>Standard Timing ID #8</t>
  </si>
  <si>
    <t>8C35</t>
  </si>
  <si>
    <t>Selected</t>
  </si>
  <si>
    <t>Original/New</t>
  </si>
  <si>
    <t>640x480p60</t>
  </si>
  <si>
    <t>720x480p60</t>
  </si>
  <si>
    <t>1280x720p60</t>
  </si>
  <si>
    <t>1920x1080p60</t>
  </si>
  <si>
    <t>1024x768p60</t>
  </si>
  <si>
    <t>1280x800p60</t>
  </si>
  <si>
    <t>1920x1200p60</t>
  </si>
  <si>
    <t>2560x1600p60</t>
  </si>
  <si>
    <t>8C36</t>
  </si>
  <si>
    <t>Pixel Clock (First Detailed Timing Descriptor)</t>
  </si>
  <si>
    <t>1st Detailed Timing Descriptor(New)</t>
  </si>
  <si>
    <t>8C37</t>
  </si>
  <si>
    <t>PCLK(***.**MHz) (max:655)-&gt;</t>
  </si>
  <si>
    <t>8C38</t>
  </si>
  <si>
    <t>H Active (First Detailed Timing Descriptor)</t>
  </si>
  <si>
    <t>H Active(PCLK) (max:4095)-&gt;</t>
  </si>
  <si>
    <t>8C39</t>
  </si>
  <si>
    <t>H Blanking (First Detailed Timing Descriptor)</t>
  </si>
  <si>
    <t>HPW(PCLK) (max:1023)-&gt;</t>
  </si>
  <si>
    <t>8C3A</t>
  </si>
  <si>
    <t>H Active:H Blanking (First Detailed Timing Descriptor)</t>
  </si>
  <si>
    <t>HBP (PCLK)-&gt;</t>
  </si>
  <si>
    <t>8C3B</t>
  </si>
  <si>
    <t>V Active (First Detailed Timing Descriptor)</t>
  </si>
  <si>
    <t>HFP(PCLK) (max:1023)-&gt;</t>
  </si>
  <si>
    <t>8C3C</t>
  </si>
  <si>
    <t>V Blanking (First Detailed Timing Descriptor)</t>
  </si>
  <si>
    <t>V Active(lines) (max:4095)-&gt;</t>
  </si>
  <si>
    <t>8C3D</t>
  </si>
  <si>
    <t>V Active:V Blanking (First Detailed Timing Descriptor)</t>
  </si>
  <si>
    <t>VPW(lines) (max:63)-&gt;</t>
  </si>
  <si>
    <t>8C3E</t>
  </si>
  <si>
    <t>H Sync Offset (First Detailed Timing Descriptor)</t>
  </si>
  <si>
    <t>VBP (lines)-&gt;</t>
  </si>
  <si>
    <t>8C3F</t>
  </si>
  <si>
    <t>H Sync Pulse Width (First Detailed Timing Descriptor)</t>
  </si>
  <si>
    <t>VFP(lines) (max:63)-&gt;</t>
  </si>
  <si>
    <t>8C40</t>
  </si>
  <si>
    <t>VS Offset: VS Pulse WIdth(First Detailed Timing Descriptor)</t>
  </si>
  <si>
    <t>Horizontal Image Size (mm)-&gt;</t>
  </si>
  <si>
    <t>8C41</t>
  </si>
  <si>
    <t>HS Offset: HS Pulse Width: VS Offset: VS Pulse WIdth(First Detailed Timing Descriptor)</t>
  </si>
  <si>
    <t>Vertical Image Size (mm)-&gt;</t>
  </si>
  <si>
    <t>8C42</t>
  </si>
  <si>
    <t>H Image Size (First Detailed Timing Descriptor)</t>
  </si>
  <si>
    <t>Interlace/Progressive-&gt;</t>
  </si>
  <si>
    <t>8C43</t>
  </si>
  <si>
    <t>V Image Size (First Detailed Timing Descriptor)</t>
  </si>
  <si>
    <t>VSYNC Polarity-&gt;</t>
  </si>
  <si>
    <t>8C44</t>
  </si>
  <si>
    <t>H&amp;V Image Size (First Detailed Timing Descriptor)</t>
  </si>
  <si>
    <t>HSYNC Polarity-&gt;</t>
  </si>
  <si>
    <t>8C45</t>
  </si>
  <si>
    <t>H Border (First Detailed Timing Descriptor)</t>
  </si>
  <si>
    <t>8C46</t>
  </si>
  <si>
    <t>V Border (First Detailed Timing Descriptor)</t>
  </si>
  <si>
    <t>8C47</t>
  </si>
  <si>
    <t>Flags (First Detailed Timing Descriptor)</t>
  </si>
  <si>
    <t>8C48</t>
  </si>
  <si>
    <t>Pixel Clock (Second Detailed Timing Descriptor)</t>
  </si>
  <si>
    <t>2nd Detailed Timing Descriptor(New)</t>
  </si>
  <si>
    <t>8C49</t>
  </si>
  <si>
    <t>8C4A</t>
  </si>
  <si>
    <t>H Active (Second Detailed Timing Descriptor)</t>
  </si>
  <si>
    <t>8C4B</t>
  </si>
  <si>
    <t>H Blanking (Second Detailed Timing Descriptor)</t>
  </si>
  <si>
    <t>8C4C</t>
  </si>
  <si>
    <t>H Active:H Blanking (Second Detailed Timing Descriptor)</t>
  </si>
  <si>
    <t>8C4D</t>
  </si>
  <si>
    <t>V Active (Second Detailed Timing Descriptor)</t>
  </si>
  <si>
    <t>8C4E</t>
  </si>
  <si>
    <t>V Blanking (Second Detailed Timing Descriptor)</t>
  </si>
  <si>
    <t>8C4F</t>
  </si>
  <si>
    <t>V Active:V Blanking (Second Detailed Timing Descriptor)</t>
  </si>
  <si>
    <t>8C50</t>
  </si>
  <si>
    <t>H Sync Offset (Second Detailed Timing Descriptor)</t>
  </si>
  <si>
    <t>8C51</t>
  </si>
  <si>
    <t>H Sync Pulse Width (Second Detailed Timing Descriptor)</t>
  </si>
  <si>
    <t>8C52</t>
  </si>
  <si>
    <t>VS Offset: VS Pulse WIdth(Second Detailed Timing Descriptor)</t>
  </si>
  <si>
    <t>8C53</t>
  </si>
  <si>
    <t>HS Offset: HS Pulse Width: VS Offset: VS Pulse WIdth(Second Detailed Timing Descriptor)</t>
  </si>
  <si>
    <t>8C54</t>
  </si>
  <si>
    <t>H Image Size (Second Detailed Timing Descriptor)</t>
  </si>
  <si>
    <t>8C55</t>
  </si>
  <si>
    <t>V Image Size (Second Detailed Timing Descriptor)</t>
  </si>
  <si>
    <t>8C56</t>
  </si>
  <si>
    <t>H&amp;V Image Size (Second Detailed Timing Descriptor)</t>
  </si>
  <si>
    <t>8C57</t>
  </si>
  <si>
    <t>H Border (Second Detailed Timing Descriptor)</t>
  </si>
  <si>
    <t>8C58</t>
  </si>
  <si>
    <t>V Border (Second Detailed Timing Descriptor)</t>
  </si>
  <si>
    <t>8C59</t>
  </si>
  <si>
    <t>Flags (Second Detailed Timing Descriptor)</t>
  </si>
  <si>
    <t>8C5A</t>
  </si>
  <si>
    <t>Flag(REQUIRED) (First Monitor Descriptor (Monitor Name))</t>
  </si>
  <si>
    <t>Flag</t>
  </si>
  <si>
    <t>8C5B</t>
  </si>
  <si>
    <t>Flag(Rsvd)</t>
  </si>
  <si>
    <t>8C5C</t>
  </si>
  <si>
    <t>Flag(Reserved) (First Monitor Descriptor (Monitor Name))</t>
  </si>
  <si>
    <t>Data Type Tag</t>
  </si>
  <si>
    <t>8C5D</t>
  </si>
  <si>
    <t>FC</t>
  </si>
  <si>
    <t>Data Type Tag (First Monitor Descriptor (Monitor Name))</t>
  </si>
  <si>
    <t>8C5E</t>
  </si>
  <si>
    <t>Flag (First Monitor Descriptor (Monitor Name))</t>
  </si>
  <si>
    <t>Monitor Name (ASCII) ("LF"=Line Feed)</t>
  </si>
  <si>
    <t>8C5F</t>
  </si>
  <si>
    <t>ASCII coded monitor name (13byte max)  (First Monitor Descriptor (Monitor Name))</t>
  </si>
  <si>
    <t>Monitor Name(1Byte Char)-&gt;</t>
  </si>
  <si>
    <t>T</t>
  </si>
  <si>
    <t>8C60</t>
  </si>
  <si>
    <t>o</t>
  </si>
  <si>
    <t>Pixel Clock</t>
  </si>
  <si>
    <t>8C61</t>
  </si>
  <si>
    <t>s</t>
  </si>
  <si>
    <t>8C62</t>
  </si>
  <si>
    <t>h</t>
  </si>
  <si>
    <t>HBP</t>
  </si>
  <si>
    <t>8C63</t>
  </si>
  <si>
    <t>i</t>
  </si>
  <si>
    <t>8C64</t>
  </si>
  <si>
    <t>b</t>
  </si>
  <si>
    <t>HFP</t>
  </si>
  <si>
    <t>8C65</t>
  </si>
  <si>
    <t>a</t>
  </si>
  <si>
    <t>VPW</t>
  </si>
  <si>
    <t>8C66</t>
  </si>
  <si>
    <t>-</t>
  </si>
  <si>
    <t>VBP</t>
  </si>
  <si>
    <t>8C67</t>
  </si>
  <si>
    <t>U</t>
  </si>
  <si>
    <t>8C68</t>
  </si>
  <si>
    <t>H</t>
  </si>
  <si>
    <t>VFP</t>
  </si>
  <si>
    <t>8C69</t>
  </si>
  <si>
    <t>2</t>
  </si>
  <si>
    <t>L Active</t>
  </si>
  <si>
    <t>8C6A</t>
  </si>
  <si>
    <t>D</t>
  </si>
  <si>
    <t>8C6B</t>
  </si>
  <si>
    <t>LF</t>
  </si>
  <si>
    <t>VID</t>
  </si>
  <si>
    <t>01h(1)</t>
  </si>
  <si>
    <t>02h(2)</t>
  </si>
  <si>
    <t>04h(4)</t>
  </si>
  <si>
    <t>10h(16)</t>
  </si>
  <si>
    <t>1Bh(27)</t>
  </si>
  <si>
    <t>44h(68)</t>
  </si>
  <si>
    <t>4Ch(76)</t>
  </si>
  <si>
    <t>8C6C</t>
  </si>
  <si>
    <t>Flag (Second Monitor Descriptor(Monitor Range Limit))</t>
  </si>
  <si>
    <t>Second Monitor Descriptor</t>
  </si>
  <si>
    <t>Reduced CVT</t>
  </si>
  <si>
    <t>8C6D</t>
  </si>
  <si>
    <t>8C6E</t>
  </si>
  <si>
    <t>Flag (Reserved) (Second Monitor Descriptor(Monitor Range Limit))</t>
  </si>
  <si>
    <t>8C6F</t>
  </si>
  <si>
    <t>FD</t>
  </si>
  <si>
    <t>Data Type Tag (Second Monitor Descriptor(Monitor Range Limit))</t>
  </si>
  <si>
    <t>8C70</t>
  </si>
  <si>
    <t>8C71</t>
  </si>
  <si>
    <t>Min Vertical Rate in Hz (Second Monitor Descriptor(Monitor Range Limit))</t>
  </si>
  <si>
    <t>Min V Rate(Hz)</t>
  </si>
  <si>
    <t>8C72</t>
  </si>
  <si>
    <t>Max Vertical Rate in Hz (Second Monitor Descriptor(Monitor Range Limit))</t>
  </si>
  <si>
    <t>Max V Rate(Hz)</t>
  </si>
  <si>
    <t>8C73</t>
  </si>
  <si>
    <t>Min Hrizontal Rate in kHz (Second Monitor Descriptor(Monitor Range Limit))</t>
  </si>
  <si>
    <t>Min H Rate(kHz)</t>
  </si>
  <si>
    <t>8C74</t>
  </si>
  <si>
    <t>Max Horizontal Rate in kHz (Second Monitor Descriptor(Monitor Range Limit))</t>
  </si>
  <si>
    <t>Max H Rate(kHz)</t>
  </si>
  <si>
    <t>8C75</t>
  </si>
  <si>
    <t>Max Supported pixel clock rate in MHz/10 (Second Monitor Descriptor(Monitor Range Limit))</t>
  </si>
  <si>
    <t>Max PCLK(MHz)</t>
  </si>
  <si>
    <t>8C76</t>
  </si>
  <si>
    <t>Tag for secondary timing formula (0x00=not used)</t>
  </si>
  <si>
    <t>8C77</t>
  </si>
  <si>
    <t>Put 0x0A after last data byte in block and fill remaing byte with 0x20</t>
  </si>
  <si>
    <t>Fixed value</t>
  </si>
  <si>
    <t>8C78</t>
  </si>
  <si>
    <t>20</t>
  </si>
  <si>
    <t>8C79</t>
  </si>
  <si>
    <t>8C7A</t>
  </si>
  <si>
    <t>8C7B</t>
  </si>
  <si>
    <t>8C7C</t>
  </si>
  <si>
    <t>8C7D</t>
  </si>
  <si>
    <t>8C7E</t>
  </si>
  <si>
    <t>Extension Flag</t>
  </si>
  <si>
    <t>Extension Flg</t>
  </si>
  <si>
    <t>8C7F</t>
  </si>
  <si>
    <t>Checksum (0x00-0x7E)</t>
  </si>
  <si>
    <t>Checksum</t>
  </si>
  <si>
    <t>8C80</t>
  </si>
  <si>
    <t>02</t>
  </si>
  <si>
    <t>Tag per CEA-861 CEA Extension flag</t>
  </si>
  <si>
    <t>CEA Extension Header</t>
  </si>
  <si>
    <t>8C81</t>
  </si>
  <si>
    <t>0x01 per CEA-861 (Revision Number)  Revison3</t>
  </si>
  <si>
    <t>8C82</t>
  </si>
  <si>
    <t>1A</t>
  </si>
  <si>
    <t>0x04 per CEA861 (Offset to Detailed Timing Descriptor)</t>
  </si>
  <si>
    <t>Underscan</t>
  </si>
  <si>
    <t>Basic Audio</t>
  </si>
  <si>
    <t>YCbCr444</t>
  </si>
  <si>
    <t>YCbCr422</t>
  </si>
  <si>
    <t>8C83</t>
  </si>
  <si>
    <t>0x00 per CEA-861 (Audio Support, YCbCr Support, Timing Descriptor Number)</t>
  </si>
  <si>
    <t>Supported</t>
  </si>
  <si>
    <t>8C84</t>
  </si>
  <si>
    <t>Short Video Descriptors (SVDs) Header</t>
  </si>
  <si>
    <t>Video Data Block (SVDs)</t>
  </si>
  <si>
    <t>ID Code</t>
  </si>
  <si>
    <t>Selected Native</t>
  </si>
  <si>
    <t>Selected VID</t>
  </si>
  <si>
    <t>New/Org</t>
  </si>
  <si>
    <t>8C85</t>
  </si>
  <si>
    <t>1st Video Descriptor</t>
  </si>
  <si>
    <t>8C86</t>
  </si>
  <si>
    <t>2nd Video Descriptor</t>
  </si>
  <si>
    <t>8C87</t>
  </si>
  <si>
    <t>3rd Video Descriptor</t>
  </si>
  <si>
    <t>8C88</t>
  </si>
  <si>
    <t>4rh Video Descriptor</t>
  </si>
  <si>
    <t>4th Video Descriptor</t>
  </si>
  <si>
    <t>8C89</t>
  </si>
  <si>
    <t>5th Video Descriptor</t>
  </si>
  <si>
    <t>8C8A</t>
  </si>
  <si>
    <t>6th Video Descriptor</t>
  </si>
  <si>
    <t>8C8B</t>
  </si>
  <si>
    <t>7th Video Descriptro</t>
  </si>
  <si>
    <t>7th Video Descriptor</t>
  </si>
  <si>
    <t>8C8C</t>
  </si>
  <si>
    <t>23</t>
  </si>
  <si>
    <t>Short Audio Descriptor (SADs) Header</t>
  </si>
  <si>
    <t>Audio Data Block</t>
  </si>
  <si>
    <t>Extended Enb/Dis</t>
  </si>
  <si>
    <t>8C8D</t>
  </si>
  <si>
    <t>Audio Format, Max number of channel</t>
  </si>
  <si>
    <t>8C8E</t>
  </si>
  <si>
    <t>07</t>
  </si>
  <si>
    <t>Sampling Frequency, Sampling Size(bit)</t>
  </si>
  <si>
    <t>8C8F</t>
  </si>
  <si>
    <t>Additional Audio Format Code</t>
  </si>
  <si>
    <t>8C90</t>
  </si>
  <si>
    <t>83</t>
  </si>
  <si>
    <t>Speaker Allocation Data Block. Tag, data byte</t>
  </si>
  <si>
    <t>Speaker Allocation Block</t>
  </si>
  <si>
    <t>8C91</t>
  </si>
  <si>
    <t>FLW/FRW, RLC/RRC, FLC/FRC, RC, RL/RR, FC, LFE, FL/FR</t>
  </si>
  <si>
    <t>8C92</t>
  </si>
  <si>
    <t>FCH, TC, FLH/FRH</t>
  </si>
  <si>
    <t>8C93</t>
  </si>
  <si>
    <t>8C94</t>
  </si>
  <si>
    <t>65</t>
  </si>
  <si>
    <t>Reserved Tag(5Byte)</t>
  </si>
  <si>
    <t>Reserved</t>
  </si>
  <si>
    <t>8C95</t>
  </si>
  <si>
    <t>8C96</t>
  </si>
  <si>
    <t>0C</t>
  </si>
  <si>
    <t>8C97</t>
  </si>
  <si>
    <t>8C98</t>
  </si>
  <si>
    <t>10</t>
  </si>
  <si>
    <t>8C99</t>
  </si>
  <si>
    <t>8C9A</t>
  </si>
  <si>
    <t>Pixel Clock (3rd Detailed Timing Descriptor)</t>
  </si>
  <si>
    <t>3rd Detailed Timing Descriptor(New)</t>
  </si>
  <si>
    <t>8C9B</t>
  </si>
  <si>
    <t>8C9C</t>
  </si>
  <si>
    <t>H Active (3rd Detailed Timing Descriptor)</t>
  </si>
  <si>
    <t>8C9D</t>
  </si>
  <si>
    <t>H Blanking (3rd Detailed Timing Descriptor)</t>
  </si>
  <si>
    <t>8C9E</t>
  </si>
  <si>
    <t>H Active:H Blanking (3rd Detailed Timing Descriptor)</t>
  </si>
  <si>
    <t>8C9F</t>
  </si>
  <si>
    <t>V Active (3rd Detailed Timing Descriptor)</t>
  </si>
  <si>
    <t>8CA0</t>
  </si>
  <si>
    <t>V Blanking (3rd Detailed Timing Descriptor)</t>
  </si>
  <si>
    <t>8CA1</t>
  </si>
  <si>
    <t>V Active:V Blanking (3rd Detailed Timing Descriptor)</t>
  </si>
  <si>
    <t>8CA2</t>
  </si>
  <si>
    <t>H Sync Offset (3rd Detailed Timing Descriptor)</t>
  </si>
  <si>
    <t>8CA3</t>
  </si>
  <si>
    <t>H Sync Pulse Width (3rd Detailed Timing Descriptor)</t>
  </si>
  <si>
    <t>8CA4</t>
  </si>
  <si>
    <t>VS Offset: VS Pulse WIdth(3rd Detailed Timing Descriptor)</t>
  </si>
  <si>
    <t>8CA5</t>
  </si>
  <si>
    <t>HS Offset: HS Pulse Width: VS Offset: VS Pulse WIdth(3rd Detailed Timing Descriptor)</t>
  </si>
  <si>
    <t>8CA6</t>
  </si>
  <si>
    <t>H Image Size (3rd Detailed Timing Descriptor)</t>
  </si>
  <si>
    <t>8CA7</t>
  </si>
  <si>
    <t>V Image Size (3rd Detailed Timing Descriptor)</t>
  </si>
  <si>
    <t>8CA8</t>
  </si>
  <si>
    <t>H&amp;V Image Size (3rd Detailed Timing Descriptor)</t>
  </si>
  <si>
    <t>8CA9</t>
  </si>
  <si>
    <t>H Border (3rd Detailed Timing Descriptor)</t>
  </si>
  <si>
    <t>8CAA</t>
  </si>
  <si>
    <t>V Border (3rd Detailed Timing Descriptor)</t>
  </si>
  <si>
    <t>8CAB</t>
  </si>
  <si>
    <t>Flags (3rd Detailed Timing Descriptor)</t>
  </si>
  <si>
    <t>8CAC</t>
  </si>
  <si>
    <t>Pixel Clock (4th Detailed Timing Descriptor)</t>
  </si>
  <si>
    <t>4th Detailed Timing Descriptor(New)</t>
  </si>
  <si>
    <t>8CAD</t>
  </si>
  <si>
    <t>8CAE</t>
  </si>
  <si>
    <t>H Active (4th Detailed Timing Descriptor)</t>
  </si>
  <si>
    <t>8CAF</t>
  </si>
  <si>
    <t>H Blanking (4th Detailed Timing Descriptor)</t>
  </si>
  <si>
    <t>8CB0</t>
  </si>
  <si>
    <t>H Active:H Blanking (4th Detailed Timing Descriptor)</t>
  </si>
  <si>
    <t>8CB1</t>
  </si>
  <si>
    <t>V Active (4th Detailed Timing Descriptor)</t>
  </si>
  <si>
    <t>8CB2</t>
  </si>
  <si>
    <t>V Blanking (4th Detailed Timing Descriptor)</t>
  </si>
  <si>
    <t>8CB3</t>
  </si>
  <si>
    <t>V Active:V Blanking (4th Detailed Timing Descriptor)</t>
  </si>
  <si>
    <t>8CB4</t>
  </si>
  <si>
    <t>H Sync Offset (4th Detailed Timing Descriptor)</t>
  </si>
  <si>
    <t>8CB5</t>
  </si>
  <si>
    <t>H Sync Pulse Width (4th Detailed Timing Descriptor)</t>
  </si>
  <si>
    <t>8CB6</t>
  </si>
  <si>
    <t>VS Offset: VS Pulse WIdth(4th Detailed Timing Descriptor)</t>
  </si>
  <si>
    <t>8CB7</t>
  </si>
  <si>
    <t>HS Offset: HS Pulse Width: VS Offset: VS Pulse WIdth(4th Detailed Timing Descriptor)</t>
  </si>
  <si>
    <t>8CB8</t>
  </si>
  <si>
    <t>H Image Size (4th Detailed Timing Descriptor)</t>
  </si>
  <si>
    <t>8CB9</t>
  </si>
  <si>
    <t>V Image Size (4th Detailed Timing Descriptor)</t>
  </si>
  <si>
    <t>8CBA</t>
  </si>
  <si>
    <t>H&amp;V Image Size (4th Detailed Timing Descriptor)</t>
  </si>
  <si>
    <t>8CBB</t>
  </si>
  <si>
    <t>H Border (4th Detailed Timing Descriptor)</t>
  </si>
  <si>
    <t>8CBC</t>
  </si>
  <si>
    <t>V Border (4th Detailed Timing Descriptor)</t>
  </si>
  <si>
    <t>8CBD</t>
  </si>
  <si>
    <t>Flags (4th Detailed Timing Descriptor)</t>
  </si>
  <si>
    <t>8CBE</t>
  </si>
  <si>
    <t>Pixel Clock (5th Detailed Timing Descriptor)</t>
  </si>
  <si>
    <t>5th Detailed Timing Descriptor(New)</t>
  </si>
  <si>
    <t>8CBF</t>
  </si>
  <si>
    <t>8CC0</t>
  </si>
  <si>
    <t>H Active (5th Detailed Timing Descriptor)</t>
  </si>
  <si>
    <t>8CC1</t>
  </si>
  <si>
    <t>H Blanking (5th Detailed Timing Descriptor)</t>
  </si>
  <si>
    <t>8CC2</t>
  </si>
  <si>
    <t>H Active:H Blanking (5th Detailed Timing Descriptor)</t>
  </si>
  <si>
    <t>8CC3</t>
  </si>
  <si>
    <t>V Active (5th Detailed Timing Descriptor)</t>
  </si>
  <si>
    <t>8CC4</t>
  </si>
  <si>
    <t>V Blanking (5th Detailed Timing Descriptor)</t>
  </si>
  <si>
    <t>8CC5</t>
  </si>
  <si>
    <t>V Active:V Blanking (5th Detailed Timing Descriptor)</t>
  </si>
  <si>
    <t>8CC6</t>
  </si>
  <si>
    <t>H Sync Offset (5th Detailed Timing Descriptor)</t>
  </si>
  <si>
    <t>8CC7</t>
  </si>
  <si>
    <t>H Sync Pulse Width (5th Detailed Timing Descriptor)</t>
  </si>
  <si>
    <t>8CC8</t>
  </si>
  <si>
    <t>VS Offset: VS Pulse WIdth(5th Detailed Timing Descriptor)</t>
  </si>
  <si>
    <t>8CC9</t>
  </si>
  <si>
    <t>HS Offset: HS Pulse Width: VS Offset: VS Pulse WIdth(5th Detailed Timing Descriptor)</t>
  </si>
  <si>
    <t>8CCA</t>
  </si>
  <si>
    <t>H Image Size (5th Detailed Timing Descriptor)</t>
  </si>
  <si>
    <t>8CCB</t>
  </si>
  <si>
    <t>V Image Size (5th Detailed Timing Descriptor)</t>
  </si>
  <si>
    <t>8CCC</t>
  </si>
  <si>
    <t>H&amp;V Image Size (5th Detailed Timing Descriptor)</t>
  </si>
  <si>
    <t>8CCD</t>
  </si>
  <si>
    <t>H Border (5th Detailed Timing Descriptor)</t>
  </si>
  <si>
    <t>8CCE</t>
  </si>
  <si>
    <t>V Border (5th Detailed Timing Descriptor)</t>
  </si>
  <si>
    <t>8CCF</t>
  </si>
  <si>
    <t>Flags (5th Detailed Timing Descriptor)</t>
  </si>
  <si>
    <t>8CD0</t>
  </si>
  <si>
    <t>Pixel Clock (6th Detailed Timing Descriptor)</t>
  </si>
  <si>
    <t>6th Detailed Timing Descriptor(New)</t>
  </si>
  <si>
    <t>8CD1</t>
  </si>
  <si>
    <t>8CD2</t>
  </si>
  <si>
    <t>H Active (6th Detailed Timing Descriptor)</t>
  </si>
  <si>
    <t>8CD3</t>
  </si>
  <si>
    <t>H Blanking (6th Detailed Timing Descriptor)</t>
  </si>
  <si>
    <t>8CD4</t>
  </si>
  <si>
    <t>H Active:H Blanking (6th Detailed Timing Descriptor)</t>
  </si>
  <si>
    <t>8CD5</t>
  </si>
  <si>
    <t>V Active (6th Detailed Timing Descriptor)</t>
  </si>
  <si>
    <t>8CD6</t>
  </si>
  <si>
    <t>V Blanking (6th Detailed Timing Descriptor)</t>
  </si>
  <si>
    <t>8CD7</t>
  </si>
  <si>
    <t>V Active:V Blanking (6th Detailed Timing Descriptor)</t>
  </si>
  <si>
    <t>8CD8</t>
  </si>
  <si>
    <t>H Sync Offset (6th Detailed Timing Descriptor)</t>
  </si>
  <si>
    <t>8CD9</t>
  </si>
  <si>
    <t>H Sync Pulse Width (6th Detailed Timing Descriptor)</t>
  </si>
  <si>
    <t>8CDA</t>
  </si>
  <si>
    <t>VS Offset: VS Pulse WIdth(6th Detailed Timing Descriptor)</t>
  </si>
  <si>
    <t>8CDB</t>
  </si>
  <si>
    <t>HS Offset: HS Pulse Width: VS Offset: VS Pulse WIdth(6th Detailed Timing Descriptor)</t>
  </si>
  <si>
    <t>8CDC</t>
  </si>
  <si>
    <t>H Image Size (6th Detailed Timing Descriptor)</t>
  </si>
  <si>
    <t>8CDD</t>
  </si>
  <si>
    <t>V Image Size (6th Detailed Timing Descriptor)</t>
  </si>
  <si>
    <t>8CDE</t>
  </si>
  <si>
    <t>H&amp;V Image Size (6th Detailed Timing Descriptor)</t>
  </si>
  <si>
    <t>8CDF</t>
  </si>
  <si>
    <t>H Border (6th Detailed Timing Descriptor)</t>
  </si>
  <si>
    <t>8CE0</t>
  </si>
  <si>
    <t>V Border (6th Detailed Timing Descriptor)</t>
  </si>
  <si>
    <t>8CE1</t>
  </si>
  <si>
    <t>Flags (6th Detailed Timing Descriptor)</t>
  </si>
  <si>
    <t>8CE2</t>
  </si>
  <si>
    <t>Paddidng</t>
  </si>
  <si>
    <t>Padding</t>
  </si>
  <si>
    <t>8CE3</t>
  </si>
  <si>
    <t>8CE4</t>
  </si>
  <si>
    <t>8CE5</t>
  </si>
  <si>
    <t>8CE6</t>
  </si>
  <si>
    <t>8CE7</t>
  </si>
  <si>
    <t>8CE8</t>
  </si>
  <si>
    <t>8CE9</t>
  </si>
  <si>
    <t>8CEA</t>
  </si>
  <si>
    <t>8CEB</t>
  </si>
  <si>
    <t>8CEC</t>
  </si>
  <si>
    <t>8CED</t>
  </si>
  <si>
    <t>8CEE</t>
  </si>
  <si>
    <t>8CEF</t>
  </si>
  <si>
    <t>8CF0</t>
  </si>
  <si>
    <t>8CF1</t>
  </si>
  <si>
    <t>8CF2</t>
  </si>
  <si>
    <t>8CF3</t>
  </si>
  <si>
    <t>8CF4</t>
  </si>
  <si>
    <t>8CF5</t>
  </si>
  <si>
    <t>8CF6</t>
  </si>
  <si>
    <t>8CF7</t>
  </si>
  <si>
    <t>8CF8</t>
  </si>
  <si>
    <t>8CF9</t>
  </si>
  <si>
    <t>8CFA</t>
  </si>
  <si>
    <t>8CFB</t>
  </si>
  <si>
    <t>8CFC</t>
  </si>
  <si>
    <t>8CFD</t>
  </si>
  <si>
    <t>8CFE</t>
  </si>
  <si>
    <t>8CFF</t>
  </si>
  <si>
    <t>Checksum (0x80-0xFE)</t>
  </si>
  <si>
    <t>TC358870XBG HDMI Input Start Up sequence</t>
  </si>
  <si>
    <t>Command Description   WR8:8bit Write,  WR16:16bit Write,  WR32:32bit Write, RD8:8bit Read,  RD16:16bit Read,  RD32:32bit Read</t>
  </si>
  <si>
    <t xml:space="preserve">Command Description   delay:Wait (unit is "us"), REM/REMnd: Remark. For delay command, Wait value must be written into address column. </t>
  </si>
  <si>
    <t>Initialization</t>
  </si>
  <si>
    <t>CMD</t>
  </si>
  <si>
    <t xml:space="preserve">Register Name </t>
  </si>
  <si>
    <t>Address</t>
  </si>
  <si>
    <t>Data</t>
  </si>
  <si>
    <t>Comment</t>
  </si>
  <si>
    <t>Initialization for Stand-by (RS1)</t>
  </si>
  <si>
    <t>Afer release of reset.</t>
  </si>
  <si>
    <t>Software Reset</t>
  </si>
  <si>
    <t>WR16</t>
  </si>
  <si>
    <t>ConfCtl0</t>
  </si>
  <si>
    <t>SysCtl</t>
  </si>
  <si>
    <t>0002</t>
  </si>
  <si>
    <t>3F00</t>
  </si>
  <si>
    <t>Assert Reset, Exit Sleep, wait</t>
  </si>
  <si>
    <t>Release Reset, Exit Sleep</t>
  </si>
  <si>
    <t>ConfCtl1</t>
  </si>
  <si>
    <t>HDMI Interrupt Mask, Clear</t>
  </si>
  <si>
    <t>IntMask</t>
  </si>
  <si>
    <t>0016</t>
  </si>
  <si>
    <t>0F3F</t>
  </si>
  <si>
    <t>Disable All Interrupt</t>
  </si>
  <si>
    <t>SYS_INT</t>
  </si>
  <si>
    <t>8502</t>
  </si>
  <si>
    <t>INT Clear</t>
  </si>
  <si>
    <t>CLK_INT</t>
  </si>
  <si>
    <t>8503</t>
  </si>
  <si>
    <t>PACKET_INT</t>
  </si>
  <si>
    <t>8504</t>
  </si>
  <si>
    <t>CBIT_INT</t>
  </si>
  <si>
    <t>8505</t>
  </si>
  <si>
    <t>AUDIO_INT</t>
  </si>
  <si>
    <t>8506</t>
  </si>
  <si>
    <t>MISC_INT</t>
  </si>
  <si>
    <t>850B</t>
  </si>
  <si>
    <t>IntStatus</t>
  </si>
  <si>
    <t>0014</t>
  </si>
  <si>
    <t>SYS_INTM</t>
  </si>
  <si>
    <t>8512</t>
  </si>
  <si>
    <t>Disable HPD DDC Power Interrupt Mask</t>
  </si>
  <si>
    <t>M_ACR_CTS[7]</t>
  </si>
  <si>
    <t>Mask On</t>
  </si>
  <si>
    <t>M_ACR_N[6]</t>
  </si>
  <si>
    <t>M_DVI_DET[5]</t>
  </si>
  <si>
    <t>M_HDMI_DET[4]</t>
  </si>
  <si>
    <t>M_NOPMBDET[3]</t>
  </si>
  <si>
    <t>M_BPMBDET[2]</t>
  </si>
  <si>
    <t>M_TDMS[1]</t>
  </si>
  <si>
    <t>M_DDC[0]</t>
  </si>
  <si>
    <t>Mask Off</t>
  </si>
  <si>
    <t>CLK_INTM</t>
  </si>
  <si>
    <t>8513</t>
  </si>
  <si>
    <t>M_OUT_H_CHG[6]</t>
  </si>
  <si>
    <t>M_IN_DE_CHG[5]</t>
  </si>
  <si>
    <t>M_IN_HV_CHG[4]</t>
  </si>
  <si>
    <t>M_DC_CHG[3]</t>
  </si>
  <si>
    <t>M_PXCLK_CHG[2]</t>
  </si>
  <si>
    <t>M_PHYCLK_CHG[1]</t>
  </si>
  <si>
    <t>M_TMDS_CHG[0]</t>
  </si>
  <si>
    <t>PACKET_INTM</t>
  </si>
  <si>
    <t>8514</t>
  </si>
  <si>
    <t>M_PK_ISRC2[7]</t>
  </si>
  <si>
    <t>M_PK_ISRC[6]</t>
  </si>
  <si>
    <t>M_PK_ACP[5]</t>
  </si>
  <si>
    <t>M_PK_VS[4]</t>
  </si>
  <si>
    <t>M_OK_SPD[3]</t>
  </si>
  <si>
    <t>M_PK_MS[2]</t>
  </si>
  <si>
    <t>M_PK_AUD[1]</t>
  </si>
  <si>
    <t>M_PK_AVI[0]</t>
  </si>
  <si>
    <t>AUDIO_IMNTM</t>
  </si>
  <si>
    <t>8515</t>
  </si>
  <si>
    <t>M_AF_LOCK[7]</t>
  </si>
  <si>
    <t>M_AF_UNLOCK[6]</t>
  </si>
  <si>
    <t>[5]</t>
  </si>
  <si>
    <t>M_AU_DSD[4]</t>
  </si>
  <si>
    <t>M_AU_HBR[3]</t>
  </si>
  <si>
    <t>M_CBIT_NLPCM[2]</t>
  </si>
  <si>
    <t>M_CBIT_FS[1]</t>
  </si>
  <si>
    <t>M_CBIT[0]</t>
  </si>
  <si>
    <t>ABUF_INTM</t>
  </si>
  <si>
    <t>8516</t>
  </si>
  <si>
    <t>M_BUF_OVR[7]</t>
  </si>
  <si>
    <t>M_BUF_NO2[6]</t>
  </si>
  <si>
    <t>M_BUF_NO1[5]</t>
  </si>
  <si>
    <t>M_BUF_CTR[4]</t>
  </si>
  <si>
    <t>M_BUF_NU1[3]</t>
  </si>
  <si>
    <t>M_BUF_NU2[2]</t>
  </si>
  <si>
    <t>M_BUF_UDR[1]</t>
  </si>
  <si>
    <t>M_BFINIT_ED[0]</t>
  </si>
  <si>
    <t>MISC_INTM</t>
  </si>
  <si>
    <t>851B</t>
  </si>
  <si>
    <t>M_AU_DSD_OFF[7]</t>
  </si>
  <si>
    <t>M_AU_HBR_OFF[6]</t>
  </si>
  <si>
    <t>M_VID_COLOR[5]</t>
  </si>
  <si>
    <t>M_AS_LAYOUT[4]</t>
  </si>
  <si>
    <t>M_NO_SPD[3]</t>
  </si>
  <si>
    <t>M_SYNC_CHG[1]</t>
  </si>
  <si>
    <t>M_AUD_MUTE[0]</t>
  </si>
  <si>
    <t>HDMI PHY</t>
  </si>
  <si>
    <t>PHY CTL</t>
  </si>
  <si>
    <t>8410</t>
  </si>
  <si>
    <t>[7]</t>
  </si>
  <si>
    <t>[6]</t>
  </si>
  <si>
    <t>[4]</t>
  </si>
  <si>
    <t>[3]</t>
  </si>
  <si>
    <t>[2]</t>
  </si>
  <si>
    <t>[1]</t>
  </si>
  <si>
    <t>PHYCtrl[0]</t>
  </si>
  <si>
    <t>DDC5V Det</t>
  </si>
  <si>
    <t>PHY_ENB</t>
  </si>
  <si>
    <t>8413</t>
  </si>
  <si>
    <t>PHYEnb[0]</t>
  </si>
  <si>
    <t>Normal</t>
  </si>
  <si>
    <t>EQ_BYPS</t>
  </si>
  <si>
    <t>8420</t>
  </si>
  <si>
    <t>APLL_CTL</t>
  </si>
  <si>
    <t>84F0</t>
  </si>
  <si>
    <t>APLL_CPCTL[5:4]</t>
  </si>
  <si>
    <t>APLL_ON[0]</t>
  </si>
  <si>
    <t>ON</t>
  </si>
  <si>
    <t>DDCIO_CTL</t>
  </si>
  <si>
    <t>84F4</t>
  </si>
  <si>
    <t>DDCIO_PWR[0]</t>
  </si>
  <si>
    <t>HDMI Clock</t>
  </si>
  <si>
    <t>SYS_FREQ0_1</t>
  </si>
  <si>
    <t>8540</t>
  </si>
  <si>
    <t>LOCKDET_FREQ0</t>
  </si>
  <si>
    <t>8630</t>
  </si>
  <si>
    <t>LOCKDET_REF1_2</t>
  </si>
  <si>
    <t>8631</t>
  </si>
  <si>
    <t>NCO_F0_MOD</t>
  </si>
  <si>
    <t>8670</t>
  </si>
  <si>
    <t>CSC_SCLK0_1</t>
  </si>
  <si>
    <t>8A0C</t>
  </si>
  <si>
    <t>EDID_MODE</t>
  </si>
  <si>
    <t>85E0</t>
  </si>
  <si>
    <t>EDID_MODE[1:0]</t>
  </si>
  <si>
    <t>RAM+DDC2B</t>
  </si>
  <si>
    <t>EDID_LEN1_2</t>
  </si>
  <si>
    <t>85E3</t>
  </si>
  <si>
    <t>EDID_LEN[10:0]  EDID Data Length</t>
  </si>
  <si>
    <t>HDCP Setting</t>
  </si>
  <si>
    <t>85EC</t>
  </si>
  <si>
    <t>Key loading command</t>
  </si>
  <si>
    <t>HDCP_MODE</t>
  </si>
  <si>
    <t>8560</t>
  </si>
  <si>
    <t>KSV Auto Clear Mode</t>
  </si>
  <si>
    <t>Md_RST_TN[5]</t>
  </si>
  <si>
    <t>AutoRes On</t>
  </si>
  <si>
    <t>LinkRekey[4]</t>
  </si>
  <si>
    <t>57clk</t>
  </si>
  <si>
    <t>Auto CLR[2]</t>
  </si>
  <si>
    <t>[0]</t>
  </si>
  <si>
    <t>8563</t>
  </si>
  <si>
    <t>11</t>
  </si>
  <si>
    <t>EESS_Err auto-unAuth</t>
  </si>
  <si>
    <t>8564</t>
  </si>
  <si>
    <t>0F</t>
  </si>
  <si>
    <t>DI_Err (Data Island Error) auto-unAuth</t>
  </si>
  <si>
    <t>HDMI SYSTEM</t>
  </si>
  <si>
    <t>DDC_CTL</t>
  </si>
  <si>
    <t>8543</t>
  </si>
  <si>
    <t>DDCACT[2]</t>
  </si>
  <si>
    <t>HotPlug</t>
  </si>
  <si>
    <t>DDC5V_MODE[1:0]</t>
  </si>
  <si>
    <t>100ms</t>
  </si>
  <si>
    <t>HPD_CTL</t>
  </si>
  <si>
    <t>8544</t>
  </si>
  <si>
    <t>HPD_CTL0[4]</t>
  </si>
  <si>
    <t>HPD_OUT0[0]</t>
  </si>
  <si>
    <t>L Out</t>
  </si>
  <si>
    <t>HDMI Audio Setting</t>
  </si>
  <si>
    <t>AUD_Auto_Mute</t>
  </si>
  <si>
    <t>8600</t>
  </si>
  <si>
    <t>Audio and Data mute setting</t>
  </si>
  <si>
    <t>A_MUTE[4]</t>
  </si>
  <si>
    <t>OFF</t>
  </si>
  <si>
    <t>D_MUTE[0]</t>
  </si>
  <si>
    <t>Auto_CMD0</t>
  </si>
  <si>
    <t>8602</t>
  </si>
  <si>
    <t>Auto_Mute[7]</t>
  </si>
  <si>
    <t>Auto_Mute[6]</t>
  </si>
  <si>
    <t>Auto_Mute[5]</t>
  </si>
  <si>
    <t>Auto_Mute[4]</t>
  </si>
  <si>
    <t>Auto_Mute[3]</t>
  </si>
  <si>
    <t>Not Set</t>
  </si>
  <si>
    <t>Auto_Mute[2]</t>
  </si>
  <si>
    <t>Auto_Mute[1]</t>
  </si>
  <si>
    <t>Auto_Mute[0]</t>
  </si>
  <si>
    <t>Auto_CMD1</t>
  </si>
  <si>
    <t>8603</t>
  </si>
  <si>
    <t>Auto_Mute[10]</t>
  </si>
  <si>
    <t>Auto_Mute[9]</t>
  </si>
  <si>
    <t>Auto_Mute[8]</t>
  </si>
  <si>
    <t>Auto_CMD2</t>
  </si>
  <si>
    <t>8604</t>
  </si>
  <si>
    <t>Auto_Play[3]</t>
  </si>
  <si>
    <t>Clear</t>
  </si>
  <si>
    <t>Auto_Play[2]</t>
  </si>
  <si>
    <t>Issue</t>
  </si>
  <si>
    <t>BUFINIT_START</t>
  </si>
  <si>
    <t>8606</t>
  </si>
  <si>
    <t>BUF_INIT_START[7:0] (us)  0.1us~25.5us</t>
  </si>
  <si>
    <t>FS_MUTE</t>
  </si>
  <si>
    <t>8607</t>
  </si>
  <si>
    <t>FSelseMute[7]</t>
  </si>
  <si>
    <t>Not Mute</t>
  </si>
  <si>
    <t>FS22_Mute[6]</t>
  </si>
  <si>
    <t>FS24_Mute[5]</t>
  </si>
  <si>
    <t>FS88_Mute[4]</t>
  </si>
  <si>
    <t>FS96_Mute[3]</t>
  </si>
  <si>
    <t>FS176Mute[2]</t>
  </si>
  <si>
    <t>FS192Mute[1]</t>
  </si>
  <si>
    <t>FS_NoMute[0]</t>
  </si>
  <si>
    <t>SDO_MODE1</t>
  </si>
  <si>
    <t>8652</t>
  </si>
  <si>
    <t>SDO_BIT_LENGTH[6:4]</t>
  </si>
  <si>
    <t>16b_8bDscd</t>
  </si>
  <si>
    <t>SDO_FORMAT[1:0]</t>
  </si>
  <si>
    <t>NCO_48F0A_D</t>
  </si>
  <si>
    <t>8671</t>
  </si>
  <si>
    <t>NCO_44F0A_D</t>
  </si>
  <si>
    <t>8675</t>
  </si>
  <si>
    <t>AUD_MODE</t>
  </si>
  <si>
    <t>8680</t>
  </si>
  <si>
    <t>Audio Relay[1:0]</t>
  </si>
  <si>
    <t>Normal Aud</t>
  </si>
  <si>
    <t>Check HDMI cable status</t>
  </si>
  <si>
    <t>RD8</t>
  </si>
  <si>
    <t>8520</t>
  </si>
  <si>
    <t>Check if bit0=1 (DDC_5V is ON)</t>
  </si>
  <si>
    <t>CHK</t>
  </si>
  <si>
    <t>If 0x8520&lt;0&gt;=1 all the time, HDMI cable is connected.  Skip rest of seqeunce then jump to RS2.</t>
  </si>
  <si>
    <t>Enable Interrupt</t>
  </si>
  <si>
    <t>Enable SYS Interrupt</t>
  </si>
  <si>
    <t>[15]</t>
  </si>
  <si>
    <t>[14]</t>
  </si>
  <si>
    <t>[13]</t>
  </si>
  <si>
    <t>[12]</t>
  </si>
  <si>
    <t>DSITX1 MSK</t>
  </si>
  <si>
    <t>AMUTE MSK</t>
  </si>
  <si>
    <t>HDMI MSK</t>
  </si>
  <si>
    <t>DSITX0 MSK</t>
  </si>
  <si>
    <t>SYS Enb</t>
  </si>
  <si>
    <t>CEC-Er MSK</t>
  </si>
  <si>
    <t>CEC-TX MSK</t>
  </si>
  <si>
    <t>CEC-RX MSK</t>
  </si>
  <si>
    <t>IR_Er MSK</t>
  </si>
  <si>
    <t>IR_Dat MSK</t>
  </si>
  <si>
    <t>Enter Sleep</t>
  </si>
  <si>
    <t>0001</t>
  </si>
  <si>
    <t>CONT</t>
  </si>
  <si>
    <t>CHKINT</t>
  </si>
  <si>
    <t>Wait Interrupt</t>
  </si>
  <si>
    <t>Interrupt Service Routine(RS_Int)</t>
  </si>
  <si>
    <t>Check DDC_5V=On</t>
  </si>
  <si>
    <t>Exit from Sleep</t>
  </si>
  <si>
    <t>0000</t>
  </si>
  <si>
    <t>Exit Sleep</t>
  </si>
  <si>
    <t>delay</t>
  </si>
  <si>
    <t>Check Interrupt</t>
  </si>
  <si>
    <t>RD16</t>
  </si>
  <si>
    <t>Check if bit5=1 (SYS Interrupt in sleep mode), bit9=1 (HDMI-RX inerrupt)</t>
  </si>
  <si>
    <t>IntSYSSTATUS</t>
  </si>
  <si>
    <t>001A</t>
  </si>
  <si>
    <t>Check if bit0=1 (HPDI Change interrupt)</t>
  </si>
  <si>
    <t>Check if bit0=1 (DDC Power Change Detection interrupt)</t>
  </si>
  <si>
    <t>Check if bit1=1 (Sync Change interrupt)</t>
  </si>
  <si>
    <t>SYS_STATUS</t>
  </si>
  <si>
    <t>Check bit0(DDC_Power), bit7(Sync Establishment)</t>
  </si>
  <si>
    <t>Disable Interrupt</t>
  </si>
  <si>
    <t>Clear interrupt</t>
  </si>
  <si>
    <r>
      <rPr>
        <sz val="11"/>
        <rFont val="Arial"/>
        <family val="2"/>
      </rPr>
      <t xml:space="preserve">0x001A&lt;0&gt;=1 =&gt; Change state from S1-&gt; S2. Execute "Iniialization for Reday(RS2)"
</t>
    </r>
    <r>
      <rPr>
        <sz val="11"/>
        <color theme="0" tint="-0.34998626667073579"/>
        <rFont val="Arial"/>
        <family val="2"/>
      </rPr>
      <t>0x850B&lt;1&gt;=1 &amp; 0x8520&lt;7&gt;=1  =&gt; Change state from S2-&gt;S3.  Execute "MIPI Output Enable(RS3)"
0x8502&lt;0&gt;=1 &amp; 0x8520&lt;0&gt;=0  =&gt; Change state from S3-&gt; S1. Execute "MIPI output disable &amp; Sleep(RS5)"
0x850B&lt;1&gt;=1 &amp; 0x8520&lt;0&gt;=1 &amp; 0x8520&lt;7&gt;=0 =&gt; Change state from S3-&gt; S2. Execute "MIPI output disable(RS4)"</t>
    </r>
  </si>
  <si>
    <t>REMnd</t>
  </si>
  <si>
    <t>End of interrupt checking</t>
  </si>
  <si>
    <t>Initialization for Ready (RS2)</t>
  </si>
  <si>
    <t>When DDC_5V is detected</t>
  </si>
  <si>
    <t>Enable HDMI Interrupt</t>
  </si>
  <si>
    <t>HDMI Enb</t>
  </si>
  <si>
    <t>SYS MSK</t>
  </si>
  <si>
    <t>Set HPDO to "H"</t>
  </si>
  <si>
    <t>INIT_END</t>
  </si>
  <si>
    <t>854A</t>
  </si>
  <si>
    <t xml:space="preserve">Check Sync Establishment when interrupt is generated. </t>
  </si>
  <si>
    <r>
      <rPr>
        <sz val="11"/>
        <color theme="0" tint="-0.34998626667073579"/>
        <rFont val="Arial"/>
        <family val="2"/>
      </rPr>
      <t>0x001A&lt;0&gt;=1 =&gt; Change state from S1-&gt; S2. Execute "Iniialization for Reday(RS2)"</t>
    </r>
    <r>
      <rPr>
        <sz val="11"/>
        <rFont val="Arial"/>
        <family val="2"/>
      </rPr>
      <t xml:space="preserve">
0x850B&lt;1&gt;=1 &amp; 0x8520&lt;7&gt;=1  =&gt; Change state from S2-&gt;S3.  Execute "MIPI Output Enable(RS3)"</t>
    </r>
    <r>
      <rPr>
        <sz val="11"/>
        <color theme="0" tint="-0.34998626667073579"/>
        <rFont val="Arial"/>
        <family val="2"/>
      </rPr>
      <t xml:space="preserve">
0x8502&lt;0&gt;=1 &amp; 0x8520&lt;0&gt;=0  =&gt; Change state from S3-&gt; S1. Execute "MIPI output disable &amp; Sleep(RS5)"
0x850B&lt;1&gt;=1 &amp; 0x8520&lt;0&gt;=1 &amp; 0x8520&lt;7&gt;=0 =&gt; Change state from S3-&gt; S2. Execute "MIPI output disable(RS4)"</t>
    </r>
  </si>
  <si>
    <t>MIPI Output Enable(RS3)</t>
  </si>
  <si>
    <t>When Sync is established</t>
  </si>
  <si>
    <t>Check HDMI resolution/format</t>
  </si>
  <si>
    <t>Based on checked parameters, change MIPI Output setting, if necessary.</t>
  </si>
  <si>
    <t>Wait for HDMI becoming stable. (If necessary)</t>
  </si>
  <si>
    <t>MIPI Output Setting</t>
  </si>
  <si>
    <t>Stop Video and Audio</t>
  </si>
  <si>
    <t>Soft Reset CSI-TX and Splitter Block</t>
  </si>
  <si>
    <t>1200</t>
  </si>
  <si>
    <t>Assert Reset. DSI-TX and Splitter blocks</t>
  </si>
  <si>
    <t>Release Reset</t>
  </si>
  <si>
    <t>Video Color Format Setting</t>
  </si>
  <si>
    <t>VOUT_FMT</t>
  </si>
  <si>
    <t>VOUT_FIL</t>
  </si>
  <si>
    <t>VOUT_SYNC0</t>
  </si>
  <si>
    <t>8A02</t>
  </si>
  <si>
    <t>M3_VSIZE[7:6]</t>
  </si>
  <si>
    <t>M3_HSIZE[5:4]</t>
  </si>
  <si>
    <t>VOUT_MODE[1:0]</t>
  </si>
  <si>
    <t>VOUT_COLOR</t>
  </si>
  <si>
    <t>DSI-TX0 Transition Timing</t>
  </si>
  <si>
    <t>DSI_TX_CLKEN</t>
  </si>
  <si>
    <t>0108</t>
  </si>
  <si>
    <t>00000001</t>
  </si>
  <si>
    <t>DSI_TX_CLKSEL</t>
  </si>
  <si>
    <t>010C</t>
  </si>
  <si>
    <t>SYSDTclk[11:10]</t>
  </si>
  <si>
    <t>HSCK/8</t>
  </si>
  <si>
    <t>SYSCLclk[9:8]</t>
  </si>
  <si>
    <t>HSTXclk_enb[0]</t>
  </si>
  <si>
    <t>MIPI_PLL_CONTROL</t>
  </si>
  <si>
    <t>02A0</t>
  </si>
  <si>
    <t>MIPI_PLL_CNF</t>
  </si>
  <si>
    <t>Program PLL for DSI-TX0</t>
  </si>
  <si>
    <t>00000003</t>
  </si>
  <si>
    <t>LANE_ENABLE</t>
  </si>
  <si>
    <t>LINE_INIT_COUNT</t>
  </si>
  <si>
    <t>HSTX_TO_COUNT</t>
  </si>
  <si>
    <t>0124</t>
  </si>
  <si>
    <t>HSTX TO Count (Hex 0x0~0xFFFFFFFF)</t>
  </si>
  <si>
    <t>FUNC_ENABLE</t>
  </si>
  <si>
    <t>0128</t>
  </si>
  <si>
    <t>INIT Int Dis</t>
  </si>
  <si>
    <t>ApErrInt Dis</t>
  </si>
  <si>
    <t>DSIPrto Inte Dis</t>
  </si>
  <si>
    <t>DSIrErr Int Dis</t>
  </si>
  <si>
    <t>DSILPTX Int Dis</t>
  </si>
  <si>
    <t>DSIrTrg Int Dis</t>
  </si>
  <si>
    <t>DSIrStat Int Dis</t>
  </si>
  <si>
    <t>PR_TO Dis</t>
  </si>
  <si>
    <t>HSTX_TO Dis</t>
  </si>
  <si>
    <t>IND_TO Dis</t>
  </si>
  <si>
    <t>INDMdSel Reg</t>
  </si>
  <si>
    <t>VHDELAY Reg</t>
  </si>
  <si>
    <t>DSI_LPTX_MODE</t>
  </si>
  <si>
    <t>012C</t>
  </si>
  <si>
    <t>Specified Line Number(0~8191)</t>
  </si>
  <si>
    <t>Output Tim[2:1]</t>
  </si>
  <si>
    <t>Cmd from[0]</t>
  </si>
  <si>
    <t>Input</t>
  </si>
  <si>
    <t>DSI_TATO_COUNT</t>
  </si>
  <si>
    <t>0130</t>
  </si>
  <si>
    <t>TA TO Count (Hex 0x0~0xFFFFFFFF)</t>
  </si>
  <si>
    <t>10000</t>
  </si>
  <si>
    <t>DSI_PRESP_BTA_COUNT</t>
  </si>
  <si>
    <t>0134</t>
  </si>
  <si>
    <t>DSI_RRESP_BTA Count (Hex 0x0~0xFFFFFFFF)</t>
  </si>
  <si>
    <t>DSI_PRESP_LPR_COUNT</t>
  </si>
  <si>
    <t>0138</t>
  </si>
  <si>
    <t>DSI_PRESP_LPR Count (Hex 0x0~0xFFFFFFFF)</t>
  </si>
  <si>
    <t>DSI_PRESP_LPW_COUNT</t>
  </si>
  <si>
    <t>013C</t>
  </si>
  <si>
    <t>DSI_PRESP_LPW Count (Hex 0x0~0xFFFFFFFF)</t>
  </si>
  <si>
    <t>DSI_PRESP_HSR_COUNT</t>
  </si>
  <si>
    <t>0140</t>
  </si>
  <si>
    <t>DSI_PRESP_HSR Count (Hex 0x0~0xFFFFFFFF)</t>
  </si>
  <si>
    <t>DSI_PRESP_HSW_COUNT</t>
  </si>
  <si>
    <t>0144</t>
  </si>
  <si>
    <t>DSI_PRESP_HSW Count (Hex 0x0~0xFFFFFFFF)</t>
  </si>
  <si>
    <t>DSI_PR_TO_COUNT</t>
  </si>
  <si>
    <t>0148</t>
  </si>
  <si>
    <t>DSI_PR_TO Count (Hex 0x0~0xFFFFFFFF)</t>
  </si>
  <si>
    <t>1000</t>
  </si>
  <si>
    <t>DSI_LRX-H_TO_COUNT</t>
  </si>
  <si>
    <t>014C</t>
  </si>
  <si>
    <r>
      <rPr>
        <sz val="11"/>
        <color theme="0"/>
        <rFont val="Arial"/>
        <family val="2"/>
      </rPr>
      <t>DSI_LRX-H</t>
    </r>
    <r>
      <rPr>
        <sz val="11"/>
        <color indexed="9"/>
        <rFont val="ＭＳ Ｐゴシック"/>
        <family val="2"/>
      </rPr>
      <t>　</t>
    </r>
    <r>
      <rPr>
        <sz val="11"/>
        <color indexed="9"/>
        <rFont val="Arial"/>
        <family val="2"/>
      </rPr>
      <t>TO Count (Hex 0x0~0xFFFFFFFF)</t>
    </r>
  </si>
  <si>
    <t>FUNC_MODE</t>
  </si>
  <si>
    <t>0150</t>
  </si>
  <si>
    <t>Clk Force Stop[10]</t>
  </si>
  <si>
    <t>Keep Operation</t>
  </si>
  <si>
    <t>Contension Chk[9]</t>
  </si>
  <si>
    <t>ECC Err Chk[8]</t>
  </si>
  <si>
    <t>CRC Err Chk[6]</t>
  </si>
  <si>
    <t>HS clk Md[5]</t>
  </si>
  <si>
    <t>Add EoT[0]</t>
  </si>
  <si>
    <t>DSI_RX_VC_ENABLE</t>
  </si>
  <si>
    <t>0154</t>
  </si>
  <si>
    <t>Receive VC3[3]</t>
  </si>
  <si>
    <t>Receive VC0[2]</t>
  </si>
  <si>
    <t>Receive VC0[1]</t>
  </si>
  <si>
    <t>Receive VC0[0]</t>
  </si>
  <si>
    <t>IND_TO_COUNT</t>
  </si>
  <si>
    <t>0158</t>
  </si>
  <si>
    <r>
      <rPr>
        <sz val="11"/>
        <color theme="0"/>
        <rFont val="Arial"/>
        <family val="2"/>
      </rPr>
      <t>IND</t>
    </r>
    <r>
      <rPr>
        <sz val="11"/>
        <color indexed="9"/>
        <rFont val="ＭＳ Ｐゴシック"/>
        <family val="2"/>
      </rPr>
      <t>　</t>
    </r>
    <r>
      <rPr>
        <sz val="11"/>
        <color indexed="9"/>
        <rFont val="Arial"/>
        <family val="2"/>
      </rPr>
      <t>TO Count (Hex 0x0~0xFFFFFFFF)</t>
    </r>
  </si>
  <si>
    <t>C8</t>
  </si>
  <si>
    <t>INIT_INT_MSK</t>
  </si>
  <si>
    <t>0164</t>
  </si>
  <si>
    <t>LPRX Cal Done[2]</t>
  </si>
  <si>
    <t>Mask</t>
  </si>
  <si>
    <t>VREG Cnt Done[1]</t>
  </si>
  <si>
    <t>Line Init Done[0]</t>
  </si>
  <si>
    <t>No Mask</t>
  </si>
  <si>
    <t>DSI_HSYNC_STOP_COUNT</t>
  </si>
  <si>
    <t>0168</t>
  </si>
  <si>
    <t>DSI_HSYNC STOP Count (Hex 0x0~0xFFFF)</t>
  </si>
  <si>
    <t>002A</t>
  </si>
  <si>
    <t>APF_VDELAYCNT</t>
  </si>
  <si>
    <t>0170</t>
  </si>
  <si>
    <t>APF_VC_CONFIG</t>
  </si>
  <si>
    <t>0178</t>
  </si>
  <si>
    <t>VC Setting[2:1]</t>
  </si>
  <si>
    <t>VC Select[0]</t>
  </si>
  <si>
    <t>By Reg</t>
  </si>
  <si>
    <t>DSI_TX_MODE</t>
  </si>
  <si>
    <t>DSI_HSYNC_WIDTH</t>
  </si>
  <si>
    <t>DSI_HBPR</t>
  </si>
  <si>
    <t>DSI_RX_STATE_INT_MASK</t>
  </si>
  <si>
    <t>01A4</t>
  </si>
  <si>
    <t>LPRX Pkt Start[4]</t>
  </si>
  <si>
    <t>LPRX Pkt Done[3]</t>
  </si>
  <si>
    <t>LPRX Th Hit[2]</t>
  </si>
  <si>
    <t>Direction Fall[1]</t>
  </si>
  <si>
    <t>Direction Rise[0]</t>
  </si>
  <si>
    <t>DSI_RXTRG_INT_MASK</t>
  </si>
  <si>
    <t>01AC</t>
  </si>
  <si>
    <t>L0RX Trg3[3]</t>
  </si>
  <si>
    <t>L0RX Trg2[2]</t>
  </si>
  <si>
    <t>L0RX Trg1[1]</t>
  </si>
  <si>
    <t>L0RX Trg0[0]</t>
  </si>
  <si>
    <t>DSI_LPRX_THRESH_COUNT</t>
  </si>
  <si>
    <t>01C0</t>
  </si>
  <si>
    <t>DSI_LPRX Threshold Count (Hex 0x0~0x1F)</t>
  </si>
  <si>
    <t>15</t>
  </si>
  <si>
    <t>DSI_PRTO_INT_MASK</t>
  </si>
  <si>
    <t>020C</t>
  </si>
  <si>
    <t>Peri Resp TO[3]</t>
  </si>
  <si>
    <t>HSTX TO[1]</t>
  </si>
  <si>
    <t>APP_SIDE_ERR_INT_MASK</t>
  </si>
  <si>
    <t>0214</t>
  </si>
  <si>
    <t>Ind Wrong Err[9]</t>
  </si>
  <si>
    <t>Line Buf RW Err[8]</t>
  </si>
  <si>
    <t>RX Buf OVF[6]</t>
  </si>
  <si>
    <t>Sync Buf OVF[4]</t>
  </si>
  <si>
    <t>Ind Buf OVF[3]</t>
  </si>
  <si>
    <t>Line Buf OVF[2]</t>
  </si>
  <si>
    <t>Err WC[1]</t>
  </si>
  <si>
    <t>Err Data Type[0]</t>
  </si>
  <si>
    <t>DSI_RX_ERR_INT_MASK</t>
  </si>
  <si>
    <t>021C</t>
  </si>
  <si>
    <t>Err Report Mask[13:3]</t>
  </si>
  <si>
    <t>DSI_LPTX_INT_MASK</t>
  </si>
  <si>
    <t>0224</t>
  </si>
  <si>
    <t>Payload1 Done[9]</t>
  </si>
  <si>
    <t>Payload0 Done[8]</t>
  </si>
  <si>
    <t>LPTX Done[0]</t>
  </si>
  <si>
    <t>DPHY_DLYCNTRL</t>
  </si>
  <si>
    <t>0240</t>
  </si>
  <si>
    <t>DLY Sel CL[19:16]</t>
  </si>
  <si>
    <t>DLY Sel D3[15:12]</t>
  </si>
  <si>
    <t>DLY Sel D2[11:8]</t>
  </si>
  <si>
    <t>DLY Sel D1[7:4]</t>
  </si>
  <si>
    <t>DLY Sel D0[3:0]</t>
  </si>
  <si>
    <t>TCLK_TRAILCNT</t>
  </si>
  <si>
    <t>TCLK_POSTCNT</t>
  </si>
  <si>
    <t>THS_TRAILCNT</t>
  </si>
  <si>
    <t>HSTXVREGCNT</t>
  </si>
  <si>
    <t>0270</t>
  </si>
  <si>
    <t>00000020</t>
  </si>
  <si>
    <t>HSTXVREGEN</t>
  </si>
  <si>
    <t>DPHY_TX ADJUST</t>
  </si>
  <si>
    <t>027C</t>
  </si>
  <si>
    <t>CLLPTX Cur[9:8]</t>
  </si>
  <si>
    <t>No Add</t>
  </si>
  <si>
    <t>D3LPTX Cur[7:6]</t>
  </si>
  <si>
    <t>D2LPTX Cur[5:4]</t>
  </si>
  <si>
    <t>D1LPTX Cur[3:2]</t>
  </si>
  <si>
    <t>D0LPTX Cur[1:0]</t>
  </si>
  <si>
    <t>25% Add</t>
  </si>
  <si>
    <t>DPHY_CAP</t>
  </si>
  <si>
    <t>0288</t>
  </si>
  <si>
    <t>CAP Sel CL[9:8]</t>
  </si>
  <si>
    <t>CAP Sel D3[7:6]</t>
  </si>
  <si>
    <t>CAP Sel D2[5:4]</t>
  </si>
  <si>
    <t>CAP Sel D1[3:2]</t>
  </si>
  <si>
    <t>CAP Sel D0[1:0]</t>
  </si>
  <si>
    <t>DSITX_START</t>
  </si>
  <si>
    <t>011C</t>
  </si>
  <si>
    <t>DSI-TX1 Transition Timing</t>
  </si>
  <si>
    <t>0308</t>
  </si>
  <si>
    <t>030C</t>
  </si>
  <si>
    <t>04A0</t>
  </si>
  <si>
    <t>Program PLL for DSI-TX1</t>
  </si>
  <si>
    <t>0324</t>
  </si>
  <si>
    <t>0328</t>
  </si>
  <si>
    <t>032C</t>
  </si>
  <si>
    <t>Immediate</t>
  </si>
  <si>
    <t>0330</t>
  </si>
  <si>
    <t>0334</t>
  </si>
  <si>
    <t>0338</t>
  </si>
  <si>
    <t>033C</t>
  </si>
  <si>
    <t>0340</t>
  </si>
  <si>
    <t>0344</t>
  </si>
  <si>
    <t>0348</t>
  </si>
  <si>
    <t>034C</t>
  </si>
  <si>
    <t>0350</t>
  </si>
  <si>
    <t>0354</t>
  </si>
  <si>
    <t>0358</t>
  </si>
  <si>
    <t>0364</t>
  </si>
  <si>
    <t>0368</t>
  </si>
  <si>
    <t>0370</t>
  </si>
  <si>
    <t>0378</t>
  </si>
  <si>
    <t>03A4</t>
  </si>
  <si>
    <t>03AC</t>
  </si>
  <si>
    <t>03C0</t>
  </si>
  <si>
    <t>040C</t>
  </si>
  <si>
    <t>0414</t>
  </si>
  <si>
    <t>041C</t>
  </si>
  <si>
    <t>0424</t>
  </si>
  <si>
    <t>0440</t>
  </si>
  <si>
    <t>0470</t>
  </si>
  <si>
    <t>047C</t>
  </si>
  <si>
    <t>0488</t>
  </si>
  <si>
    <t>031C</t>
  </si>
  <si>
    <t>Command Transmission Before Video Start</t>
  </si>
  <si>
    <t>CMD_SEL</t>
  </si>
  <si>
    <t>0500</t>
  </si>
  <si>
    <t>MODE_CONFIG</t>
  </si>
  <si>
    <t>DSI Cmd[4]</t>
  </si>
  <si>
    <t>LP</t>
  </si>
  <si>
    <t>HSYNC Pol[2]</t>
  </si>
  <si>
    <t>VSYNC Pol[1]</t>
  </si>
  <si>
    <t>LCD Initialization</t>
  </si>
  <si>
    <t>Soft Reset</t>
  </si>
  <si>
    <t>DCSCMD_Q</t>
  </si>
  <si>
    <t>0504</t>
  </si>
  <si>
    <t>0005</t>
  </si>
  <si>
    <t>Set Pixel Format</t>
  </si>
  <si>
    <t>0015</t>
  </si>
  <si>
    <t>773A</t>
  </si>
  <si>
    <t>Set Column Address</t>
  </si>
  <si>
    <t>8039</t>
  </si>
  <si>
    <t>0400</t>
  </si>
  <si>
    <t>00FF</t>
  </si>
  <si>
    <t>Set Page Address</t>
  </si>
  <si>
    <t>002B</t>
  </si>
  <si>
    <t>0600</t>
  </si>
  <si>
    <t>003F</t>
  </si>
  <si>
    <t>Set Tear On</t>
  </si>
  <si>
    <t>0035</t>
  </si>
  <si>
    <t>Set Tear Scanline</t>
  </si>
  <si>
    <t>0003</t>
  </si>
  <si>
    <t>0044</t>
  </si>
  <si>
    <t>Write Display Brightness</t>
  </si>
  <si>
    <t>FF51</t>
  </si>
  <si>
    <t>Write Control Display</t>
  </si>
  <si>
    <t>2453</t>
  </si>
  <si>
    <t>Adaptive Brightness Control</t>
  </si>
  <si>
    <t>0155</t>
  </si>
  <si>
    <t>0011</t>
  </si>
  <si>
    <t>MCAP</t>
  </si>
  <si>
    <t>0023</t>
  </si>
  <si>
    <t>00B0</t>
  </si>
  <si>
    <t>Backlight Control 4</t>
  </si>
  <si>
    <t>8029</t>
  </si>
  <si>
    <t>7DCE</t>
  </si>
  <si>
    <t>4840</t>
  </si>
  <si>
    <t>6756</t>
  </si>
  <si>
    <t>8878</t>
  </si>
  <si>
    <t>A798</t>
  </si>
  <si>
    <t>C3B5</t>
  </si>
  <si>
    <t>DED1</t>
  </si>
  <si>
    <t>F2E9</t>
  </si>
  <si>
    <t>FFFA</t>
  </si>
  <si>
    <t>Split Control</t>
  </si>
  <si>
    <t>STX0_CTL</t>
  </si>
  <si>
    <t>STX0_VPID</t>
  </si>
  <si>
    <t>5002</t>
  </si>
  <si>
    <t>STX0_FPX</t>
  </si>
  <si>
    <t>STX0_LPX</t>
  </si>
  <si>
    <t>STX1_CTL</t>
  </si>
  <si>
    <t>STX1_VPID</t>
  </si>
  <si>
    <t>5082</t>
  </si>
  <si>
    <t>STX1_FPX</t>
  </si>
  <si>
    <t>STX1_LPX</t>
  </si>
  <si>
    <t>STX0_DPX</t>
  </si>
  <si>
    <t>STX0_DRPX</t>
  </si>
  <si>
    <t>STX0_DGPX</t>
  </si>
  <si>
    <t>STX0_DBPX</t>
  </si>
  <si>
    <t>STX1_DPX</t>
  </si>
  <si>
    <t>STX1_DRPX</t>
  </si>
  <si>
    <t>STX1_DGPX</t>
  </si>
  <si>
    <t>STX1_DBPX</t>
  </si>
  <si>
    <t>STX_DBG</t>
  </si>
  <si>
    <t>7080</t>
  </si>
  <si>
    <t>0080</t>
  </si>
  <si>
    <t>STX0_WC</t>
  </si>
  <si>
    <t>STX1_WC</t>
  </si>
  <si>
    <t>Start Video TX</t>
  </si>
  <si>
    <t>Command Transmission After Video Start.</t>
  </si>
  <si>
    <t>WR32</t>
  </si>
  <si>
    <t>Interface Setting</t>
  </si>
  <si>
    <t>14B3</t>
  </si>
  <si>
    <t>03B0</t>
  </si>
  <si>
    <t>Set Display On</t>
  </si>
  <si>
    <t>0029</t>
  </si>
  <si>
    <t>END</t>
  </si>
  <si>
    <t>Check Sync Lost, DDC_5V cut off.</t>
  </si>
  <si>
    <r>
      <rPr>
        <sz val="11"/>
        <color theme="0" tint="-0.34998626667073579"/>
        <rFont val="Arial"/>
        <family val="2"/>
      </rPr>
      <t>0x001A&lt;0&gt;=1 =&gt; Change state from S1-&gt; S2. Execute "Iniialization for Reday(RS2)"</t>
    </r>
    <r>
      <rPr>
        <sz val="11"/>
        <rFont val="Arial"/>
        <family val="2"/>
      </rPr>
      <t xml:space="preserve">
</t>
    </r>
    <r>
      <rPr>
        <sz val="11"/>
        <color theme="0" tint="-0.34998626667073579"/>
        <rFont val="Arial"/>
        <family val="2"/>
      </rPr>
      <t xml:space="preserve">0x850B&lt;1&gt;=1 &amp; 0x8520&lt;7&gt;=1  =&gt; Change state from S2-&gt;S3.  Execute "MIPI Output Enable(RS3)"
</t>
    </r>
    <r>
      <rPr>
        <sz val="11"/>
        <rFont val="Arial"/>
        <family val="2"/>
      </rPr>
      <t>0x8502&lt;0&gt;=1 &amp; 0x8520&lt;0&gt;=0  =&gt; Change state from S3-&gt; S1. Execute "MIPI output disable &amp; Sleep(RS5)"
0x850B&lt;1&gt;=1 &amp; 0x8520&lt;0&gt;=1 &amp; 0x8520&lt;7&gt;=0 =&gt; Change state from S3-&gt; S2. Execute "MIPI output disable(RS4)"</t>
    </r>
  </si>
  <si>
    <t>TC358870XBG embedded Color Bar Sequence</t>
  </si>
  <si>
    <t>Suspend</t>
  </si>
  <si>
    <t>Auto Disp Off(RS_DO)</t>
  </si>
  <si>
    <t>When Sync is lost &amp; DDC_5V is kept</t>
  </si>
  <si>
    <t>CB_CTL</t>
  </si>
  <si>
    <t>0009</t>
  </si>
  <si>
    <t>Color Bar Setting</t>
  </si>
  <si>
    <t>CB_CTRL1</t>
  </si>
  <si>
    <t>CB_CTRL2</t>
  </si>
  <si>
    <t>CB_HSW</t>
  </si>
  <si>
    <t>CB_VSW</t>
  </si>
  <si>
    <t>CB_Htotal</t>
  </si>
  <si>
    <t>CB_Vtotal</t>
  </si>
  <si>
    <t>CB_Hact</t>
  </si>
  <si>
    <t>CB_Vact</t>
  </si>
  <si>
    <t>CB_Hstart</t>
  </si>
  <si>
    <t>CB_Vstart</t>
  </si>
  <si>
    <t>Command Transmission After Video Start. HS command TX</t>
  </si>
  <si>
    <t>Set Display Off</t>
  </si>
  <si>
    <t>0028</t>
  </si>
  <si>
    <t>0010</t>
  </si>
  <si>
    <t>MIPI Output Disable(RS4)</t>
  </si>
  <si>
    <t>Reset Display by H/W reset</t>
  </si>
  <si>
    <t>Stop CSI output</t>
  </si>
  <si>
    <t>MIPI Output Disable &amp; Sleep(RS5)</t>
  </si>
  <si>
    <t>When DDC_5V is cut off.</t>
  </si>
  <si>
    <t>TC358870XBG DSI command WR/RD example</t>
  </si>
  <si>
    <t>Expected Read out value</t>
  </si>
  <si>
    <t>DSI Command Transmission</t>
  </si>
  <si>
    <t>DSI Read Operation</t>
  </si>
  <si>
    <t>To receive reverse packet correctly, LPTX time of TX side and RX side must satisfy condition  2/3 &lt;= LPTX(TX)/LPTX(RX)&lt;=3/2</t>
  </si>
  <si>
    <t>Which DSI Port?</t>
  </si>
  <si>
    <t>0x0004&lt;bit1:0&gt; must be "00".</t>
  </si>
  <si>
    <t>what Data ID?</t>
  </si>
  <si>
    <t>Packet Headder. Select Data ID -&gt;</t>
  </si>
  <si>
    <t>DCS RD no</t>
  </si>
  <si>
    <t>00A1</t>
  </si>
  <si>
    <t>&lt;-Set Data. Bit7-0=1st data, Bit15-9=2nd Data</t>
  </si>
  <si>
    <t>Wait until RD finishes.</t>
  </si>
  <si>
    <t>RD32</t>
  </si>
  <si>
    <t>DSI_RX_STATE_INT_STAT</t>
  </si>
  <si>
    <t>0000001B
or
0000001F</t>
  </si>
  <si>
    <t>Check RD sequence status
0x0000001B: Received data byte is the same or smaller than FIFO capacity.
0x0000001F: Received data byte is bigger than FIFO capacity.</t>
  </si>
  <si>
    <t>CHECK</t>
  </si>
  <si>
    <t>0x01A0 is expected value?</t>
  </si>
  <si>
    <t>0000001F</t>
  </si>
  <si>
    <t>Clear status bit</t>
  </si>
  <si>
    <t>DSI_RX_HEADER</t>
  </si>
  <si>
    <t>RD received packet header part.
Short packet case: Data ID and Data
Long packet case: Data ID and WC</t>
  </si>
  <si>
    <t>If received packet is Long packet, continue following sequence</t>
  </si>
  <si>
    <t>DSI_LPRX_FIFO_LEVEL</t>
  </si>
  <si>
    <t xml:space="preserve">Check filled FIFO level. 32bit* ? </t>
  </si>
  <si>
    <t>DSI_RX_FIFO</t>
  </si>
  <si>
    <t>Read data</t>
  </si>
  <si>
    <t xml:space="preserve">Repeat reading [DSI_RX_FIFO(0x01B8)] times. </t>
  </si>
  <si>
    <t>DSI Short Write Operation</t>
  </si>
  <si>
    <t>DCS Short WR no</t>
  </si>
  <si>
    <t>Wait until packet transmission finishes,</t>
  </si>
  <si>
    <t>DSI Long Write Operation</t>
  </si>
  <si>
    <t>DCS Long WR</t>
  </si>
  <si>
    <t>0007</t>
  </si>
  <si>
    <t>&lt;-Set WC.</t>
  </si>
  <si>
    <t>0201</t>
  </si>
  <si>
    <t>0403</t>
  </si>
  <si>
    <t>&lt;-Set Data. Bit7-0=3rd data, Bit15-9=4th Data</t>
  </si>
  <si>
    <t>0605</t>
  </si>
  <si>
    <t>&lt;-Set Data. Bit7-0=5th data, Bit15-9=6th Data</t>
  </si>
  <si>
    <t>&lt;-Set Data. Bit7-0=7th data</t>
  </si>
  <si>
    <t>Repeat writing 0x0504. WC/2 times.</t>
  </si>
  <si>
    <t>TC358870XBG HDMI input timing check</t>
  </si>
  <si>
    <t>Command Description   WR8:8bit Write,  WR16:16bit Write,  WR32:32bit Write, delay:Wait (unit is "us")</t>
  </si>
  <si>
    <t>HDMI input video timing check</t>
  </si>
  <si>
    <t>SYS_FREQ0</t>
  </si>
  <si>
    <t>SYS_FREQ1</t>
  </si>
  <si>
    <t>8541</t>
  </si>
  <si>
    <t>SYS_FREQ0(CSC)</t>
  </si>
  <si>
    <t>SYS_FREQ1(CSC)</t>
  </si>
  <si>
    <t>8A0D</t>
  </si>
  <si>
    <t>HV_CLR</t>
  </si>
  <si>
    <t>8593</t>
  </si>
  <si>
    <t>33</t>
  </si>
  <si>
    <t>Wait more than 2frames</t>
  </si>
  <si>
    <t>HDMI Input Video Timing Check (PCLK)</t>
  </si>
  <si>
    <t>Pixel Clock(MHz)</t>
  </si>
  <si>
    <t>PX_FREQ0</t>
  </si>
  <si>
    <t>8405</t>
  </si>
  <si>
    <t>1D</t>
  </si>
  <si>
    <t>PX_FREQ[7:0]</t>
  </si>
  <si>
    <t>Rough value</t>
  </si>
  <si>
    <t>PX_FREQ1</t>
  </si>
  <si>
    <t>8406</t>
  </si>
  <si>
    <t>PX_FREQ[12:8]</t>
  </si>
  <si>
    <t>HDMI Input Video Timing Check (Horizontal Related)</t>
  </si>
  <si>
    <t>H total(pixel)</t>
  </si>
  <si>
    <t>H_SIZE0</t>
  </si>
  <si>
    <t>858E</t>
  </si>
  <si>
    <t>H_SIZE[7:0]</t>
  </si>
  <si>
    <t>H_SIZE1</t>
  </si>
  <si>
    <t>858F</t>
  </si>
  <si>
    <t>H_SIZE[12:8]</t>
  </si>
  <si>
    <t>HPW+HBP(pixel)</t>
  </si>
  <si>
    <t>DE_HPOS0</t>
  </si>
  <si>
    <t>8580</t>
  </si>
  <si>
    <t>C1</t>
  </si>
  <si>
    <t>DE_HPOS[7:0]</t>
  </si>
  <si>
    <t>DE_HPOS1</t>
  </si>
  <si>
    <t>8581</t>
  </si>
  <si>
    <t>DE_HPOS[12:8]</t>
  </si>
  <si>
    <t>HDP(pixel)</t>
  </si>
  <si>
    <t>DE_HWID0</t>
  </si>
  <si>
    <t>8582</t>
  </si>
  <si>
    <t>DE_HWID[7:0]</t>
  </si>
  <si>
    <t>DE_HWID1</t>
  </si>
  <si>
    <t>8583</t>
  </si>
  <si>
    <t>DE_HWID[12:8]</t>
  </si>
  <si>
    <t>HFP(pixel)</t>
  </si>
  <si>
    <t>HDMI Input Video Timing Check (Vertical Related)</t>
  </si>
  <si>
    <t>V_SIZE0</t>
  </si>
  <si>
    <t>8590</t>
  </si>
  <si>
    <t>DC</t>
  </si>
  <si>
    <t>V_SIZE[7:0]</t>
  </si>
  <si>
    <t>V total(line)</t>
  </si>
  <si>
    <t>V_SIZE1</t>
  </si>
  <si>
    <t>8591</t>
  </si>
  <si>
    <t>V_SIZE[12:8]</t>
  </si>
  <si>
    <t>DE_POS_A0</t>
  </si>
  <si>
    <t>8584</t>
  </si>
  <si>
    <t>2A</t>
  </si>
  <si>
    <t>DE_VPOS_A[7:0]</t>
  </si>
  <si>
    <t>VPW+VBP(line)</t>
  </si>
  <si>
    <t>DE_POS_A1</t>
  </si>
  <si>
    <t>8585</t>
  </si>
  <si>
    <t>DE_VPOS_A[12:8]</t>
  </si>
  <si>
    <t>DE_POS_B0</t>
  </si>
  <si>
    <t>8586</t>
  </si>
  <si>
    <t>DE_VPOS_B[7:0]</t>
  </si>
  <si>
    <t>VDP(line)</t>
  </si>
  <si>
    <t>DE_POS_B1</t>
  </si>
  <si>
    <t>8587</t>
  </si>
  <si>
    <t>DE_VPOS_B[12:8]</t>
  </si>
  <si>
    <t>DE_VWID0</t>
  </si>
  <si>
    <t>858C</t>
  </si>
  <si>
    <t>DE_VWID[7:0]</t>
  </si>
  <si>
    <t>VFP(line)</t>
  </si>
  <si>
    <t>DE_VWID1</t>
  </si>
  <si>
    <t>858D</t>
  </si>
  <si>
    <t>DE_VWID[12:8]</t>
  </si>
  <si>
    <t>HDMI Input Video Timing Check (VSYNC,HSYNC Porarity)</t>
  </si>
  <si>
    <t>VSYNC Polarity</t>
  </si>
  <si>
    <t>HSYNC Polarity</t>
  </si>
  <si>
    <t>VI_STATUS1</t>
  </si>
  <si>
    <t>8526</t>
  </si>
  <si>
    <t>08</t>
  </si>
  <si>
    <t>VI_STATUS1[5:4]</t>
  </si>
  <si>
    <t>Half(Manual)</t>
  </si>
  <si>
    <t>i2c1_uh2cd_write8(0x8C47,0x18); // EDID_RAM</t>
  </si>
  <si>
    <t>i2c1_uh2cd_write8(0x8C59,0x18); // EDID_RAM</t>
  </si>
  <si>
    <t>i2c1_uh2cd_write8(0x8CAB,0x18); // EDID_RAM</t>
  </si>
  <si>
    <t>i2c1_uh2cd_write8(0x8CBD,0x18); // EDID_RAM</t>
  </si>
  <si>
    <t>i2c1_uh2cd_write8(0x8CCF,0x18); // EDID_RAM</t>
  </si>
  <si>
    <t>i2c1_uh2cd_write8(0x8CE1,0x18); // EDID_RAM</t>
  </si>
  <si>
    <t>i2c1_uh2cd_write32(0x0190,0x00000104); // DSI_HBPR</t>
  </si>
  <si>
    <t>i2c1_uh2cd_write32(0x0258,0x00240204); // TCLK_HEADERCNT</t>
  </si>
  <si>
    <t>i2c1_uh2cd_write32(0x025C,0x000D0008); // TCLK_TRAILCNT</t>
  </si>
  <si>
    <t>i2c1_uh2cd_write32(0x0260,0x00140006); // THS_HEADERCNT</t>
  </si>
  <si>
    <t>i2c1_uh2cd_write32(0x0264,0x00004268); // TWAKEUPCNT</t>
  </si>
  <si>
    <t>i2c1_uh2cd_write32(0x0268,0x0000000F); // TCLK_POSTCNT</t>
  </si>
  <si>
    <t>i2c1_uh2cd_write32(0x026C,0x000D0008); // THS_TRAILCNT</t>
  </si>
  <si>
    <t>i2c1_uh2cd_write32(0x0458,0x00240204); // TCLK_HEADERCNT</t>
  </si>
  <si>
    <t>i2c1_uh2cd_write32(0x045C,0x000D0008); // TCLK_TRAILCNT</t>
  </si>
  <si>
    <t>i2c1_uh2cd_write32(0x0460,0x00140006); // THS_HEADERCNT</t>
  </si>
  <si>
    <t>i2c1_uh2cd_write32(0x0464,0x00004268); // TWAKEUPCNT</t>
  </si>
  <si>
    <t>i2c1_uh2cd_write32(0x0468,0x0000000F); // TCLK_POSTCNT</t>
  </si>
  <si>
    <t>i2c1_uh2cd_write32(0x046C,0x000D0008); // THS_TRAILCNT</t>
  </si>
  <si>
    <t>i2c1_uh2cd_write16(0x500E,0x021B); // STX0_LPX</t>
  </si>
  <si>
    <t>i2c1_uh2cd_write16(0x508C,0x021C); // STX1_FPX</t>
  </si>
  <si>
    <t>i2c1_uh2cd_write8(0x8C7E,0x01); // EDID_RAM</t>
  </si>
  <si>
    <t>i2c1_uh2cd_write8(0x8C36,0x28); // EDID_RAM</t>
  </si>
  <si>
    <t>i2c1_uh2cd_write8(0x8C37,0x3C); // EDID_RAM</t>
  </si>
  <si>
    <t>i2c1_uh2cd_write8(0x8C3C,0x0C); // EDID_RAM</t>
  </si>
  <si>
    <t>i2c1_uh2cd_write8(0x8C40,0x44); // EDID_RAM</t>
  </si>
  <si>
    <t>i2c1_uh2cd_write8(0x8C48,0x28); // EDID_RAM</t>
  </si>
  <si>
    <t>i2c1_uh2cd_write8(0x8C49,0x3C); // EDID_RAM</t>
  </si>
  <si>
    <t>i2c1_uh2cd_write8(0x8C4E,0x0C); // EDID_RAM</t>
  </si>
  <si>
    <t>i2c1_uh2cd_write8(0x8C52,0x44); // EDID_RAM</t>
  </si>
  <si>
    <t>i2c1_uh2cd_write8(0x8C7F,0x71); // EDID_RAM</t>
  </si>
  <si>
    <t>i2c1_uh2cd_write8(0x8C9A,0x28); // EDID_RAM</t>
  </si>
  <si>
    <t>i2c1_uh2cd_write8(0x8C9B,0x3C); // EDID_RAM</t>
  </si>
  <si>
    <t>i2c1_uh2cd_write8(0x8CA0,0x0C); // EDID_RAM</t>
  </si>
  <si>
    <t>i2c1_uh2cd_write8(0x8CA4,0x44); // EDID_RAM</t>
  </si>
  <si>
    <t>i2c1_uh2cd_write8(0x8CAC,0x28); // EDID_RAM</t>
  </si>
  <si>
    <t>i2c1_uh2cd_write8(0x8CAD,0x3C); // EDID_RAM</t>
  </si>
  <si>
    <t>i2c1_uh2cd_write8(0x8CB2,0x0C); // EDID_RAM</t>
  </si>
  <si>
    <t>i2c1_uh2cd_write8(0x8CB6,0x44); // EDID_RAM</t>
  </si>
  <si>
    <t>i2c1_uh2cd_write8(0x8CBE,0x28); // EDID_RAM</t>
  </si>
  <si>
    <t>i2c1_uh2cd_write8(0x8CBF,0x3C); // EDID_RAM</t>
  </si>
  <si>
    <t>i2c1_uh2cd_write8(0x8CC4,0x0C); // EDID_RAM</t>
  </si>
  <si>
    <t>i2c1_uh2cd_write8(0x8CC8,0x44); // EDID_RAM</t>
  </si>
  <si>
    <t>i2c1_uh2cd_write8(0x8CD0,0x28); // EDID_RAM</t>
  </si>
  <si>
    <t>i2c1_uh2cd_write8(0x8CD1,0x3C); // EDID_RAM</t>
  </si>
  <si>
    <t>i2c1_uh2cd_write8(0x8CD6,0x0C); // EDID_RAM</t>
  </si>
  <si>
    <t>i2c1_uh2cd_write8(0x8CDA,0x44); // EDID_RAM</t>
  </si>
  <si>
    <t>i2c1_uh2cd_write8(0x8CFF,0x93); // EDID_RAM</t>
  </si>
  <si>
    <t>i2c1_uh2cd_write32(0x0170,0x0000040D); // APF_VDELAYCNT</t>
  </si>
  <si>
    <t>i2c1_uh2cd_write32(0x018C,0x000000A3); // DSI_HSYNC_WIDTH</t>
  </si>
  <si>
    <t>i2c1_uh2cd_write32(0x0370,0x0000040D); // APF_VDELAYCNT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</si>
</sst>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0.000_ "/>
    <numFmt numFmtId="177" formatCode="0.0_ "/>
    <numFmt numFmtId="178" formatCode="0.00_ "/>
    <numFmt numFmtId="179" formatCode="0.000_);[Red]\(0.000\)"/>
    <numFmt numFmtId="180" formatCode="0_ "/>
    <numFmt numFmtId="181" formatCode="0.00_);[Red]\(0.00\)"/>
  </numFmts>
  <fonts count="60">
    <font>
      <sz val="11"/>
      <color theme="1"/>
      <name val="宋体"/>
      <charset val="128"/>
      <scheme val="minor"/>
    </font>
    <font>
      <sz val="11"/>
      <color indexed="8"/>
      <name val="Arial"/>
      <family val="2"/>
    </font>
    <font>
      <sz val="11"/>
      <name val="Arial"/>
      <family val="2"/>
    </font>
    <font>
      <b/>
      <sz val="14"/>
      <color indexed="8"/>
      <name val="Arial"/>
      <family val="2"/>
    </font>
    <font>
      <b/>
      <sz val="14"/>
      <color rgb="FFFF0000"/>
      <name val="Arial"/>
      <family val="2"/>
    </font>
    <font>
      <b/>
      <sz val="11"/>
      <color indexed="8"/>
      <name val="Arial"/>
      <family val="2"/>
    </font>
    <font>
      <b/>
      <sz val="11"/>
      <color indexed="10"/>
      <name val="Arial"/>
      <family val="2"/>
    </font>
    <font>
      <sz val="14"/>
      <color theme="1"/>
      <name val="Arial"/>
      <family val="2"/>
    </font>
    <font>
      <sz val="11"/>
      <color theme="1"/>
      <name val="Arial Narrow"/>
      <family val="2"/>
    </font>
    <font>
      <sz val="11"/>
      <name val="Arial Narrow"/>
      <family val="2"/>
    </font>
    <font>
      <b/>
      <sz val="11"/>
      <name val="Arial"/>
      <family val="2"/>
    </font>
    <font>
      <sz val="11"/>
      <color theme="0"/>
      <name val="Arial"/>
      <family val="2"/>
    </font>
    <font>
      <sz val="11"/>
      <color theme="1"/>
      <name val="Arial"/>
      <family val="2"/>
    </font>
    <font>
      <sz val="11"/>
      <color theme="0"/>
      <name val="宋体"/>
      <family val="3"/>
      <charset val="134"/>
      <scheme val="minor"/>
    </font>
    <font>
      <sz val="11"/>
      <color rgb="FFFF0000"/>
      <name val="Arial"/>
      <family val="2"/>
    </font>
    <font>
      <b/>
      <sz val="11"/>
      <color theme="0"/>
      <name val="Arial"/>
      <family val="2"/>
    </font>
    <font>
      <sz val="11"/>
      <color rgb="FFFF0000"/>
      <name val="宋体"/>
      <family val="3"/>
      <charset val="134"/>
      <scheme val="minor"/>
    </font>
    <font>
      <sz val="10"/>
      <color theme="0"/>
      <name val="Arial"/>
      <family val="2"/>
    </font>
    <font>
      <b/>
      <sz val="11"/>
      <color rgb="FFFF0000"/>
      <name val="Arial"/>
      <family val="2"/>
    </font>
    <font>
      <sz val="9"/>
      <color theme="0"/>
      <name val="Arial"/>
      <family val="2"/>
    </font>
    <font>
      <sz val="9"/>
      <color theme="1"/>
      <name val="宋体"/>
      <family val="3"/>
      <charset val="134"/>
      <scheme val="minor"/>
    </font>
    <font>
      <sz val="10"/>
      <name val="Arial"/>
      <family val="2"/>
    </font>
    <font>
      <b/>
      <sz val="12"/>
      <color theme="0"/>
      <name val="Arial"/>
      <family val="2"/>
    </font>
    <font>
      <sz val="12"/>
      <color indexed="8"/>
      <name val="Arial"/>
      <family val="2"/>
    </font>
    <font>
      <sz val="12"/>
      <name val="Arial"/>
      <family val="2"/>
    </font>
    <font>
      <sz val="12"/>
      <color theme="0"/>
      <name val="Arial"/>
      <family val="2"/>
    </font>
    <font>
      <sz val="8"/>
      <color theme="0"/>
      <name val="Arial"/>
      <family val="2"/>
    </font>
    <font>
      <sz val="11"/>
      <name val="宋体"/>
      <family val="3"/>
      <charset val="134"/>
      <scheme val="minor"/>
    </font>
    <font>
      <sz val="11"/>
      <color theme="4" tint="-0.249977111117893"/>
      <name val="Arial"/>
      <family val="2"/>
    </font>
    <font>
      <b/>
      <sz val="11"/>
      <color theme="1"/>
      <name val="Arial"/>
      <family val="2"/>
    </font>
    <font>
      <sz val="10"/>
      <color rgb="FFFF0000"/>
      <name val="Arial"/>
      <family val="2"/>
    </font>
    <font>
      <b/>
      <sz val="11"/>
      <color theme="1"/>
      <name val="ＭＳ Ｐゴシック"/>
      <family val="2"/>
    </font>
    <font>
      <b/>
      <sz val="14"/>
      <color indexed="10"/>
      <name val="Arial"/>
      <family val="2"/>
    </font>
    <font>
      <b/>
      <sz val="12"/>
      <name val="Arial"/>
      <family val="2"/>
    </font>
    <font>
      <b/>
      <sz val="14"/>
      <color theme="0"/>
      <name val="Arial"/>
      <family val="2"/>
    </font>
    <font>
      <sz val="9"/>
      <color theme="1"/>
      <name val="Arial"/>
      <family val="2"/>
    </font>
    <font>
      <sz val="9"/>
      <name val="Arial"/>
      <family val="2"/>
    </font>
    <font>
      <b/>
      <sz val="11"/>
      <color indexed="9"/>
      <name val="Arial"/>
      <family val="2"/>
    </font>
    <font>
      <sz val="18"/>
      <color theme="0"/>
      <name val="Arial"/>
      <family val="2"/>
    </font>
    <font>
      <sz val="14"/>
      <color theme="0"/>
      <name val="Arial"/>
      <family val="2"/>
    </font>
    <font>
      <sz val="11"/>
      <color theme="7" tint="-0.249977111117893"/>
      <name val="宋体"/>
      <family val="3"/>
      <charset val="134"/>
      <scheme val="minor"/>
    </font>
    <font>
      <b/>
      <sz val="9"/>
      <name val="Arial"/>
      <family val="2"/>
    </font>
    <font>
      <b/>
      <sz val="10"/>
      <name val="Arial"/>
      <family val="2"/>
    </font>
    <font>
      <b/>
      <sz val="10"/>
      <color theme="0"/>
      <name val="Arial"/>
      <family val="2"/>
    </font>
    <font>
      <sz val="11"/>
      <color indexed="9"/>
      <name val="Arial"/>
      <family val="2"/>
    </font>
    <font>
      <b/>
      <sz val="11"/>
      <color rgb="FFFF99FF"/>
      <name val="Arial"/>
      <family val="2"/>
    </font>
    <font>
      <b/>
      <sz val="11"/>
      <color rgb="FF99FF99"/>
      <name val="Arial"/>
      <family val="2"/>
    </font>
    <font>
      <b/>
      <sz val="11"/>
      <color rgb="FF66FFFF"/>
      <name val="宋体"/>
      <family val="3"/>
      <charset val="134"/>
      <scheme val="minor"/>
    </font>
    <font>
      <sz val="10"/>
      <color indexed="9"/>
      <name val="Arial"/>
      <family val="2"/>
    </font>
    <font>
      <b/>
      <sz val="11"/>
      <color rgb="FFF5CFF0"/>
      <name val="Arial"/>
      <family val="2"/>
    </font>
    <font>
      <sz val="14"/>
      <color indexed="8"/>
      <name val="Arial"/>
      <family val="2"/>
    </font>
    <font>
      <sz val="11"/>
      <name val="ＭＳ Ｐゴシック"/>
      <family val="2"/>
    </font>
    <font>
      <sz val="11"/>
      <color indexed="9"/>
      <name val="ＭＳ Ｐゴシック"/>
      <family val="2"/>
    </font>
    <font>
      <sz val="11"/>
      <color theme="0" tint="-0.34998626667073579"/>
      <name val="Arial"/>
      <family val="2"/>
    </font>
    <font>
      <sz val="8"/>
      <name val="Arial"/>
      <family val="2"/>
    </font>
    <font>
      <sz val="11"/>
      <color rgb="FFFF0000"/>
      <name val="ＭＳ Ｐゴシック"/>
      <family val="2"/>
    </font>
    <font>
      <sz val="11"/>
      <color indexed="8"/>
      <name val="ＭＳ Ｐゴシック"/>
      <family val="2"/>
    </font>
    <font>
      <b/>
      <sz val="10"/>
      <color rgb="FF0000FF"/>
      <name val="Arial"/>
      <family val="2"/>
    </font>
    <font>
      <sz val="9"/>
      <color indexed="81"/>
      <name val="宋体"/>
      <family val="3"/>
      <charset val="134"/>
    </font>
    <font>
      <sz val="9"/>
      <name val="宋体"/>
      <family val="3"/>
      <charset val="134"/>
      <scheme val="minor"/>
    </font>
  </fonts>
  <fills count="41">
    <fill>
      <patternFill patternType="none"/>
    </fill>
    <fill>
      <patternFill patternType="gray125"/>
    </fill>
    <fill>
      <patternFill patternType="solid">
        <fgColor theme="6" tint="-0.24997711111789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5117038483843"/>
        <bgColor indexed="64"/>
      </patternFill>
    </fill>
    <fill>
      <patternFill patternType="solid">
        <fgColor theme="7" tint="0.39994506668294322"/>
        <bgColor indexed="64"/>
      </patternFill>
    </fill>
    <fill>
      <patternFill patternType="solid">
        <fgColor theme="3" tint="-0.249977111117893"/>
        <bgColor indexed="64"/>
      </patternFill>
    </fill>
    <fill>
      <patternFill patternType="solid">
        <fgColor rgb="FFFFFF00"/>
        <bgColor indexed="64"/>
      </patternFill>
    </fill>
    <fill>
      <patternFill patternType="solid">
        <fgColor theme="3" tint="0.39994506668294322"/>
        <bgColor indexed="64"/>
      </patternFill>
    </fill>
    <fill>
      <patternFill patternType="solid">
        <fgColor rgb="FFFF00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rgb="FFFFC000"/>
        <bgColor indexed="64"/>
      </patternFill>
    </fill>
    <fill>
      <patternFill patternType="solid">
        <fgColor theme="4" tint="0.79995117038483843"/>
        <bgColor indexed="64"/>
      </patternFill>
    </fill>
    <fill>
      <patternFill patternType="solid">
        <fgColor rgb="FFFFFF99"/>
        <bgColor indexed="64"/>
      </patternFill>
    </fill>
    <fill>
      <patternFill patternType="solid">
        <fgColor rgb="FF0033CC"/>
        <bgColor indexed="64"/>
      </patternFill>
    </fill>
    <fill>
      <patternFill patternType="solid">
        <fgColor indexed="13"/>
        <bgColor indexed="64"/>
      </patternFill>
    </fill>
    <fill>
      <patternFill patternType="solid">
        <fgColor theme="0" tint="-0.249977111117893"/>
        <bgColor indexed="64"/>
      </patternFill>
    </fill>
    <fill>
      <patternFill patternType="solid">
        <fgColor rgb="FFDAEEF3"/>
        <bgColor indexed="64"/>
      </patternFill>
    </fill>
    <fill>
      <patternFill patternType="solid">
        <fgColor rgb="FF6600CC"/>
        <bgColor indexed="64"/>
      </patternFill>
    </fill>
    <fill>
      <patternFill patternType="solid">
        <fgColor rgb="FFFFCCFF"/>
        <bgColor indexed="64"/>
      </patternFill>
    </fill>
    <fill>
      <patternFill patternType="solid">
        <fgColor theme="7" tint="-0.499984740745262"/>
        <bgColor indexed="64"/>
      </patternFill>
    </fill>
    <fill>
      <patternFill patternType="solid">
        <fgColor theme="6" tint="0.59999389629810485"/>
        <bgColor indexed="64"/>
      </patternFill>
    </fill>
    <fill>
      <patternFill patternType="solid">
        <fgColor theme="6" tint="0.39994506668294322"/>
        <bgColor indexed="64"/>
      </patternFill>
    </fill>
    <fill>
      <patternFill patternType="solid">
        <fgColor rgb="FF00FF00"/>
        <bgColor indexed="64"/>
      </patternFill>
    </fill>
    <fill>
      <patternFill patternType="solid">
        <fgColor rgb="FF0000FF"/>
        <bgColor indexed="64"/>
      </patternFill>
    </fill>
    <fill>
      <patternFill patternType="solid">
        <fgColor theme="6" tint="-0.499984740745262"/>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4" tint="-0.24994659260841701"/>
        <bgColor indexed="64"/>
      </patternFill>
    </fill>
    <fill>
      <patternFill patternType="solid">
        <fgColor theme="7" tint="-0.24994659260841701"/>
        <bgColor indexed="64"/>
      </patternFill>
    </fill>
    <fill>
      <patternFill patternType="solid">
        <fgColor theme="7" tint="0.59999389629810485"/>
        <bgColor indexed="64"/>
      </patternFill>
    </fill>
    <fill>
      <patternFill patternType="solid">
        <fgColor indexed="22"/>
        <bgColor indexed="64"/>
      </patternFill>
    </fill>
    <fill>
      <patternFill patternType="solid">
        <fgColor theme="8" tint="-0.249977111117893"/>
        <bgColor indexed="64"/>
      </patternFill>
    </fill>
    <fill>
      <patternFill patternType="solid">
        <fgColor theme="5" tint="0.79995117038483843"/>
        <bgColor indexed="64"/>
      </patternFill>
    </fill>
    <fill>
      <patternFill patternType="solid">
        <fgColor rgb="FF003FBC"/>
        <bgColor indexed="64"/>
      </patternFill>
    </fill>
    <fill>
      <patternFill patternType="solid">
        <fgColor theme="0"/>
        <bgColor indexed="64"/>
      </patternFill>
    </fill>
    <fill>
      <patternFill patternType="solid">
        <fgColor indexed="8"/>
        <bgColor indexed="64"/>
      </patternFill>
    </fill>
    <fill>
      <patternFill patternType="solid">
        <fgColor indexed="10"/>
        <bgColor indexed="64"/>
      </patternFill>
    </fill>
    <fill>
      <patternFill patternType="solid">
        <fgColor rgb="FFCCECFF"/>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2">
    <xf numFmtId="0" fontId="0" fillId="0" borderId="0"/>
    <xf numFmtId="0" fontId="51" fillId="0" borderId="0">
      <alignment vertical="center"/>
    </xf>
  </cellStyleXfs>
  <cellXfs count="606">
    <xf numFmtId="0" fontId="0" fillId="0" borderId="0" xfId="0"/>
    <xf numFmtId="0" fontId="1" fillId="0" borderId="0" xfId="0" applyFont="1" applyProtection="1"/>
    <xf numFmtId="0" fontId="2" fillId="0" borderId="0" xfId="0" applyFont="1" applyProtection="1"/>
    <xf numFmtId="0" fontId="3" fillId="0" borderId="0" xfId="0" applyFont="1" applyProtection="1"/>
    <xf numFmtId="0" fontId="4" fillId="0" borderId="0" xfId="0" applyFont="1" applyProtection="1"/>
    <xf numFmtId="0" fontId="1" fillId="0" borderId="0" xfId="0" applyFont="1" applyAlignment="1" applyProtection="1">
      <alignment horizontal="center"/>
    </xf>
    <xf numFmtId="0" fontId="5" fillId="2" borderId="1" xfId="0" applyFont="1" applyFill="1" applyBorder="1" applyAlignment="1" applyProtection="1">
      <alignment horizontal="center"/>
    </xf>
    <xf numFmtId="2" fontId="1" fillId="0" borderId="0" xfId="0" applyNumberFormat="1" applyFont="1" applyFill="1" applyBorder="1" applyAlignment="1" applyProtection="1">
      <alignment vertical="center"/>
    </xf>
    <xf numFmtId="0" fontId="1"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6" fillId="0" borderId="0" xfId="0" applyFont="1" applyProtection="1"/>
    <xf numFmtId="0" fontId="6" fillId="0" borderId="0" xfId="0" applyFont="1" applyFill="1" applyBorder="1" applyAlignment="1" applyProtection="1">
      <alignment vertical="center"/>
    </xf>
    <xf numFmtId="0" fontId="7" fillId="3" borderId="2" xfId="0" applyFont="1" applyFill="1" applyBorder="1" applyProtection="1"/>
    <xf numFmtId="0" fontId="8" fillId="3" borderId="3" xfId="0" applyFont="1" applyFill="1" applyBorder="1" applyProtection="1"/>
    <xf numFmtId="0" fontId="9" fillId="3" borderId="3" xfId="0" applyFont="1" applyFill="1" applyBorder="1" applyProtection="1"/>
    <xf numFmtId="0" fontId="1" fillId="3" borderId="4" xfId="0" applyFont="1" applyFill="1" applyBorder="1" applyProtection="1"/>
    <xf numFmtId="0" fontId="5" fillId="4" borderId="5"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5" fillId="4" borderId="5" xfId="0" applyFont="1" applyFill="1" applyBorder="1" applyAlignment="1" applyProtection="1">
      <alignment horizontal="center"/>
    </xf>
    <xf numFmtId="0" fontId="1" fillId="0" borderId="0" xfId="0" applyFont="1" applyAlignment="1" applyProtection="1">
      <alignment horizontal="left" indent="2"/>
    </xf>
    <xf numFmtId="0" fontId="0" fillId="0" borderId="0" xfId="0" applyProtection="1"/>
    <xf numFmtId="0" fontId="1" fillId="0" borderId="5" xfId="0" applyFont="1" applyFill="1" applyBorder="1" applyAlignment="1" applyProtection="1">
      <alignment horizontal="center" vertical="center"/>
    </xf>
    <xf numFmtId="0" fontId="1" fillId="0" borderId="5" xfId="0" applyFont="1" applyFill="1" applyBorder="1" applyAlignment="1" applyProtection="1">
      <alignment horizontal="left" vertical="center"/>
    </xf>
    <xf numFmtId="0" fontId="2" fillId="0" borderId="5" xfId="0" applyFont="1" applyFill="1" applyBorder="1" applyAlignment="1" applyProtection="1">
      <alignment horizontal="center" vertical="center"/>
    </xf>
    <xf numFmtId="0" fontId="2" fillId="5" borderId="5" xfId="0" applyFont="1" applyFill="1" applyBorder="1" applyAlignment="1" applyProtection="1">
      <alignment horizontal="center" vertical="center"/>
    </xf>
    <xf numFmtId="0" fontId="1" fillId="0" borderId="5" xfId="0" applyFont="1" applyFill="1" applyBorder="1" applyAlignment="1" applyProtection="1">
      <alignment horizontal="center"/>
    </xf>
    <xf numFmtId="0" fontId="11" fillId="0" borderId="0" xfId="0" applyFont="1" applyAlignment="1" applyProtection="1">
      <alignment horizontal="left"/>
    </xf>
    <xf numFmtId="0" fontId="1" fillId="6" borderId="1" xfId="0" applyFont="1" applyFill="1" applyBorder="1" applyAlignment="1" applyProtection="1">
      <alignment horizontal="center"/>
    </xf>
    <xf numFmtId="0" fontId="1" fillId="6" borderId="1" xfId="0" applyFont="1" applyFill="1" applyBorder="1" applyProtection="1"/>
    <xf numFmtId="0" fontId="2" fillId="6" borderId="1" xfId="0" applyFont="1" applyFill="1" applyBorder="1" applyProtection="1"/>
    <xf numFmtId="0" fontId="12" fillId="6" borderId="1" xfId="0" applyFont="1" applyFill="1" applyBorder="1" applyProtection="1"/>
    <xf numFmtId="0" fontId="11" fillId="7" borderId="1" xfId="0" applyFont="1" applyFill="1" applyBorder="1" applyProtection="1"/>
    <xf numFmtId="0" fontId="1" fillId="0" borderId="1" xfId="0" applyFont="1" applyBorder="1" applyAlignment="1" applyProtection="1">
      <alignment horizontal="center"/>
    </xf>
    <xf numFmtId="0" fontId="1" fillId="0" borderId="1" xfId="0" applyFont="1" applyFill="1" applyBorder="1" applyProtection="1"/>
    <xf numFmtId="0" fontId="2" fillId="0" borderId="1" xfId="0" applyFont="1" applyFill="1" applyBorder="1" applyAlignment="1" applyProtection="1">
      <alignment horizontal="center" vertical="center"/>
    </xf>
    <xf numFmtId="0" fontId="2" fillId="8" borderId="1" xfId="0" applyFont="1" applyFill="1" applyBorder="1" applyAlignment="1" applyProtection="1">
      <alignment horizontal="center"/>
      <protection locked="0"/>
    </xf>
    <xf numFmtId="0" fontId="12" fillId="0" borderId="1" xfId="0" applyFont="1" applyBorder="1" applyProtection="1"/>
    <xf numFmtId="0" fontId="11" fillId="7" borderId="1" xfId="0" applyFont="1" applyFill="1" applyBorder="1" applyAlignment="1" applyProtection="1">
      <alignment horizontal="center"/>
    </xf>
    <xf numFmtId="0" fontId="12" fillId="4" borderId="1" xfId="0" applyFont="1" applyFill="1" applyBorder="1" applyProtection="1"/>
    <xf numFmtId="0" fontId="12" fillId="4" borderId="1" xfId="0" applyFont="1" applyFill="1" applyBorder="1" applyAlignment="1" applyProtection="1">
      <alignment horizontal="center"/>
    </xf>
    <xf numFmtId="0" fontId="1" fillId="0" borderId="1" xfId="0" applyFont="1" applyFill="1" applyBorder="1" applyAlignment="1" applyProtection="1">
      <alignment horizontal="center" vertical="center"/>
    </xf>
    <xf numFmtId="0" fontId="12" fillId="0" borderId="1" xfId="0" applyFont="1" applyFill="1" applyBorder="1" applyProtection="1"/>
    <xf numFmtId="0" fontId="1" fillId="0" borderId="0" xfId="0" applyFont="1" applyProtection="1">
      <protection locked="0"/>
    </xf>
    <xf numFmtId="0" fontId="5" fillId="0" borderId="0" xfId="0" applyFont="1" applyProtection="1"/>
    <xf numFmtId="0" fontId="12" fillId="0" borderId="0" xfId="0" applyFont="1" applyProtection="1"/>
    <xf numFmtId="0" fontId="13" fillId="0" borderId="0" xfId="0" applyFont="1" applyProtection="1"/>
    <xf numFmtId="0" fontId="11" fillId="0" borderId="0" xfId="0" applyFont="1" applyProtection="1"/>
    <xf numFmtId="0" fontId="14" fillId="0" borderId="0" xfId="0" applyFont="1" applyProtection="1"/>
    <xf numFmtId="0" fontId="1" fillId="9" borderId="0" xfId="0" applyFont="1" applyFill="1" applyProtection="1"/>
    <xf numFmtId="0" fontId="15" fillId="10" borderId="1" xfId="0" applyFont="1" applyFill="1" applyBorder="1" applyAlignment="1" applyProtection="1">
      <alignment horizontal="center"/>
    </xf>
    <xf numFmtId="0" fontId="15" fillId="10" borderId="1" xfId="0" applyFont="1" applyFill="1" applyBorder="1" applyProtection="1"/>
    <xf numFmtId="0" fontId="12" fillId="0" borderId="1" xfId="0" applyFont="1" applyBorder="1" applyAlignment="1" applyProtection="1">
      <alignment horizontal="center"/>
    </xf>
    <xf numFmtId="0" fontId="1" fillId="0" borderId="1" xfId="0" applyFont="1" applyFill="1" applyBorder="1" applyAlignment="1" applyProtection="1">
      <alignment horizontal="center"/>
    </xf>
    <xf numFmtId="0" fontId="2" fillId="5" borderId="1" xfId="0" applyFont="1" applyFill="1" applyBorder="1" applyAlignment="1" applyProtection="1">
      <alignment horizontal="center"/>
    </xf>
    <xf numFmtId="0" fontId="10" fillId="8" borderId="1" xfId="1" applyFont="1" applyFill="1" applyBorder="1" applyAlignment="1" applyProtection="1">
      <alignment horizontal="center" vertical="center"/>
      <protection locked="0"/>
    </xf>
    <xf numFmtId="0" fontId="2" fillId="0" borderId="1" xfId="0" applyFont="1" applyFill="1" applyBorder="1" applyAlignment="1" applyProtection="1">
      <alignment horizontal="center"/>
    </xf>
    <xf numFmtId="0" fontId="12" fillId="0" borderId="1" xfId="0" applyFont="1" applyFill="1" applyBorder="1" applyAlignment="1" applyProtection="1">
      <alignment wrapText="1"/>
    </xf>
    <xf numFmtId="0" fontId="14" fillId="0" borderId="1" xfId="0" applyFont="1" applyFill="1" applyBorder="1" applyAlignment="1" applyProtection="1">
      <alignment horizontal="center"/>
    </xf>
    <xf numFmtId="0" fontId="14" fillId="0" borderId="1" xfId="0" applyFont="1" applyFill="1" applyBorder="1" applyProtection="1"/>
    <xf numFmtId="0" fontId="14" fillId="0" borderId="1" xfId="0" applyFont="1" applyFill="1" applyBorder="1" applyAlignment="1" applyProtection="1">
      <alignment horizontal="center" vertical="center"/>
    </xf>
    <xf numFmtId="0" fontId="1" fillId="0" borderId="1" xfId="0" applyFont="1" applyBorder="1" applyProtection="1"/>
    <xf numFmtId="0" fontId="1" fillId="0" borderId="1" xfId="0" applyFont="1" applyBorder="1" applyAlignment="1" applyProtection="1">
      <alignment horizontal="center" vertical="center"/>
    </xf>
    <xf numFmtId="0" fontId="2" fillId="0" borderId="1" xfId="0" applyFont="1" applyBorder="1" applyAlignment="1" applyProtection="1">
      <alignment horizontal="center"/>
    </xf>
    <xf numFmtId="0" fontId="16" fillId="0" borderId="0" xfId="0" applyFont="1" applyProtection="1"/>
    <xf numFmtId="0" fontId="14" fillId="0" borderId="0" xfId="0" applyFont="1"/>
    <xf numFmtId="0" fontId="1" fillId="0" borderId="0" xfId="0" applyFont="1"/>
    <xf numFmtId="0" fontId="2" fillId="0" borderId="0" xfId="0" applyFont="1"/>
    <xf numFmtId="0" fontId="3" fillId="0" borderId="0" xfId="0" applyFont="1"/>
    <xf numFmtId="0" fontId="4" fillId="0" borderId="0" xfId="0" applyFont="1"/>
    <xf numFmtId="0" fontId="1" fillId="0" borderId="0" xfId="0" applyFont="1" applyAlignment="1">
      <alignment horizontal="center"/>
    </xf>
    <xf numFmtId="0" fontId="5" fillId="2" borderId="1" xfId="0" applyFont="1" applyFill="1" applyBorder="1" applyAlignment="1">
      <alignment horizontal="center"/>
    </xf>
    <xf numFmtId="2" fontId="1" fillId="0" borderId="0" xfId="0" applyNumberFormat="1"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vertical="center"/>
    </xf>
    <xf numFmtId="0" fontId="6" fillId="0" borderId="0" xfId="0" applyFont="1"/>
    <xf numFmtId="0" fontId="6" fillId="0" borderId="0" xfId="0" applyFont="1" applyFill="1" applyBorder="1" applyAlignment="1">
      <alignment vertical="center"/>
    </xf>
    <xf numFmtId="0" fontId="7" fillId="3" borderId="2" xfId="0" applyFont="1" applyFill="1" applyBorder="1"/>
    <xf numFmtId="0" fontId="8" fillId="3" borderId="3" xfId="0" applyFont="1" applyFill="1" applyBorder="1"/>
    <xf numFmtId="0" fontId="9" fillId="3" borderId="3" xfId="0" applyFont="1" applyFill="1" applyBorder="1"/>
    <xf numFmtId="0" fontId="1" fillId="3" borderId="4" xfId="0" applyFont="1" applyFill="1" applyBorder="1"/>
    <xf numFmtId="0" fontId="5" fillId="4" borderId="5" xfId="0" applyFont="1" applyFill="1" applyBorder="1" applyAlignment="1">
      <alignment horizontal="center" vertical="center"/>
    </xf>
    <xf numFmtId="0" fontId="10" fillId="4" borderId="5" xfId="0" applyFont="1" applyFill="1" applyBorder="1" applyAlignment="1">
      <alignment horizontal="center" vertical="center"/>
    </xf>
    <xf numFmtId="0" fontId="5" fillId="4" borderId="5" xfId="0" applyFont="1" applyFill="1" applyBorder="1" applyAlignment="1">
      <alignment horizontal="center"/>
    </xf>
    <xf numFmtId="0" fontId="1" fillId="0" borderId="0" xfId="0" applyFont="1" applyAlignment="1">
      <alignment horizontal="left" indent="2"/>
    </xf>
    <xf numFmtId="0" fontId="1" fillId="6" borderId="1" xfId="0" applyFont="1" applyFill="1" applyBorder="1" applyAlignment="1">
      <alignment horizontal="center"/>
    </xf>
    <xf numFmtId="0" fontId="1" fillId="6" borderId="1" xfId="0" applyFont="1" applyFill="1" applyBorder="1"/>
    <xf numFmtId="0" fontId="2" fillId="6" borderId="1" xfId="0" applyFont="1" applyFill="1" applyBorder="1"/>
    <xf numFmtId="0" fontId="12" fillId="6" borderId="1" xfId="0" applyFont="1" applyFill="1" applyBorder="1"/>
    <xf numFmtId="0" fontId="1" fillId="0" borderId="1" xfId="0" applyFont="1" applyFill="1" applyBorder="1" applyAlignment="1">
      <alignment horizontal="center"/>
    </xf>
    <xf numFmtId="0" fontId="1" fillId="0" borderId="1" xfId="0" applyFont="1" applyBorder="1"/>
    <xf numFmtId="0" fontId="1" fillId="0" borderId="1" xfId="0" applyFont="1" applyBorder="1" applyAlignment="1">
      <alignment horizontal="center" vertical="center"/>
    </xf>
    <xf numFmtId="0" fontId="2" fillId="5" borderId="1" xfId="0" applyFont="1" applyFill="1" applyBorder="1" applyAlignment="1">
      <alignment horizontal="center"/>
    </xf>
    <xf numFmtId="0" fontId="12" fillId="0" borderId="1" xfId="0" applyFont="1" applyFill="1" applyBorder="1"/>
    <xf numFmtId="0" fontId="1" fillId="0" borderId="1" xfId="0" applyFont="1" applyBorder="1" applyAlignment="1">
      <alignment horizontal="center"/>
    </xf>
    <xf numFmtId="0" fontId="1" fillId="0" borderId="1" xfId="0" applyFont="1" applyFill="1" applyBorder="1"/>
    <xf numFmtId="0" fontId="1" fillId="0" borderId="1" xfId="0" applyFont="1" applyFill="1" applyBorder="1" applyAlignment="1">
      <alignment horizontal="center" vertical="center"/>
    </xf>
    <xf numFmtId="0" fontId="2" fillId="0" borderId="1" xfId="0" applyFont="1" applyFill="1" applyBorder="1" applyAlignment="1">
      <alignment horizontal="center"/>
    </xf>
    <xf numFmtId="0" fontId="12" fillId="0" borderId="1" xfId="0" applyFont="1" applyBorder="1"/>
    <xf numFmtId="0" fontId="1" fillId="0" borderId="1" xfId="0" applyFont="1" applyFill="1" applyBorder="1" applyAlignment="1">
      <alignment horizontal="left" vertical="center"/>
    </xf>
    <xf numFmtId="0" fontId="1" fillId="6" borderId="1" xfId="0" applyFont="1" applyFill="1" applyBorder="1" applyAlignment="1">
      <alignment horizontal="left"/>
    </xf>
    <xf numFmtId="0" fontId="2" fillId="6" borderId="1" xfId="0" applyFont="1" applyFill="1" applyBorder="1" applyAlignment="1">
      <alignment horizontal="center"/>
    </xf>
    <xf numFmtId="0" fontId="1" fillId="5" borderId="1" xfId="0" applyFont="1" applyFill="1" applyBorder="1" applyAlignment="1">
      <alignment horizontal="center"/>
    </xf>
    <xf numFmtId="0" fontId="1" fillId="0" borderId="1" xfId="0" applyFont="1" applyFill="1" applyBorder="1" applyAlignment="1">
      <alignment horizontal="left"/>
    </xf>
    <xf numFmtId="0" fontId="11" fillId="12" borderId="2" xfId="0" applyFont="1" applyFill="1" applyBorder="1" applyAlignment="1" applyProtection="1">
      <alignment horizontal="center"/>
    </xf>
    <xf numFmtId="0" fontId="2" fillId="13" borderId="1" xfId="1" applyFont="1" applyFill="1" applyBorder="1" applyAlignment="1" applyProtection="1">
      <alignment horizontal="center" vertical="center"/>
      <protection locked="0"/>
    </xf>
    <xf numFmtId="0" fontId="11" fillId="12" borderId="6" xfId="0" applyFont="1" applyFill="1" applyBorder="1" applyAlignment="1" applyProtection="1">
      <alignment horizontal="center"/>
    </xf>
    <xf numFmtId="0" fontId="17" fillId="12" borderId="1" xfId="0" applyFont="1" applyFill="1" applyBorder="1" applyAlignment="1" applyProtection="1">
      <alignment horizontal="center"/>
    </xf>
    <xf numFmtId="0" fontId="17" fillId="12" borderId="2" xfId="0" applyFont="1" applyFill="1" applyBorder="1" applyAlignment="1" applyProtection="1">
      <alignment horizontal="center"/>
    </xf>
    <xf numFmtId="0" fontId="5" fillId="0" borderId="0" xfId="0" applyFont="1"/>
    <xf numFmtId="0" fontId="1" fillId="0" borderId="0" xfId="0" applyFont="1" applyFill="1" applyBorder="1"/>
    <xf numFmtId="0" fontId="11" fillId="12" borderId="3" xfId="0" applyFont="1" applyFill="1" applyBorder="1" applyAlignment="1" applyProtection="1">
      <alignment horizontal="center"/>
    </xf>
    <xf numFmtId="0" fontId="11" fillId="12" borderId="4" xfId="0" applyFont="1" applyFill="1" applyBorder="1" applyAlignment="1" applyProtection="1">
      <alignment horizontal="center"/>
    </xf>
    <xf numFmtId="0" fontId="17" fillId="12" borderId="4" xfId="0" applyFont="1" applyFill="1" applyBorder="1" applyAlignment="1" applyProtection="1">
      <alignment horizontal="center"/>
    </xf>
    <xf numFmtId="0" fontId="2" fillId="13" borderId="2" xfId="1" applyFont="1" applyFill="1" applyBorder="1" applyAlignment="1" applyProtection="1">
      <alignment horizontal="center" vertical="center"/>
      <protection locked="0"/>
    </xf>
    <xf numFmtId="0" fontId="0" fillId="12" borderId="3" xfId="0" applyFill="1" applyBorder="1" applyProtection="1"/>
    <xf numFmtId="0" fontId="11" fillId="12" borderId="3" xfId="0" applyFont="1" applyFill="1" applyBorder="1" applyAlignment="1" applyProtection="1">
      <alignment horizontal="right"/>
    </xf>
    <xf numFmtId="0" fontId="2" fillId="13" borderId="1" xfId="0" applyFont="1" applyFill="1" applyBorder="1" applyAlignment="1" applyProtection="1">
      <alignment horizontal="center"/>
      <protection locked="0"/>
    </xf>
    <xf numFmtId="0" fontId="18" fillId="0" borderId="2" xfId="0" applyFont="1" applyFill="1" applyBorder="1" applyAlignment="1" applyProtection="1">
      <alignment horizontal="center"/>
    </xf>
    <xf numFmtId="0" fontId="2" fillId="13" borderId="7" xfId="1" applyFont="1" applyFill="1" applyBorder="1" applyAlignment="1" applyProtection="1">
      <alignment horizontal="center" vertical="center"/>
      <protection locked="0"/>
    </xf>
    <xf numFmtId="0" fontId="17" fillId="12" borderId="3" xfId="0" applyFont="1" applyFill="1" applyBorder="1" applyAlignment="1" applyProtection="1">
      <alignment horizontal="center"/>
    </xf>
    <xf numFmtId="0" fontId="18" fillId="0" borderId="1" xfId="0" applyFont="1" applyFill="1" applyBorder="1" applyAlignment="1" applyProtection="1">
      <alignment horizontal="center"/>
    </xf>
    <xf numFmtId="0" fontId="11" fillId="12" borderId="8" xfId="0" applyFont="1" applyFill="1" applyBorder="1" applyAlignment="1" applyProtection="1">
      <alignment horizontal="center"/>
    </xf>
    <xf numFmtId="0" fontId="11" fillId="12" borderId="9" xfId="0" applyFont="1" applyFill="1" applyBorder="1" applyAlignment="1" applyProtection="1">
      <alignment horizontal="center"/>
    </xf>
    <xf numFmtId="0" fontId="11" fillId="12" borderId="10" xfId="0" applyFont="1" applyFill="1" applyBorder="1" applyAlignment="1" applyProtection="1">
      <alignment horizontal="center"/>
    </xf>
    <xf numFmtId="0" fontId="2" fillId="13" borderId="6" xfId="1" applyFont="1" applyFill="1" applyBorder="1" applyAlignment="1" applyProtection="1">
      <alignment horizontal="center" vertical="center"/>
      <protection locked="0"/>
    </xf>
    <xf numFmtId="0" fontId="11" fillId="12" borderId="1" xfId="0" applyFont="1" applyFill="1" applyBorder="1" applyAlignment="1" applyProtection="1">
      <alignment horizontal="center"/>
    </xf>
    <xf numFmtId="0" fontId="17" fillId="12" borderId="9" xfId="0" applyFont="1" applyFill="1" applyBorder="1" applyAlignment="1" applyProtection="1">
      <alignment horizontal="center"/>
    </xf>
    <xf numFmtId="0" fontId="2" fillId="13" borderId="10" xfId="1" applyFont="1" applyFill="1" applyBorder="1" applyAlignment="1" applyProtection="1">
      <alignment horizontal="center" vertical="center"/>
      <protection locked="0"/>
    </xf>
    <xf numFmtId="0" fontId="11" fillId="12" borderId="0" xfId="0" applyFont="1" applyFill="1" applyBorder="1" applyAlignment="1" applyProtection="1">
      <alignment horizontal="center"/>
    </xf>
    <xf numFmtId="0" fontId="19" fillId="12" borderId="1" xfId="0" applyFont="1" applyFill="1" applyBorder="1" applyAlignment="1" applyProtection="1">
      <alignment horizontal="center"/>
    </xf>
    <xf numFmtId="0" fontId="20" fillId="0" borderId="0" xfId="0" applyFont="1"/>
    <xf numFmtId="0" fontId="16" fillId="0" borderId="0" xfId="0" applyFont="1"/>
    <xf numFmtId="0" fontId="0" fillId="12" borderId="4" xfId="0" applyFill="1" applyBorder="1" applyProtection="1"/>
    <xf numFmtId="0" fontId="2" fillId="14" borderId="1" xfId="0" applyFont="1" applyFill="1" applyBorder="1" applyAlignment="1" applyProtection="1">
      <alignment horizontal="center"/>
    </xf>
    <xf numFmtId="0" fontId="12" fillId="13" borderId="3" xfId="0" applyFont="1" applyFill="1" applyBorder="1" applyAlignment="1" applyProtection="1">
      <alignment horizontal="center"/>
      <protection locked="0"/>
    </xf>
    <xf numFmtId="0" fontId="21" fillId="5" borderId="4" xfId="0" applyFont="1" applyFill="1" applyBorder="1" applyAlignment="1" applyProtection="1">
      <alignment horizontal="center"/>
    </xf>
    <xf numFmtId="0" fontId="19" fillId="12" borderId="9" xfId="0" applyFont="1" applyFill="1" applyBorder="1" applyAlignment="1" applyProtection="1">
      <alignment horizontal="center"/>
    </xf>
    <xf numFmtId="0" fontId="19" fillId="12" borderId="4" xfId="0" applyFont="1" applyFill="1" applyBorder="1" applyAlignment="1" applyProtection="1">
      <alignment horizontal="center"/>
    </xf>
    <xf numFmtId="0" fontId="17" fillId="12" borderId="8" xfId="0" applyFont="1" applyFill="1" applyBorder="1" applyAlignment="1" applyProtection="1">
      <alignment horizontal="center"/>
    </xf>
    <xf numFmtId="0" fontId="17" fillId="12" borderId="10" xfId="0" applyFont="1" applyFill="1" applyBorder="1" applyAlignment="1" applyProtection="1">
      <alignment horizontal="center"/>
    </xf>
    <xf numFmtId="0" fontId="17" fillId="12" borderId="6" xfId="0" applyFont="1" applyFill="1" applyBorder="1" applyAlignment="1" applyProtection="1">
      <alignment horizontal="center"/>
    </xf>
    <xf numFmtId="0" fontId="11" fillId="10" borderId="1" xfId="0" applyFont="1" applyFill="1" applyBorder="1" applyAlignment="1">
      <alignment horizontal="center"/>
    </xf>
    <xf numFmtId="0" fontId="11" fillId="10" borderId="1" xfId="0" applyFont="1" applyFill="1" applyBorder="1" applyAlignment="1">
      <alignment horizontal="left" vertical="center"/>
    </xf>
    <xf numFmtId="0" fontId="1" fillId="10" borderId="1" xfId="0" applyFont="1" applyFill="1" applyBorder="1" applyAlignment="1">
      <alignment horizontal="center" vertical="center"/>
    </xf>
    <xf numFmtId="0" fontId="2" fillId="10" borderId="1" xfId="0" applyFont="1" applyFill="1" applyBorder="1" applyAlignment="1">
      <alignment horizontal="center" vertical="center"/>
    </xf>
    <xf numFmtId="0" fontId="12" fillId="10" borderId="1" xfId="0" applyFont="1" applyFill="1" applyBorder="1"/>
    <xf numFmtId="0" fontId="2" fillId="0" borderId="1" xfId="0" applyFont="1" applyFill="1" applyBorder="1" applyAlignment="1">
      <alignment horizontal="left" vertical="center"/>
    </xf>
    <xf numFmtId="0" fontId="2" fillId="5" borderId="1" xfId="0" applyFont="1" applyFill="1" applyBorder="1" applyAlignment="1">
      <alignment horizontal="center" vertical="center"/>
    </xf>
    <xf numFmtId="0" fontId="1" fillId="15" borderId="1" xfId="0" applyFont="1" applyFill="1" applyBorder="1" applyAlignment="1" applyProtection="1">
      <alignment horizontal="center"/>
      <protection locked="0"/>
    </xf>
    <xf numFmtId="0" fontId="1" fillId="15" borderId="1" xfId="0" applyFont="1" applyFill="1" applyBorder="1" applyProtection="1">
      <protection locked="0"/>
    </xf>
    <xf numFmtId="0" fontId="1" fillId="15" borderId="1" xfId="0" applyFont="1" applyFill="1" applyBorder="1" applyAlignment="1" applyProtection="1">
      <alignment horizontal="center" vertical="center"/>
      <protection locked="0"/>
    </xf>
    <xf numFmtId="0" fontId="2" fillId="15" borderId="1" xfId="0" applyFont="1" applyFill="1" applyBorder="1" applyAlignment="1" applyProtection="1">
      <alignment horizontal="center"/>
      <protection locked="0"/>
    </xf>
    <xf numFmtId="0" fontId="12" fillId="15" borderId="1" xfId="0" applyFont="1" applyFill="1" applyBorder="1" applyProtection="1">
      <protection locked="0"/>
    </xf>
    <xf numFmtId="0" fontId="0" fillId="12" borderId="2" xfId="0" applyFill="1" applyBorder="1" applyProtection="1"/>
    <xf numFmtId="0" fontId="10" fillId="8" borderId="2" xfId="1" applyFont="1" applyFill="1" applyBorder="1" applyAlignment="1" applyProtection="1">
      <alignment horizontal="center" vertical="center"/>
      <protection locked="0"/>
    </xf>
    <xf numFmtId="0" fontId="17" fillId="12" borderId="5" xfId="0" applyFont="1" applyFill="1" applyBorder="1" applyAlignment="1" applyProtection="1">
      <alignment horizontal="center"/>
    </xf>
    <xf numFmtId="0" fontId="2" fillId="13" borderId="5" xfId="1" applyFont="1" applyFill="1" applyBorder="1" applyAlignment="1" applyProtection="1">
      <alignment horizontal="center" vertical="center"/>
      <protection locked="0"/>
    </xf>
    <xf numFmtId="0" fontId="17" fillId="12" borderId="11" xfId="0" applyFont="1" applyFill="1" applyBorder="1" applyAlignment="1" applyProtection="1">
      <alignment horizontal="center"/>
    </xf>
    <xf numFmtId="0" fontId="2" fillId="13" borderId="11" xfId="1" applyFont="1" applyFill="1" applyBorder="1" applyAlignment="1" applyProtection="1">
      <alignment horizontal="center" vertical="center"/>
      <protection locked="0"/>
    </xf>
    <xf numFmtId="0" fontId="12" fillId="0" borderId="2" xfId="0" applyFont="1" applyFill="1" applyBorder="1" applyAlignment="1" applyProtection="1">
      <alignment horizontal="center"/>
    </xf>
    <xf numFmtId="0" fontId="11" fillId="15" borderId="1" xfId="0" applyFont="1" applyFill="1" applyBorder="1" applyAlignment="1" applyProtection="1">
      <alignment horizontal="center"/>
      <protection locked="0"/>
    </xf>
    <xf numFmtId="0" fontId="11" fillId="15" borderId="1" xfId="0" applyFont="1" applyFill="1" applyBorder="1" applyAlignment="1" applyProtection="1">
      <alignment horizontal="left" vertical="center"/>
      <protection locked="0"/>
    </xf>
    <xf numFmtId="0" fontId="2" fillId="15" borderId="1" xfId="0" applyFont="1" applyFill="1" applyBorder="1" applyAlignment="1" applyProtection="1">
      <alignment horizontal="center" vertical="center"/>
      <protection locked="0"/>
    </xf>
    <xf numFmtId="0" fontId="1" fillId="6" borderId="1" xfId="0" applyFont="1" applyFill="1" applyBorder="1" applyAlignment="1">
      <alignment horizontal="left" vertical="center"/>
    </xf>
    <xf numFmtId="0" fontId="1" fillId="6" borderId="1" xfId="0" applyFont="1" applyFill="1" applyBorder="1" applyAlignment="1">
      <alignment horizontal="center" vertical="center"/>
    </xf>
    <xf numFmtId="0" fontId="2" fillId="6" borderId="1" xfId="0" applyFont="1" applyFill="1" applyBorder="1" applyAlignment="1">
      <alignment horizontal="center" vertical="center"/>
    </xf>
    <xf numFmtId="0" fontId="2" fillId="0" borderId="1" xfId="0" applyFont="1" applyBorder="1" applyAlignment="1">
      <alignment horizontal="center"/>
    </xf>
    <xf numFmtId="0" fontId="1" fillId="0" borderId="0" xfId="0" applyFont="1" applyBorder="1"/>
    <xf numFmtId="0" fontId="22" fillId="16" borderId="1" xfId="0" applyFont="1" applyFill="1" applyBorder="1" applyAlignment="1" applyProtection="1">
      <alignment horizontal="center" vertical="center"/>
    </xf>
    <xf numFmtId="0" fontId="22" fillId="16" borderId="1" xfId="0" applyFont="1" applyFill="1" applyBorder="1" applyAlignment="1" applyProtection="1">
      <alignment horizontal="left" vertical="center"/>
    </xf>
    <xf numFmtId="0" fontId="23" fillId="16" borderId="1" xfId="0" applyFont="1" applyFill="1" applyBorder="1" applyAlignment="1" applyProtection="1">
      <alignment horizontal="center" vertical="center"/>
    </xf>
    <xf numFmtId="0" fontId="24" fillId="16" borderId="1" xfId="0" applyFont="1" applyFill="1" applyBorder="1" applyAlignment="1" applyProtection="1">
      <alignment horizontal="center" vertical="center"/>
    </xf>
    <xf numFmtId="0" fontId="25" fillId="16" borderId="1" xfId="0" applyFont="1" applyFill="1" applyBorder="1" applyAlignment="1" applyProtection="1">
      <alignment vertical="center"/>
    </xf>
    <xf numFmtId="0" fontId="2" fillId="17" borderId="1" xfId="0" applyFont="1" applyFill="1" applyBorder="1" applyAlignment="1" applyProtection="1">
      <alignment horizontal="center" vertical="center"/>
      <protection locked="0"/>
    </xf>
    <xf numFmtId="0" fontId="22" fillId="10" borderId="1" xfId="0" applyFont="1" applyFill="1" applyBorder="1" applyAlignment="1">
      <alignment horizontal="center"/>
    </xf>
    <xf numFmtId="0" fontId="22" fillId="10" borderId="1" xfId="0" applyFont="1" applyFill="1" applyBorder="1" applyAlignment="1">
      <alignment horizontal="left" vertical="center"/>
    </xf>
    <xf numFmtId="0" fontId="22" fillId="10" borderId="1" xfId="0" applyFont="1" applyFill="1" applyBorder="1" applyAlignment="1">
      <alignment horizontal="center" vertical="center"/>
    </xf>
    <xf numFmtId="0" fontId="22" fillId="10" borderId="1" xfId="0" applyFont="1" applyFill="1" applyBorder="1"/>
    <xf numFmtId="0" fontId="11" fillId="18" borderId="1" xfId="0" applyFont="1" applyFill="1" applyBorder="1" applyAlignment="1">
      <alignment horizontal="center"/>
    </xf>
    <xf numFmtId="0" fontId="0" fillId="0" borderId="0" xfId="0" applyBorder="1"/>
    <xf numFmtId="0" fontId="1" fillId="0" borderId="0" xfId="0" applyFont="1" applyBorder="1" applyProtection="1"/>
    <xf numFmtId="0" fontId="14" fillId="0" borderId="0" xfId="0" applyFont="1" applyBorder="1"/>
    <xf numFmtId="0" fontId="22" fillId="16" borderId="5" xfId="0" applyFont="1" applyFill="1" applyBorder="1" applyAlignment="1" applyProtection="1">
      <alignment horizontal="center" vertical="center"/>
    </xf>
    <xf numFmtId="0" fontId="22" fillId="16" borderId="5" xfId="0" applyFont="1" applyFill="1" applyBorder="1" applyAlignment="1" applyProtection="1">
      <alignment horizontal="left" vertical="center"/>
    </xf>
    <xf numFmtId="0" fontId="23" fillId="16" borderId="5" xfId="0" applyFont="1" applyFill="1" applyBorder="1" applyAlignment="1" applyProtection="1">
      <alignment horizontal="center" vertical="center"/>
    </xf>
    <xf numFmtId="0" fontId="24" fillId="16" borderId="5" xfId="0" applyFont="1" applyFill="1" applyBorder="1" applyAlignment="1" applyProtection="1">
      <alignment horizontal="center" vertical="center"/>
    </xf>
    <xf numFmtId="0" fontId="25" fillId="16" borderId="5" xfId="0" applyFont="1" applyFill="1" applyBorder="1" applyAlignment="1" applyProtection="1">
      <alignment vertical="center"/>
    </xf>
    <xf numFmtId="0" fontId="1" fillId="19" borderId="1" xfId="0" applyFont="1" applyFill="1" applyBorder="1" applyAlignment="1">
      <alignment horizontal="center"/>
    </xf>
    <xf numFmtId="0" fontId="2" fillId="0" borderId="1" xfId="0" applyFont="1" applyFill="1" applyBorder="1"/>
    <xf numFmtId="0" fontId="2" fillId="0" borderId="1" xfId="0" applyFont="1" applyFill="1" applyBorder="1" applyAlignment="1">
      <alignment horizontal="center" vertical="center"/>
    </xf>
    <xf numFmtId="0" fontId="11" fillId="12" borderId="1" xfId="0" applyFont="1" applyFill="1" applyBorder="1" applyAlignment="1">
      <alignment horizontal="center"/>
    </xf>
    <xf numFmtId="0" fontId="19" fillId="12" borderId="1" xfId="0" applyFont="1" applyFill="1" applyBorder="1" applyAlignment="1">
      <alignment horizontal="center"/>
    </xf>
    <xf numFmtId="0" fontId="11" fillId="10" borderId="1" xfId="0" applyFont="1" applyFill="1" applyBorder="1" applyAlignment="1">
      <alignment horizontal="center" vertical="center"/>
    </xf>
    <xf numFmtId="0" fontId="11" fillId="10" borderId="1" xfId="0" applyFont="1" applyFill="1" applyBorder="1"/>
    <xf numFmtId="0" fontId="13" fillId="0" borderId="0" xfId="0" applyFont="1"/>
    <xf numFmtId="0" fontId="0" fillId="0" borderId="1" xfId="0" applyBorder="1"/>
    <xf numFmtId="0" fontId="12" fillId="18" borderId="1" xfId="0" applyFont="1" applyFill="1" applyBorder="1" applyAlignment="1">
      <alignment horizontal="center"/>
    </xf>
    <xf numFmtId="0" fontId="26" fillId="12" borderId="1" xfId="0" applyFont="1" applyFill="1" applyBorder="1" applyAlignment="1">
      <alignment horizontal="center"/>
    </xf>
    <xf numFmtId="0" fontId="18" fillId="0" borderId="4" xfId="0" applyFont="1" applyFill="1" applyBorder="1" applyAlignment="1">
      <alignment horizontal="center"/>
    </xf>
    <xf numFmtId="0" fontId="12" fillId="13" borderId="1" xfId="0" applyFont="1" applyFill="1" applyBorder="1" applyAlignment="1" applyProtection="1">
      <alignment horizontal="center"/>
      <protection locked="0"/>
    </xf>
    <xf numFmtId="0" fontId="11" fillId="12" borderId="2" xfId="0" applyFont="1" applyFill="1" applyBorder="1"/>
    <xf numFmtId="0" fontId="11" fillId="0" borderId="0" xfId="0" applyFont="1" applyFill="1" applyBorder="1" applyAlignment="1">
      <alignment horizontal="center"/>
    </xf>
    <xf numFmtId="0" fontId="14" fillId="0" borderId="1" xfId="0" applyFont="1" applyBorder="1" applyAlignment="1">
      <alignment vertical="center"/>
    </xf>
    <xf numFmtId="0" fontId="17" fillId="12" borderId="0" xfId="0" applyFont="1" applyFill="1" applyAlignment="1">
      <alignment horizontal="center" vertical="center"/>
    </xf>
    <xf numFmtId="0" fontId="0" fillId="18" borderId="1" xfId="0" applyFill="1" applyBorder="1"/>
    <xf numFmtId="0" fontId="11" fillId="12" borderId="1" xfId="0" applyFont="1" applyFill="1" applyBorder="1" applyAlignment="1">
      <alignment horizontal="center" vertical="center"/>
    </xf>
    <xf numFmtId="0" fontId="11" fillId="12" borderId="3" xfId="0" applyFont="1" applyFill="1" applyBorder="1"/>
    <xf numFmtId="0" fontId="12" fillId="0" borderId="0" xfId="0" applyFont="1" applyFill="1" applyBorder="1" applyAlignment="1">
      <alignment horizontal="center"/>
    </xf>
    <xf numFmtId="0" fontId="11" fillId="12" borderId="4" xfId="0" applyFont="1" applyFill="1" applyBorder="1" applyAlignment="1">
      <alignment horizontal="right"/>
    </xf>
    <xf numFmtId="0" fontId="18" fillId="0" borderId="1" xfId="0" applyFont="1" applyBorder="1" applyAlignment="1">
      <alignment horizontal="center"/>
    </xf>
    <xf numFmtId="0" fontId="12" fillId="13" borderId="1" xfId="0" applyFont="1" applyFill="1" applyBorder="1" applyAlignment="1">
      <alignment horizontal="center"/>
    </xf>
    <xf numFmtId="0" fontId="11" fillId="0" borderId="0" xfId="0" applyFont="1" applyFill="1" applyBorder="1" applyAlignment="1">
      <alignment horizontal="right"/>
    </xf>
    <xf numFmtId="0" fontId="2" fillId="0" borderId="0" xfId="1" applyFont="1" applyFill="1" applyBorder="1" applyAlignment="1" applyProtection="1">
      <alignment horizontal="center" vertical="center"/>
      <protection locked="0"/>
    </xf>
    <xf numFmtId="0" fontId="14" fillId="0" borderId="0" xfId="0" applyFont="1" applyBorder="1" applyAlignment="1">
      <alignment horizontal="center"/>
    </xf>
    <xf numFmtId="0" fontId="14" fillId="0" borderId="0" xfId="0" applyFont="1" applyBorder="1" applyAlignment="1">
      <alignment horizontal="center" vertical="center"/>
    </xf>
    <xf numFmtId="0" fontId="14" fillId="0" borderId="0" xfId="0" applyFont="1" applyFill="1" applyBorder="1" applyAlignment="1">
      <alignment horizontal="center"/>
    </xf>
    <xf numFmtId="0" fontId="22" fillId="10" borderId="1" xfId="0" applyFont="1" applyFill="1" applyBorder="1" applyAlignment="1">
      <alignment vertical="center"/>
    </xf>
    <xf numFmtId="0" fontId="22" fillId="20" borderId="1" xfId="0" applyFont="1" applyFill="1" applyBorder="1" applyAlignment="1" applyProtection="1">
      <alignment horizontal="center" vertical="center"/>
    </xf>
    <xf numFmtId="0" fontId="22" fillId="20" borderId="1" xfId="0" applyFont="1" applyFill="1" applyBorder="1" applyAlignment="1" applyProtection="1">
      <alignment horizontal="left" vertical="center"/>
    </xf>
    <xf numFmtId="0" fontId="23" fillId="20" borderId="1" xfId="0" applyFont="1" applyFill="1" applyBorder="1" applyAlignment="1" applyProtection="1">
      <alignment horizontal="center" vertical="center"/>
    </xf>
    <xf numFmtId="0" fontId="24" fillId="20" borderId="1" xfId="0" applyFont="1" applyFill="1" applyBorder="1" applyAlignment="1" applyProtection="1">
      <alignment horizontal="center" vertical="center"/>
    </xf>
    <xf numFmtId="0" fontId="25" fillId="20" borderId="1" xfId="0" applyFont="1" applyFill="1" applyBorder="1" applyAlignment="1" applyProtection="1">
      <alignment vertical="center"/>
    </xf>
    <xf numFmtId="0" fontId="1" fillId="21" borderId="1" xfId="0" applyFont="1" applyFill="1" applyBorder="1" applyAlignment="1">
      <alignment horizontal="center" vertical="center"/>
    </xf>
    <xf numFmtId="0" fontId="1" fillId="21" borderId="1" xfId="0" applyFont="1" applyFill="1" applyBorder="1" applyAlignment="1">
      <alignment vertical="center"/>
    </xf>
    <xf numFmtId="0" fontId="2" fillId="21" borderId="1" xfId="0" applyFont="1" applyFill="1" applyBorder="1" applyAlignment="1">
      <alignment horizontal="center" vertical="center"/>
    </xf>
    <xf numFmtId="0" fontId="12" fillId="21" borderId="1" xfId="0" applyFont="1" applyFill="1" applyBorder="1" applyAlignment="1">
      <alignment vertical="center"/>
    </xf>
    <xf numFmtId="0" fontId="1" fillId="0" borderId="1" xfId="0" applyFont="1" applyBorder="1" applyAlignment="1">
      <alignment vertical="center"/>
    </xf>
    <xf numFmtId="0" fontId="1" fillId="0" borderId="1" xfId="0" applyFont="1" applyFill="1" applyBorder="1" applyAlignment="1">
      <alignment vertical="center"/>
    </xf>
    <xf numFmtId="0" fontId="2" fillId="0" borderId="1" xfId="0" applyFont="1" applyBorder="1" applyAlignment="1">
      <alignment vertical="center"/>
    </xf>
    <xf numFmtId="0" fontId="2" fillId="0" borderId="1" xfId="0" applyFont="1" applyBorder="1" applyAlignment="1">
      <alignment vertical="center" wrapText="1"/>
    </xf>
    <xf numFmtId="0" fontId="1"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2" fillId="0" borderId="0" xfId="0" applyFont="1" applyFill="1" applyBorder="1" applyAlignment="1">
      <alignment vertical="center"/>
    </xf>
    <xf numFmtId="0" fontId="12" fillId="6" borderId="1" xfId="0" applyFont="1" applyFill="1" applyBorder="1" applyAlignment="1">
      <alignment vertical="center"/>
    </xf>
    <xf numFmtId="0" fontId="11" fillId="0" borderId="0" xfId="0" applyFont="1" applyFill="1"/>
    <xf numFmtId="0" fontId="15" fillId="22" borderId="1" xfId="0" applyFont="1" applyFill="1" applyBorder="1" applyAlignment="1" applyProtection="1">
      <alignment horizontal="center"/>
    </xf>
    <xf numFmtId="0" fontId="15" fillId="22" borderId="1" xfId="0" applyFont="1" applyFill="1" applyBorder="1" applyAlignment="1" applyProtection="1">
      <alignment horizontal="left" vertical="center"/>
    </xf>
    <xf numFmtId="0" fontId="1" fillId="22" borderId="1" xfId="0" applyFont="1" applyFill="1" applyBorder="1" applyAlignment="1" applyProtection="1">
      <alignment horizontal="center" vertical="center"/>
    </xf>
    <xf numFmtId="0" fontId="2" fillId="22" borderId="1" xfId="0" applyFont="1" applyFill="1" applyBorder="1" applyAlignment="1" applyProtection="1">
      <alignment horizontal="center" vertical="center"/>
    </xf>
    <xf numFmtId="0" fontId="11" fillId="22" borderId="1" xfId="0" applyFont="1" applyFill="1" applyBorder="1" applyProtection="1"/>
    <xf numFmtId="0" fontId="12" fillId="22" borderId="1" xfId="0" applyFont="1" applyFill="1" applyBorder="1" applyProtection="1"/>
    <xf numFmtId="0" fontId="11" fillId="0" borderId="0" xfId="0" applyFont="1"/>
    <xf numFmtId="0" fontId="12" fillId="0" borderId="0" xfId="0" applyFont="1"/>
    <xf numFmtId="0" fontId="12" fillId="23" borderId="1" xfId="0" applyFont="1" applyFill="1" applyBorder="1"/>
    <xf numFmtId="0" fontId="12" fillId="3" borderId="1" xfId="0" applyFont="1" applyFill="1" applyBorder="1"/>
    <xf numFmtId="0" fontId="13" fillId="0" borderId="0" xfId="0" applyFont="1" applyFill="1"/>
    <xf numFmtId="0" fontId="12" fillId="24" borderId="1" xfId="0" applyFont="1" applyFill="1" applyBorder="1"/>
    <xf numFmtId="0" fontId="27" fillId="0" borderId="0" xfId="0" applyFont="1"/>
    <xf numFmtId="0" fontId="28" fillId="0" borderId="0" xfId="0" applyFont="1" applyFill="1" applyAlignment="1">
      <alignment horizontal="center"/>
    </xf>
    <xf numFmtId="0" fontId="13" fillId="0" borderId="0" xfId="0" applyFont="1" applyAlignment="1">
      <alignment horizontal="right"/>
    </xf>
    <xf numFmtId="0" fontId="12" fillId="24" borderId="1" xfId="0" applyFont="1" applyFill="1" applyBorder="1" applyAlignment="1">
      <alignment horizontal="center"/>
    </xf>
    <xf numFmtId="0" fontId="29" fillId="8" borderId="1" xfId="0" applyFont="1" applyFill="1" applyBorder="1" applyAlignment="1" applyProtection="1">
      <alignment horizontal="right"/>
      <protection locked="0"/>
    </xf>
    <xf numFmtId="0" fontId="29" fillId="8" borderId="1" xfId="0" applyFont="1" applyFill="1" applyBorder="1" applyProtection="1">
      <protection locked="0"/>
    </xf>
    <xf numFmtId="0" fontId="18" fillId="0" borderId="0" xfId="0" applyFont="1" applyBorder="1" applyAlignment="1">
      <alignment horizontal="center"/>
    </xf>
    <xf numFmtId="0" fontId="14" fillId="0" borderId="1" xfId="0" applyFont="1" applyFill="1" applyBorder="1" applyAlignment="1">
      <alignment horizontal="center"/>
    </xf>
    <xf numFmtId="0" fontId="10" fillId="17" borderId="5" xfId="0" applyFont="1" applyFill="1" applyBorder="1" applyAlignment="1" applyProtection="1">
      <alignment horizontal="center" vertical="center"/>
      <protection locked="0"/>
    </xf>
    <xf numFmtId="0" fontId="14" fillId="0" borderId="1" xfId="0" applyFont="1" applyBorder="1" applyAlignment="1">
      <alignment horizontal="center"/>
    </xf>
    <xf numFmtId="0" fontId="30" fillId="0" borderId="1" xfId="0" applyFont="1" applyBorder="1" applyAlignment="1">
      <alignment horizontal="center"/>
    </xf>
    <xf numFmtId="0" fontId="12" fillId="3" borderId="1" xfId="0" applyFont="1" applyFill="1" applyBorder="1" applyAlignment="1">
      <alignment horizontal="center"/>
    </xf>
    <xf numFmtId="0" fontId="14" fillId="0" borderId="0" xfId="0" applyFont="1" applyAlignment="1">
      <alignment horizontal="center"/>
    </xf>
    <xf numFmtId="0" fontId="14" fillId="5" borderId="10" xfId="0" applyFont="1" applyFill="1" applyBorder="1" applyAlignment="1">
      <alignment horizontal="center"/>
    </xf>
    <xf numFmtId="0" fontId="14" fillId="0" borderId="10" xfId="0" applyFont="1" applyBorder="1" applyAlignment="1">
      <alignment horizontal="center"/>
    </xf>
    <xf numFmtId="0" fontId="29" fillId="8" borderId="5" xfId="0" applyFont="1" applyFill="1" applyBorder="1" applyProtection="1">
      <protection locked="0"/>
    </xf>
    <xf numFmtId="0" fontId="18" fillId="0" borderId="0" xfId="0" applyFont="1" applyFill="1" applyBorder="1" applyAlignment="1">
      <alignment horizontal="center"/>
    </xf>
    <xf numFmtId="0" fontId="14" fillId="5" borderId="11" xfId="0" applyFont="1" applyFill="1" applyBorder="1" applyAlignment="1">
      <alignment horizontal="center"/>
    </xf>
    <xf numFmtId="0" fontId="14" fillId="0" borderId="11" xfId="0" applyFont="1" applyBorder="1" applyAlignment="1">
      <alignment horizontal="center"/>
    </xf>
    <xf numFmtId="0" fontId="0" fillId="0" borderId="0" xfId="0" applyFont="1"/>
    <xf numFmtId="0" fontId="1" fillId="23" borderId="1" xfId="0" applyFont="1" applyFill="1" applyBorder="1"/>
    <xf numFmtId="0" fontId="1" fillId="3" borderId="1" xfId="0" applyFont="1" applyFill="1" applyBorder="1"/>
    <xf numFmtId="0" fontId="2" fillId="23" borderId="1" xfId="0" applyFont="1" applyFill="1" applyBorder="1"/>
    <xf numFmtId="0" fontId="10" fillId="17" borderId="1" xfId="0" applyFont="1" applyFill="1" applyBorder="1" applyAlignment="1" applyProtection="1">
      <alignment horizontal="center" vertical="center"/>
      <protection locked="0"/>
    </xf>
    <xf numFmtId="0" fontId="16" fillId="0" borderId="0" xfId="0" applyFont="1" applyFill="1"/>
    <xf numFmtId="0" fontId="14" fillId="5" borderId="5" xfId="0" applyFont="1" applyFill="1" applyBorder="1" applyAlignment="1">
      <alignment horizontal="center"/>
    </xf>
    <xf numFmtId="0" fontId="14" fillId="0" borderId="5" xfId="0" applyFont="1" applyBorder="1" applyAlignment="1">
      <alignment horizontal="center"/>
    </xf>
    <xf numFmtId="49" fontId="29" fillId="8" borderId="1" xfId="0" applyNumberFormat="1" applyFont="1" applyFill="1" applyBorder="1" applyAlignment="1" applyProtection="1">
      <alignment horizontal="center"/>
      <protection locked="0"/>
    </xf>
    <xf numFmtId="0" fontId="16" fillId="0" borderId="1" xfId="0" applyFont="1" applyBorder="1"/>
    <xf numFmtId="0" fontId="14" fillId="0" borderId="1" xfId="0" applyFont="1" applyBorder="1"/>
    <xf numFmtId="49" fontId="31" fillId="8" borderId="1" xfId="0" applyNumberFormat="1" applyFont="1" applyFill="1" applyBorder="1" applyAlignment="1" applyProtection="1">
      <alignment horizontal="center"/>
      <protection locked="0"/>
    </xf>
    <xf numFmtId="0" fontId="10" fillId="8" borderId="1" xfId="0" applyFont="1" applyFill="1" applyBorder="1" applyAlignment="1" applyProtection="1">
      <alignment horizontal="center" vertical="center"/>
      <protection locked="0"/>
    </xf>
    <xf numFmtId="0" fontId="14" fillId="5" borderId="1" xfId="0" applyFont="1" applyFill="1" applyBorder="1" applyAlignment="1">
      <alignment horizontal="center"/>
    </xf>
    <xf numFmtId="0" fontId="16" fillId="0" borderId="1" xfId="0" applyFont="1" applyBorder="1" applyAlignment="1">
      <alignment horizontal="center"/>
    </xf>
    <xf numFmtId="0" fontId="16" fillId="5" borderId="1" xfId="0" applyFont="1" applyFill="1" applyBorder="1"/>
    <xf numFmtId="0" fontId="27" fillId="0" borderId="1" xfId="0" applyFont="1" applyBorder="1"/>
    <xf numFmtId="0" fontId="2" fillId="0" borderId="1" xfId="0" applyFont="1" applyBorder="1"/>
    <xf numFmtId="0" fontId="27" fillId="0" borderId="0" xfId="0" applyFont="1" applyFill="1"/>
    <xf numFmtId="0" fontId="2" fillId="0" borderId="0" xfId="1" applyFont="1">
      <alignment vertical="center"/>
    </xf>
    <xf numFmtId="0" fontId="32" fillId="0" borderId="0" xfId="1" applyFont="1">
      <alignment vertical="center"/>
    </xf>
    <xf numFmtId="0" fontId="10" fillId="2" borderId="1" xfId="1" applyFont="1" applyFill="1" applyBorder="1" applyAlignment="1">
      <alignment horizontal="center" vertical="center"/>
    </xf>
    <xf numFmtId="0" fontId="2" fillId="0" borderId="0" xfId="1" applyFont="1" applyProtection="1">
      <alignment vertical="center"/>
      <protection locked="0"/>
    </xf>
    <xf numFmtId="0" fontId="33" fillId="0" borderId="0" xfId="1" applyFont="1">
      <alignment vertical="center"/>
    </xf>
    <xf numFmtId="0" fontId="33" fillId="0" borderId="6" xfId="1" applyFont="1" applyBorder="1">
      <alignment vertical="center"/>
    </xf>
    <xf numFmtId="0" fontId="2" fillId="0" borderId="8" xfId="1" applyFont="1" applyBorder="1">
      <alignment vertical="center"/>
    </xf>
    <xf numFmtId="0" fontId="14" fillId="0" borderId="12" xfId="1" applyFont="1" applyBorder="1">
      <alignment vertical="center"/>
    </xf>
    <xf numFmtId="0" fontId="2" fillId="0" borderId="0" xfId="1" applyFont="1" applyBorder="1">
      <alignment vertical="center"/>
    </xf>
    <xf numFmtId="0" fontId="2" fillId="0" borderId="12" xfId="1" applyFont="1" applyBorder="1">
      <alignment vertical="center"/>
    </xf>
    <xf numFmtId="0" fontId="2" fillId="0" borderId="7" xfId="1" applyFont="1" applyBorder="1">
      <alignment vertical="center"/>
    </xf>
    <xf numFmtId="0" fontId="2" fillId="0" borderId="13" xfId="1" applyFont="1" applyBorder="1">
      <alignment vertical="center"/>
    </xf>
    <xf numFmtId="0" fontId="11" fillId="0" borderId="0" xfId="1" applyFont="1">
      <alignment vertical="center"/>
    </xf>
    <xf numFmtId="0" fontId="12" fillId="12" borderId="6" xfId="0" applyFont="1" applyFill="1" applyBorder="1" applyAlignment="1">
      <alignment horizontal="center"/>
    </xf>
    <xf numFmtId="0" fontId="15" fillId="12" borderId="10" xfId="0" applyFont="1" applyFill="1" applyBorder="1" applyAlignment="1">
      <alignment horizontal="center"/>
    </xf>
    <xf numFmtId="0" fontId="15" fillId="12" borderId="12" xfId="0" applyFont="1" applyFill="1" applyBorder="1" applyAlignment="1">
      <alignment horizontal="center"/>
    </xf>
    <xf numFmtId="0" fontId="15" fillId="12" borderId="5" xfId="0" applyFont="1" applyFill="1" applyBorder="1" applyAlignment="1">
      <alignment horizontal="center"/>
    </xf>
    <xf numFmtId="0" fontId="11" fillId="12" borderId="5" xfId="0" applyFont="1" applyFill="1" applyBorder="1" applyAlignment="1">
      <alignment horizontal="right"/>
    </xf>
    <xf numFmtId="0" fontId="10" fillId="17" borderId="5" xfId="0" applyFont="1" applyFill="1" applyBorder="1" applyAlignment="1" applyProtection="1">
      <alignment horizontal="center"/>
      <protection locked="0"/>
    </xf>
    <xf numFmtId="0" fontId="10" fillId="17" borderId="1" xfId="0" applyFont="1" applyFill="1" applyBorder="1" applyAlignment="1" applyProtection="1">
      <alignment horizontal="center"/>
      <protection locked="0"/>
    </xf>
    <xf numFmtId="0" fontId="10" fillId="5" borderId="1" xfId="0" applyFont="1" applyFill="1" applyBorder="1" applyAlignment="1" applyProtection="1">
      <alignment horizontal="center"/>
    </xf>
    <xf numFmtId="0" fontId="35" fillId="0" borderId="1" xfId="0" applyFont="1" applyBorder="1" applyAlignment="1">
      <alignment horizontal="center"/>
    </xf>
    <xf numFmtId="0" fontId="12" fillId="0" borderId="1" xfId="0" applyFont="1" applyBorder="1" applyAlignment="1">
      <alignment horizontal="center"/>
    </xf>
    <xf numFmtId="0" fontId="36" fillId="0" borderId="1" xfId="0" applyFont="1" applyBorder="1" applyAlignment="1">
      <alignment horizontal="center"/>
    </xf>
    <xf numFmtId="176" fontId="2" fillId="5" borderId="5" xfId="0" applyNumberFormat="1" applyFont="1" applyFill="1" applyBorder="1" applyAlignment="1" applyProtection="1">
      <alignment horizontal="center"/>
    </xf>
    <xf numFmtId="0" fontId="10" fillId="0" borderId="0" xfId="0" applyFont="1" applyFill="1" applyBorder="1" applyAlignment="1" applyProtection="1">
      <alignment horizontal="center"/>
    </xf>
    <xf numFmtId="0" fontId="15" fillId="12" borderId="1" xfId="0" applyFont="1" applyFill="1" applyBorder="1" applyAlignment="1">
      <alignment horizontal="right"/>
    </xf>
    <xf numFmtId="0" fontId="2" fillId="0" borderId="0" xfId="0" applyFont="1" applyFill="1" applyBorder="1" applyAlignment="1" applyProtection="1">
      <alignment horizontal="center"/>
    </xf>
    <xf numFmtId="0" fontId="10" fillId="25" borderId="1" xfId="0" applyFont="1" applyFill="1" applyBorder="1" applyAlignment="1" applyProtection="1">
      <alignment horizontal="center"/>
    </xf>
    <xf numFmtId="0" fontId="15" fillId="26" borderId="1" xfId="0" applyFont="1" applyFill="1" applyBorder="1" applyAlignment="1" applyProtection="1">
      <alignment horizontal="center"/>
    </xf>
    <xf numFmtId="0" fontId="37" fillId="27" borderId="9" xfId="0" applyFont="1" applyFill="1" applyBorder="1" applyAlignment="1">
      <alignment horizontal="center" vertical="center"/>
    </xf>
    <xf numFmtId="0" fontId="0" fillId="0" borderId="0" xfId="0" applyFill="1"/>
    <xf numFmtId="0" fontId="0" fillId="28" borderId="0" xfId="0" applyFill="1"/>
    <xf numFmtId="0" fontId="15" fillId="28" borderId="1" xfId="0" applyFont="1" applyFill="1" applyBorder="1" applyAlignment="1">
      <alignment horizontal="center" wrapText="1"/>
    </xf>
    <xf numFmtId="0" fontId="38" fillId="28" borderId="0" xfId="1" applyFont="1" applyFill="1" applyAlignment="1">
      <alignment horizontal="center" vertical="center"/>
    </xf>
    <xf numFmtId="0" fontId="15" fillId="28" borderId="1" xfId="0" applyFont="1" applyFill="1" applyBorder="1" applyAlignment="1">
      <alignment horizontal="center"/>
    </xf>
    <xf numFmtId="0" fontId="39" fillId="28" borderId="0" xfId="1" applyFont="1" applyFill="1" applyAlignment="1">
      <alignment horizontal="center" vertical="center"/>
    </xf>
    <xf numFmtId="0" fontId="29" fillId="8" borderId="1" xfId="0" applyFont="1" applyFill="1" applyBorder="1" applyAlignment="1" applyProtection="1">
      <alignment horizontal="center"/>
      <protection locked="0"/>
    </xf>
    <xf numFmtId="0" fontId="11" fillId="28" borderId="0" xfId="1" applyFont="1" applyFill="1">
      <alignment vertical="center"/>
    </xf>
    <xf numFmtId="0" fontId="18" fillId="0" borderId="1" xfId="1" applyFont="1" applyBorder="1" applyAlignment="1">
      <alignment horizontal="center" vertical="center"/>
    </xf>
    <xf numFmtId="0" fontId="2" fillId="28" borderId="1" xfId="1" applyFont="1" applyFill="1" applyBorder="1" applyAlignment="1">
      <alignment horizontal="center" vertical="center"/>
    </xf>
    <xf numFmtId="0" fontId="2" fillId="28" borderId="0" xfId="1" applyFont="1" applyFill="1">
      <alignment vertical="center"/>
    </xf>
    <xf numFmtId="0" fontId="15" fillId="28" borderId="1" xfId="1" applyFont="1" applyFill="1" applyBorder="1" applyAlignment="1">
      <alignment horizontal="center" vertical="center" wrapText="1"/>
    </xf>
    <xf numFmtId="0" fontId="40" fillId="28" borderId="0" xfId="0" applyFont="1" applyFill="1"/>
    <xf numFmtId="0" fontId="15" fillId="28" borderId="9" xfId="0" applyFont="1" applyFill="1" applyBorder="1" applyAlignment="1">
      <alignment horizontal="center" wrapText="1"/>
    </xf>
    <xf numFmtId="0" fontId="15" fillId="28" borderId="1" xfId="1" applyFont="1" applyFill="1" applyBorder="1" applyAlignment="1">
      <alignment horizontal="center" vertical="center"/>
    </xf>
    <xf numFmtId="0" fontId="2" fillId="5" borderId="1" xfId="1" applyFont="1" applyFill="1" applyBorder="1" applyAlignment="1">
      <alignment horizontal="center" vertical="center"/>
    </xf>
    <xf numFmtId="0" fontId="10" fillId="5" borderId="1" xfId="1" applyFont="1" applyFill="1" applyBorder="1" applyAlignment="1">
      <alignment horizontal="center" vertical="center"/>
    </xf>
    <xf numFmtId="0" fontId="2" fillId="0" borderId="0" xfId="1" applyFont="1" applyBorder="1" applyAlignment="1">
      <alignment horizontal="center" vertical="center"/>
    </xf>
    <xf numFmtId="0" fontId="15" fillId="28" borderId="2" xfId="0" applyFont="1" applyFill="1" applyBorder="1" applyAlignment="1">
      <alignment horizontal="center"/>
    </xf>
    <xf numFmtId="0" fontId="0" fillId="28" borderId="6" xfId="0" applyFill="1" applyBorder="1"/>
    <xf numFmtId="0" fontId="0" fillId="28" borderId="10" xfId="0" applyFill="1" applyBorder="1"/>
    <xf numFmtId="0" fontId="41" fillId="5" borderId="1" xfId="0" applyFont="1" applyFill="1" applyBorder="1" applyAlignment="1" applyProtection="1">
      <alignment horizontal="center" vertical="center"/>
    </xf>
    <xf numFmtId="0" fontId="41" fillId="17" borderId="1" xfId="0" applyFont="1" applyFill="1" applyBorder="1" applyAlignment="1" applyProtection="1">
      <alignment horizontal="center" vertical="center"/>
      <protection locked="0"/>
    </xf>
    <xf numFmtId="0" fontId="41" fillId="17" borderId="7" xfId="0" applyFont="1" applyFill="1" applyBorder="1" applyAlignment="1" applyProtection="1">
      <alignment horizontal="center" vertical="center"/>
      <protection locked="0"/>
    </xf>
    <xf numFmtId="0" fontId="15" fillId="28" borderId="12" xfId="1" applyFont="1" applyFill="1" applyBorder="1" applyAlignment="1">
      <alignment horizontal="center" vertical="center"/>
    </xf>
    <xf numFmtId="0" fontId="15" fillId="28" borderId="11" xfId="1" applyFont="1" applyFill="1" applyBorder="1" applyAlignment="1">
      <alignment horizontal="center" vertical="center"/>
    </xf>
    <xf numFmtId="0" fontId="15" fillId="28" borderId="7" xfId="1" applyFont="1" applyFill="1" applyBorder="1" applyAlignment="1">
      <alignment horizontal="center" vertical="center"/>
    </xf>
    <xf numFmtId="0" fontId="15" fillId="28" borderId="5" xfId="1" applyFont="1" applyFill="1" applyBorder="1" applyAlignment="1">
      <alignment horizontal="center" vertical="center"/>
    </xf>
    <xf numFmtId="178" fontId="2" fillId="5" borderId="1" xfId="1" applyNumberFormat="1" applyFont="1" applyFill="1" applyBorder="1" applyAlignment="1">
      <alignment horizontal="center" vertical="center"/>
    </xf>
    <xf numFmtId="179" fontId="2" fillId="5" borderId="5" xfId="1" applyNumberFormat="1" applyFont="1" applyFill="1" applyBorder="1" applyAlignment="1">
      <alignment horizontal="center" vertical="center"/>
    </xf>
    <xf numFmtId="0" fontId="13" fillId="28" borderId="1" xfId="0" applyFont="1" applyFill="1" applyBorder="1"/>
    <xf numFmtId="180" fontId="10" fillId="5" borderId="1" xfId="1" applyNumberFormat="1" applyFont="1" applyFill="1" applyBorder="1" applyAlignment="1">
      <alignment horizontal="center" vertical="center"/>
    </xf>
    <xf numFmtId="0" fontId="11" fillId="28" borderId="1" xfId="1" applyFont="1" applyFill="1" applyBorder="1">
      <alignment vertical="center"/>
    </xf>
    <xf numFmtId="177" fontId="10" fillId="5" borderId="1" xfId="1" applyNumberFormat="1" applyFont="1" applyFill="1" applyBorder="1" applyAlignment="1">
      <alignment horizontal="center" vertical="center"/>
    </xf>
    <xf numFmtId="0" fontId="2" fillId="0" borderId="9" xfId="1" applyFont="1" applyBorder="1">
      <alignment vertical="center"/>
    </xf>
    <xf numFmtId="0" fontId="15" fillId="29" borderId="1" xfId="1" applyFont="1" applyFill="1" applyBorder="1" applyAlignment="1">
      <alignment horizontal="center" vertical="center"/>
    </xf>
    <xf numFmtId="0" fontId="2" fillId="0" borderId="14" xfId="1" applyFont="1" applyBorder="1">
      <alignment vertical="center"/>
    </xf>
    <xf numFmtId="0" fontId="11" fillId="29" borderId="1" xfId="1" applyFont="1" applyFill="1" applyBorder="1" applyAlignment="1">
      <alignment horizontal="center" vertical="center"/>
    </xf>
    <xf numFmtId="0" fontId="42" fillId="17" borderId="5" xfId="0" applyFont="1" applyFill="1" applyBorder="1" applyAlignment="1" applyProtection="1">
      <alignment horizontal="center" vertical="center"/>
      <protection locked="0"/>
    </xf>
    <xf numFmtId="0" fontId="43" fillId="27" borderId="1" xfId="1" applyFont="1" applyFill="1" applyBorder="1" applyAlignment="1">
      <alignment horizontal="center" vertical="center"/>
    </xf>
    <xf numFmtId="0" fontId="2" fillId="0" borderId="15" xfId="1" applyFont="1" applyBorder="1">
      <alignment vertical="center"/>
    </xf>
    <xf numFmtId="0" fontId="15" fillId="12" borderId="6" xfId="0" applyFont="1" applyFill="1" applyBorder="1" applyAlignment="1">
      <alignment horizontal="center"/>
    </xf>
    <xf numFmtId="0" fontId="0" fillId="12" borderId="10" xfId="0" applyFill="1" applyBorder="1"/>
    <xf numFmtId="0" fontId="15" fillId="12" borderId="7" xfId="0" applyFont="1" applyFill="1" applyBorder="1" applyAlignment="1">
      <alignment horizontal="center"/>
    </xf>
    <xf numFmtId="0" fontId="37" fillId="12" borderId="11" xfId="0" applyFont="1" applyFill="1" applyBorder="1" applyAlignment="1">
      <alignment horizontal="center" vertical="center"/>
    </xf>
    <xf numFmtId="0" fontId="37" fillId="27" borderId="10" xfId="0" applyFont="1" applyFill="1" applyBorder="1" applyAlignment="1">
      <alignment horizontal="center" vertical="center"/>
    </xf>
    <xf numFmtId="0" fontId="10" fillId="17" borderId="2" xfId="0" applyFont="1" applyFill="1" applyBorder="1" applyAlignment="1" applyProtection="1">
      <alignment horizontal="center"/>
      <protection locked="0"/>
    </xf>
    <xf numFmtId="0" fontId="0" fillId="12" borderId="5" xfId="0" applyFill="1" applyBorder="1"/>
    <xf numFmtId="0" fontId="44" fillId="27" borderId="15" xfId="0" applyFont="1" applyFill="1" applyBorder="1" applyAlignment="1">
      <alignment horizontal="center" vertical="center"/>
    </xf>
    <xf numFmtId="0" fontId="44" fillId="27" borderId="5" xfId="0" applyFont="1" applyFill="1" applyBorder="1" applyAlignment="1">
      <alignment horizontal="center" vertical="center"/>
    </xf>
    <xf numFmtId="178" fontId="10" fillId="5" borderId="1" xfId="0" applyNumberFormat="1" applyFont="1" applyFill="1" applyBorder="1" applyAlignment="1" applyProtection="1">
      <alignment horizontal="center"/>
    </xf>
    <xf numFmtId="176" fontId="2" fillId="5" borderId="1" xfId="1" applyNumberFormat="1" applyFont="1" applyFill="1" applyBorder="1" applyAlignment="1">
      <alignment horizontal="center" vertical="center"/>
    </xf>
    <xf numFmtId="0" fontId="15" fillId="12" borderId="1" xfId="0" applyFont="1" applyFill="1" applyBorder="1" applyAlignment="1">
      <alignment horizontal="center"/>
    </xf>
    <xf numFmtId="0" fontId="15" fillId="30" borderId="1" xfId="0" applyFont="1" applyFill="1" applyBorder="1" applyAlignment="1" applyProtection="1">
      <alignment horizontal="center"/>
    </xf>
    <xf numFmtId="0" fontId="10" fillId="8" borderId="1" xfId="0" applyFont="1" applyFill="1" applyBorder="1" applyAlignment="1" applyProtection="1">
      <alignment horizontal="center"/>
      <protection locked="0"/>
    </xf>
    <xf numFmtId="176" fontId="2" fillId="0" borderId="0" xfId="1" applyNumberFormat="1" applyFont="1" applyFill="1" applyBorder="1" applyAlignment="1">
      <alignment vertical="center"/>
    </xf>
    <xf numFmtId="0" fontId="11" fillId="28" borderId="10" xfId="0" applyFont="1" applyFill="1" applyBorder="1" applyAlignment="1">
      <alignment horizontal="center"/>
    </xf>
    <xf numFmtId="0" fontId="11" fillId="28" borderId="11" xfId="1" applyFont="1" applyFill="1" applyBorder="1" applyAlignment="1">
      <alignment horizontal="center" vertical="center" wrapText="1"/>
    </xf>
    <xf numFmtId="0" fontId="15" fillId="31" borderId="0" xfId="1" applyFont="1" applyFill="1">
      <alignment vertical="center"/>
    </xf>
    <xf numFmtId="0" fontId="45" fillId="28" borderId="0" xfId="1" applyFont="1" applyFill="1" applyAlignment="1">
      <alignment horizontal="right" vertical="center"/>
    </xf>
    <xf numFmtId="0" fontId="10" fillId="8" borderId="1" xfId="1" applyFont="1" applyFill="1" applyBorder="1" applyProtection="1">
      <alignment vertical="center"/>
      <protection locked="0"/>
    </xf>
    <xf numFmtId="0" fontId="46" fillId="28" borderId="0" xfId="1" applyFont="1" applyFill="1" applyAlignment="1">
      <alignment horizontal="right" vertical="center"/>
    </xf>
    <xf numFmtId="0" fontId="47" fillId="28" borderId="0" xfId="0" applyFont="1" applyFill="1" applyAlignment="1">
      <alignment horizontal="right"/>
    </xf>
    <xf numFmtId="0" fontId="41" fillId="17" borderId="5" xfId="0" applyFont="1" applyFill="1" applyBorder="1" applyAlignment="1" applyProtection="1">
      <alignment horizontal="center" vertical="center"/>
      <protection locked="0"/>
    </xf>
    <xf numFmtId="0" fontId="10" fillId="0" borderId="0" xfId="1" applyFont="1">
      <alignment vertical="center"/>
    </xf>
    <xf numFmtId="0" fontId="11" fillId="12" borderId="1" xfId="1" applyFont="1" applyFill="1" applyBorder="1" applyAlignment="1">
      <alignment horizontal="center" vertical="center"/>
    </xf>
    <xf numFmtId="0" fontId="11" fillId="12" borderId="1" xfId="1" applyFont="1" applyFill="1" applyBorder="1">
      <alignment vertical="center"/>
    </xf>
    <xf numFmtId="0" fontId="10" fillId="0" borderId="0" xfId="1" applyFont="1" applyAlignment="1">
      <alignment horizontal="center" vertical="center"/>
    </xf>
    <xf numFmtId="0" fontId="2" fillId="0" borderId="0" xfId="1" applyFont="1" applyAlignment="1">
      <alignment horizontal="right" vertical="center"/>
    </xf>
    <xf numFmtId="0" fontId="2" fillId="0" borderId="0" xfId="1" applyFont="1" applyAlignment="1">
      <alignment horizontal="center" vertical="center"/>
    </xf>
    <xf numFmtId="0" fontId="11" fillId="0" borderId="0" xfId="1" applyFont="1" applyFill="1" applyBorder="1">
      <alignment vertical="center"/>
    </xf>
    <xf numFmtId="0" fontId="10" fillId="0" borderId="0" xfId="0" applyFont="1" applyFill="1" applyBorder="1" applyAlignment="1" applyProtection="1">
      <alignment horizontal="center" vertical="center"/>
      <protection locked="0"/>
    </xf>
    <xf numFmtId="0" fontId="11" fillId="29" borderId="5" xfId="1" applyFont="1" applyFill="1" applyBorder="1" applyAlignment="1">
      <alignment horizontal="center" vertical="center"/>
    </xf>
    <xf numFmtId="0" fontId="10" fillId="8" borderId="5" xfId="0" applyFont="1" applyFill="1" applyBorder="1" applyAlignment="1" applyProtection="1">
      <alignment horizontal="center" vertical="center"/>
      <protection locked="0"/>
    </xf>
    <xf numFmtId="0" fontId="29" fillId="5" borderId="1" xfId="0" applyFont="1" applyFill="1" applyBorder="1" applyAlignment="1">
      <alignment horizontal="center"/>
    </xf>
    <xf numFmtId="0" fontId="30" fillId="0" borderId="1" xfId="1" applyFont="1" applyBorder="1" applyAlignment="1">
      <alignment horizontal="right" vertical="center"/>
    </xf>
    <xf numFmtId="0" fontId="14" fillId="5" borderId="1" xfId="1" applyFont="1" applyFill="1" applyBorder="1">
      <alignment vertical="center"/>
    </xf>
    <xf numFmtId="0" fontId="14" fillId="0" borderId="1" xfId="1" applyFont="1" applyBorder="1">
      <alignment vertical="center"/>
    </xf>
    <xf numFmtId="0" fontId="2" fillId="0" borderId="1" xfId="1" applyFont="1" applyBorder="1">
      <alignment vertical="center"/>
    </xf>
    <xf numFmtId="0" fontId="14" fillId="0" borderId="1" xfId="1" applyFont="1" applyBorder="1" applyAlignment="1">
      <alignment horizontal="center" vertical="center"/>
    </xf>
    <xf numFmtId="0" fontId="14" fillId="0" borderId="5" xfId="1" applyFont="1" applyBorder="1" applyAlignment="1">
      <alignment horizontal="center" vertical="center"/>
    </xf>
    <xf numFmtId="0" fontId="14" fillId="5" borderId="1" xfId="1" applyFont="1" applyFill="1" applyBorder="1" applyAlignment="1">
      <alignment horizontal="center" vertical="center"/>
    </xf>
    <xf numFmtId="0" fontId="14" fillId="0" borderId="0" xfId="1" applyFont="1">
      <alignment vertical="center"/>
    </xf>
    <xf numFmtId="0" fontId="44" fillId="28" borderId="5" xfId="1" applyFont="1" applyFill="1" applyBorder="1">
      <alignment vertical="center"/>
    </xf>
    <xf numFmtId="0" fontId="10" fillId="17" borderId="1" xfId="1" applyFont="1" applyFill="1" applyBorder="1" applyProtection="1">
      <alignment vertical="center"/>
      <protection locked="0"/>
    </xf>
    <xf numFmtId="0" fontId="2" fillId="0" borderId="5" xfId="1" applyFont="1" applyBorder="1">
      <alignment vertical="center"/>
    </xf>
    <xf numFmtId="0" fontId="6" fillId="0" borderId="5" xfId="1" applyFont="1" applyBorder="1" applyAlignment="1">
      <alignment horizontal="center" vertical="center"/>
    </xf>
    <xf numFmtId="0" fontId="44" fillId="28" borderId="1" xfId="1" applyFont="1" applyFill="1" applyBorder="1">
      <alignment vertical="center"/>
    </xf>
    <xf numFmtId="0" fontId="21" fillId="17" borderId="1" xfId="1" applyFont="1" applyFill="1" applyBorder="1" applyAlignment="1" applyProtection="1">
      <alignment horizontal="center" vertical="center"/>
      <protection locked="0"/>
    </xf>
    <xf numFmtId="0" fontId="2" fillId="32" borderId="1" xfId="1" applyFont="1" applyFill="1" applyBorder="1">
      <alignment vertical="center"/>
    </xf>
    <xf numFmtId="0" fontId="10" fillId="5" borderId="1" xfId="1" applyFont="1" applyFill="1" applyBorder="1">
      <alignment vertical="center"/>
    </xf>
    <xf numFmtId="0" fontId="2" fillId="0" borderId="2" xfId="1" applyFont="1" applyFill="1" applyBorder="1">
      <alignment vertical="center"/>
    </xf>
    <xf numFmtId="0" fontId="2" fillId="0" borderId="0" xfId="1" applyFont="1" applyFill="1" applyBorder="1">
      <alignment vertical="center"/>
    </xf>
    <xf numFmtId="0" fontId="2" fillId="0" borderId="1" xfId="1" applyFont="1" applyBorder="1" applyAlignment="1">
      <alignment horizontal="center" vertical="center"/>
    </xf>
    <xf numFmtId="0" fontId="2" fillId="5" borderId="11" xfId="1" applyFont="1" applyFill="1" applyBorder="1">
      <alignment vertical="center"/>
    </xf>
    <xf numFmtId="0" fontId="6" fillId="0" borderId="1" xfId="1" applyFont="1" applyBorder="1" applyAlignment="1">
      <alignment horizontal="center" vertical="center"/>
    </xf>
    <xf numFmtId="0" fontId="12" fillId="32" borderId="6" xfId="0" applyFont="1" applyFill="1" applyBorder="1"/>
    <xf numFmtId="0" fontId="0" fillId="32" borderId="8" xfId="0" applyFill="1" applyBorder="1"/>
    <xf numFmtId="0" fontId="0" fillId="32" borderId="9" xfId="0" applyFill="1" applyBorder="1"/>
    <xf numFmtId="0" fontId="10" fillId="17" borderId="1" xfId="1" applyFont="1" applyFill="1" applyBorder="1" applyAlignment="1" applyProtection="1">
      <alignment horizontal="center" vertical="center"/>
      <protection locked="0"/>
    </xf>
    <xf numFmtId="0" fontId="44" fillId="0" borderId="0" xfId="1" applyFont="1">
      <alignment vertical="center"/>
    </xf>
    <xf numFmtId="0" fontId="44" fillId="0" borderId="0" xfId="1" applyFont="1" applyAlignment="1">
      <alignment horizontal="center" vertical="center"/>
    </xf>
    <xf numFmtId="0" fontId="0" fillId="32" borderId="12" xfId="0" applyFill="1" applyBorder="1"/>
    <xf numFmtId="0" fontId="0" fillId="32" borderId="0" xfId="0" applyFill="1" applyBorder="1"/>
    <xf numFmtId="0" fontId="0" fillId="32" borderId="14" xfId="0" applyFill="1" applyBorder="1"/>
    <xf numFmtId="0" fontId="44" fillId="28" borderId="11" xfId="1" applyFont="1" applyFill="1" applyBorder="1">
      <alignment vertical="center"/>
    </xf>
    <xf numFmtId="0" fontId="2" fillId="32" borderId="7" xfId="1" applyFont="1" applyFill="1" applyBorder="1">
      <alignment vertical="center"/>
    </xf>
    <xf numFmtId="0" fontId="2" fillId="32" borderId="13" xfId="1" applyFont="1" applyFill="1" applyBorder="1">
      <alignment vertical="center"/>
    </xf>
    <xf numFmtId="0" fontId="2" fillId="32" borderId="15" xfId="1" applyFont="1" applyFill="1" applyBorder="1">
      <alignment vertical="center"/>
    </xf>
    <xf numFmtId="0" fontId="10" fillId="0" borderId="1" xfId="1" applyFont="1" applyFill="1" applyBorder="1" applyAlignment="1" applyProtection="1">
      <alignment horizontal="center" vertical="center"/>
    </xf>
    <xf numFmtId="0" fontId="2" fillId="5" borderId="1" xfId="1" applyFont="1" applyFill="1" applyBorder="1">
      <alignment vertical="center"/>
    </xf>
    <xf numFmtId="0" fontId="6" fillId="33" borderId="1" xfId="1" applyFont="1" applyFill="1" applyBorder="1" applyAlignment="1">
      <alignment horizontal="center" vertical="center"/>
    </xf>
    <xf numFmtId="0" fontId="15" fillId="34" borderId="1" xfId="1" applyFont="1" applyFill="1" applyBorder="1">
      <alignment vertical="center"/>
    </xf>
    <xf numFmtId="0" fontId="10" fillId="17" borderId="5" xfId="1" applyFont="1" applyFill="1" applyBorder="1" applyProtection="1">
      <alignment vertical="center"/>
      <protection locked="0"/>
    </xf>
    <xf numFmtId="0" fontId="6" fillId="0" borderId="7" xfId="1" applyFont="1" applyBorder="1" applyAlignment="1">
      <alignment horizontal="center" vertical="center"/>
    </xf>
    <xf numFmtId="0" fontId="44" fillId="28" borderId="6" xfId="1" applyFont="1" applyFill="1" applyBorder="1">
      <alignment vertical="center"/>
    </xf>
    <xf numFmtId="0" fontId="2" fillId="0" borderId="10" xfId="1" applyFont="1" applyBorder="1">
      <alignment vertical="center"/>
    </xf>
    <xf numFmtId="0" fontId="10" fillId="0" borderId="10" xfId="1" applyFont="1" applyBorder="1" applyAlignment="1">
      <alignment horizontal="center" vertical="center"/>
    </xf>
    <xf numFmtId="0" fontId="44" fillId="28" borderId="7" xfId="1" applyFont="1" applyFill="1" applyBorder="1" applyAlignment="1">
      <alignment vertical="center" wrapText="1"/>
    </xf>
    <xf numFmtId="0" fontId="44" fillId="28" borderId="10" xfId="1" applyFont="1" applyFill="1" applyBorder="1">
      <alignment vertical="center"/>
    </xf>
    <xf numFmtId="0" fontId="6" fillId="0" borderId="8" xfId="1" applyFont="1" applyBorder="1" applyAlignment="1">
      <alignment horizontal="center" vertical="center"/>
    </xf>
    <xf numFmtId="0" fontId="44" fillId="28" borderId="5" xfId="1" applyFont="1" applyFill="1" applyBorder="1" applyAlignment="1">
      <alignment vertical="center" wrapText="1"/>
    </xf>
    <xf numFmtId="0" fontId="10" fillId="0" borderId="6" xfId="1" applyFont="1" applyBorder="1" applyAlignment="1">
      <alignment horizontal="center" vertical="center"/>
    </xf>
    <xf numFmtId="0" fontId="6" fillId="0" borderId="7" xfId="1" applyFont="1" applyFill="1" applyBorder="1" applyAlignment="1">
      <alignment horizontal="center" vertical="center"/>
    </xf>
    <xf numFmtId="0" fontId="10" fillId="0" borderId="10" xfId="1" applyFont="1" applyFill="1" applyBorder="1" applyAlignment="1">
      <alignment horizontal="center" vertical="center"/>
    </xf>
    <xf numFmtId="0" fontId="6" fillId="0" borderId="5" xfId="1" applyFont="1" applyFill="1" applyBorder="1" applyAlignment="1">
      <alignment horizontal="center" vertical="center"/>
    </xf>
    <xf numFmtId="0" fontId="10" fillId="0" borderId="6" xfId="1" applyFont="1" applyFill="1" applyBorder="1" applyAlignment="1">
      <alignment horizontal="center" vertical="center"/>
    </xf>
    <xf numFmtId="0" fontId="44" fillId="28" borderId="11" xfId="1" applyFont="1" applyFill="1" applyBorder="1" applyAlignment="1">
      <alignment vertical="center" wrapText="1"/>
    </xf>
    <xf numFmtId="0" fontId="44" fillId="28" borderId="10" xfId="1" applyFont="1" applyFill="1" applyBorder="1" applyAlignment="1">
      <alignment vertical="center" wrapText="1"/>
    </xf>
    <xf numFmtId="0" fontId="10" fillId="8" borderId="5" xfId="1" applyFont="1" applyFill="1" applyBorder="1" applyProtection="1">
      <alignment vertical="center"/>
      <protection locked="0"/>
    </xf>
    <xf numFmtId="0" fontId="2" fillId="5" borderId="14" xfId="1" applyFont="1" applyFill="1" applyBorder="1">
      <alignment vertical="center"/>
    </xf>
    <xf numFmtId="0" fontId="2" fillId="0" borderId="11" xfId="1" applyFont="1" applyBorder="1">
      <alignment vertical="center"/>
    </xf>
    <xf numFmtId="0" fontId="6" fillId="0" borderId="11" xfId="1" applyFont="1" applyBorder="1" applyAlignment="1">
      <alignment horizontal="center" vertical="center"/>
    </xf>
    <xf numFmtId="180" fontId="2" fillId="5" borderId="7" xfId="1" applyNumberFormat="1" applyFont="1" applyFill="1" applyBorder="1">
      <alignment vertical="center"/>
    </xf>
    <xf numFmtId="0" fontId="44" fillId="28" borderId="8" xfId="1" applyFont="1" applyFill="1" applyBorder="1">
      <alignment vertical="center"/>
    </xf>
    <xf numFmtId="0" fontId="44" fillId="28" borderId="9" xfId="1" applyFont="1" applyFill="1" applyBorder="1">
      <alignment vertical="center"/>
    </xf>
    <xf numFmtId="0" fontId="44" fillId="28" borderId="2" xfId="1" applyFont="1" applyFill="1" applyBorder="1">
      <alignment vertical="center"/>
    </xf>
    <xf numFmtId="0" fontId="2" fillId="28" borderId="3" xfId="1" applyFont="1" applyFill="1" applyBorder="1">
      <alignment vertical="center"/>
    </xf>
    <xf numFmtId="0" fontId="2" fillId="28" borderId="4" xfId="1" applyFont="1" applyFill="1" applyBorder="1">
      <alignment vertical="center"/>
    </xf>
    <xf numFmtId="0" fontId="44" fillId="28" borderId="1" xfId="1" applyFont="1" applyFill="1" applyBorder="1" applyAlignment="1">
      <alignment horizontal="right" vertical="center"/>
    </xf>
    <xf numFmtId="0" fontId="14" fillId="0" borderId="0" xfId="1" applyFont="1" applyAlignment="1">
      <alignment horizontal="right" vertical="center"/>
    </xf>
    <xf numFmtId="0" fontId="2" fillId="0" borderId="1" xfId="1" applyFont="1" applyBorder="1" applyAlignment="1">
      <alignment horizontal="right" vertical="center"/>
    </xf>
    <xf numFmtId="0" fontId="2" fillId="35" borderId="1" xfId="1" applyFont="1" applyFill="1" applyBorder="1" applyAlignment="1">
      <alignment horizontal="right" vertical="center"/>
    </xf>
    <xf numFmtId="0" fontId="14" fillId="5" borderId="0" xfId="1" applyFont="1" applyFill="1">
      <alignment vertical="center"/>
    </xf>
    <xf numFmtId="0" fontId="14" fillId="0" borderId="0" xfId="1" applyFont="1" applyProtection="1">
      <alignment vertical="center"/>
    </xf>
    <xf numFmtId="0" fontId="2" fillId="32" borderId="1" xfId="1" applyFont="1" applyFill="1" applyBorder="1" applyAlignment="1">
      <alignment horizontal="center" vertical="center"/>
    </xf>
    <xf numFmtId="0" fontId="2" fillId="0" borderId="1" xfId="1" applyFont="1" applyFill="1" applyBorder="1" applyAlignment="1">
      <alignment horizontal="center" vertical="center"/>
    </xf>
    <xf numFmtId="181" fontId="2" fillId="0" borderId="1" xfId="1" applyNumberFormat="1" applyFont="1" applyBorder="1" applyAlignment="1">
      <alignment horizontal="center" vertical="center"/>
    </xf>
    <xf numFmtId="0" fontId="11" fillId="0" borderId="0" xfId="1" applyFont="1" applyAlignment="1">
      <alignment horizontal="left" vertical="center"/>
    </xf>
    <xf numFmtId="0" fontId="21" fillId="32" borderId="1" xfId="1" applyFont="1" applyFill="1" applyBorder="1" applyAlignment="1">
      <alignment horizontal="center" vertical="center"/>
    </xf>
    <xf numFmtId="181" fontId="49" fillId="36" borderId="4" xfId="1" applyNumberFormat="1" applyFont="1" applyFill="1" applyBorder="1" applyAlignment="1">
      <alignment horizontal="center" vertical="center"/>
    </xf>
    <xf numFmtId="0" fontId="11" fillId="0" borderId="0" xfId="1" applyFont="1" applyAlignment="1">
      <alignment horizontal="right" vertical="center"/>
    </xf>
    <xf numFmtId="181" fontId="49" fillId="9" borderId="4" xfId="1" applyNumberFormat="1" applyFont="1" applyFill="1" applyBorder="1" applyAlignment="1">
      <alignment horizontal="center" vertical="center"/>
    </xf>
    <xf numFmtId="0" fontId="10" fillId="37" borderId="1" xfId="1" applyFont="1" applyFill="1" applyBorder="1" applyAlignment="1" applyProtection="1">
      <alignment horizontal="center" vertical="center"/>
    </xf>
    <xf numFmtId="178" fontId="2" fillId="5" borderId="1" xfId="1" applyNumberFormat="1" applyFont="1" applyFill="1" applyBorder="1" applyAlignment="1">
      <alignment horizontal="right" vertical="center"/>
    </xf>
    <xf numFmtId="178" fontId="2" fillId="0" borderId="1" xfId="1" applyNumberFormat="1" applyFont="1" applyBorder="1" applyAlignment="1">
      <alignment horizontal="center" vertical="center"/>
    </xf>
    <xf numFmtId="178" fontId="2" fillId="0" borderId="1" xfId="1" applyNumberFormat="1" applyFont="1" applyFill="1" applyBorder="1" applyAlignment="1">
      <alignment horizontal="center" vertical="center"/>
    </xf>
    <xf numFmtId="0" fontId="2" fillId="5" borderId="15" xfId="1" applyFont="1" applyFill="1" applyBorder="1">
      <alignment vertical="center"/>
    </xf>
    <xf numFmtId="0" fontId="11" fillId="0" borderId="0" xfId="1" applyFont="1" applyAlignment="1">
      <alignment horizontal="center" vertical="center"/>
    </xf>
    <xf numFmtId="0" fontId="2" fillId="0" borderId="0" xfId="1" applyFont="1" applyBorder="1" applyAlignment="1">
      <alignment horizontal="right" vertical="center"/>
    </xf>
    <xf numFmtId="0" fontId="2" fillId="0" borderId="0" xfId="1" applyFont="1" applyFill="1" applyBorder="1" applyAlignment="1">
      <alignment horizontal="right" vertical="center"/>
    </xf>
    <xf numFmtId="0" fontId="50" fillId="0" borderId="0" xfId="0" applyFont="1"/>
    <xf numFmtId="0" fontId="1" fillId="0" borderId="0" xfId="0" applyNumberFormat="1" applyFont="1" applyAlignment="1">
      <alignment horizontal="right"/>
    </xf>
    <xf numFmtId="0" fontId="1" fillId="0" borderId="0" xfId="0" applyNumberFormat="1" applyFont="1" applyAlignment="1">
      <alignment horizontal="center"/>
    </xf>
    <xf numFmtId="0" fontId="50" fillId="0" borderId="0" xfId="0" applyFont="1" applyAlignment="1">
      <alignment horizontal="right"/>
    </xf>
    <xf numFmtId="0" fontId="3" fillId="0" borderId="0" xfId="0" applyNumberFormat="1" applyFont="1" applyAlignment="1">
      <alignment horizontal="left"/>
    </xf>
    <xf numFmtId="0" fontId="50" fillId="0" borderId="0" xfId="0" applyNumberFormat="1" applyFont="1" applyAlignment="1">
      <alignment horizontal="center"/>
    </xf>
    <xf numFmtId="0" fontId="50" fillId="0" borderId="0" xfId="0" applyNumberFormat="1" applyFont="1" applyAlignment="1">
      <alignment horizontal="right"/>
    </xf>
    <xf numFmtId="0" fontId="1" fillId="0" borderId="0" xfId="0" applyNumberFormat="1" applyFont="1" applyAlignment="1">
      <alignment horizontal="left" vertical="top"/>
    </xf>
    <xf numFmtId="0" fontId="1" fillId="0" borderId="0" xfId="0" applyFont="1" applyAlignment="1">
      <alignment vertical="top"/>
    </xf>
    <xf numFmtId="56" fontId="1" fillId="0" borderId="0" xfId="0" applyNumberFormat="1" applyFont="1" applyAlignment="1">
      <alignment horizontal="left" vertical="top"/>
    </xf>
    <xf numFmtId="56" fontId="1" fillId="0" borderId="0" xfId="0" applyNumberFormat="1" applyFont="1" applyAlignment="1">
      <alignment horizontal="right" vertical="top"/>
    </xf>
    <xf numFmtId="0" fontId="1" fillId="0" borderId="0" xfId="0" applyNumberFormat="1" applyFont="1" applyAlignment="1">
      <alignment horizontal="right" vertical="top"/>
    </xf>
    <xf numFmtId="0" fontId="1" fillId="0" borderId="0" xfId="0" applyFont="1" applyAlignment="1">
      <alignment vertical="top" wrapText="1"/>
    </xf>
    <xf numFmtId="0" fontId="1" fillId="0" borderId="0" xfId="0" applyNumberFormat="1" applyFont="1" applyAlignment="1">
      <alignment horizontal="left" vertical="center"/>
    </xf>
    <xf numFmtId="0" fontId="1" fillId="0" borderId="0" xfId="0" applyNumberFormat="1" applyFont="1" applyAlignment="1">
      <alignment vertical="center"/>
    </xf>
    <xf numFmtId="0" fontId="5" fillId="0" borderId="0" xfId="0" applyNumberFormat="1" applyFont="1" applyAlignment="1">
      <alignment horizontal="left"/>
    </xf>
    <xf numFmtId="0" fontId="37" fillId="38" borderId="0" xfId="0" applyFont="1" applyFill="1" applyAlignment="1">
      <alignment horizontal="center"/>
    </xf>
    <xf numFmtId="0" fontId="44" fillId="39" borderId="1" xfId="0" applyFont="1" applyFill="1" applyBorder="1" applyAlignment="1">
      <alignment horizontal="center"/>
    </xf>
    <xf numFmtId="0" fontId="2" fillId="40" borderId="1" xfId="0" applyFont="1" applyFill="1" applyBorder="1" applyAlignment="1">
      <alignment horizontal="center"/>
    </xf>
    <xf numFmtId="0" fontId="12" fillId="0" borderId="0" xfId="0" applyFont="1" applyAlignment="1">
      <alignment wrapText="1"/>
    </xf>
    <xf numFmtId="0" fontId="44" fillId="2" borderId="1" xfId="0" applyFont="1" applyFill="1" applyBorder="1" applyAlignment="1">
      <alignment horizontal="center"/>
    </xf>
    <xf numFmtId="0" fontId="11" fillId="28" borderId="1" xfId="0" applyFont="1" applyFill="1" applyBorder="1" applyAlignment="1">
      <alignment horizontal="center"/>
    </xf>
    <xf numFmtId="0" fontId="2" fillId="32" borderId="1" xfId="0" applyFont="1" applyFill="1" applyBorder="1" applyAlignment="1">
      <alignment horizontal="center"/>
    </xf>
    <xf numFmtId="0" fontId="44" fillId="26" borderId="1" xfId="0" applyFont="1" applyFill="1" applyBorder="1" applyAlignment="1">
      <alignment horizontal="center"/>
    </xf>
    <xf numFmtId="56" fontId="1" fillId="0" borderId="0" xfId="0" quotePrefix="1" applyNumberFormat="1" applyFont="1" applyAlignment="1">
      <alignment horizontal="left" vertical="top"/>
    </xf>
    <xf numFmtId="0" fontId="1" fillId="0" borderId="0" xfId="0" quotePrefix="1" applyFont="1" applyAlignment="1">
      <alignment vertical="top"/>
    </xf>
    <xf numFmtId="0" fontId="1" fillId="0" borderId="0" xfId="0" quotePrefix="1" applyNumberFormat="1" applyFont="1" applyAlignment="1">
      <alignment horizontal="right" vertical="top"/>
    </xf>
    <xf numFmtId="0" fontId="1" fillId="0" borderId="0" xfId="0" quotePrefix="1" applyNumberFormat="1" applyFont="1" applyAlignment="1">
      <alignment horizontal="left" vertical="top"/>
    </xf>
    <xf numFmtId="0" fontId="1" fillId="0" borderId="0" xfId="0" quotePrefix="1" applyFont="1" applyAlignment="1">
      <alignment vertical="top" wrapText="1"/>
    </xf>
    <xf numFmtId="56" fontId="2" fillId="0" borderId="1" xfId="1" quotePrefix="1" applyNumberFormat="1" applyFont="1" applyBorder="1">
      <alignment vertical="center"/>
    </xf>
    <xf numFmtId="0" fontId="2" fillId="0" borderId="5" xfId="1" quotePrefix="1" applyFont="1" applyBorder="1">
      <alignment vertical="center"/>
    </xf>
    <xf numFmtId="0" fontId="2" fillId="0" borderId="1" xfId="1" quotePrefix="1" applyFont="1" applyBorder="1" applyAlignment="1">
      <alignment horizontal="right" vertical="center"/>
    </xf>
    <xf numFmtId="0" fontId="2" fillId="35" borderId="1" xfId="1" quotePrefix="1" applyFont="1" applyFill="1" applyBorder="1" applyAlignment="1">
      <alignment horizontal="right" vertical="center"/>
    </xf>
    <xf numFmtId="0" fontId="1" fillId="0" borderId="1" xfId="0" quotePrefix="1" applyFont="1" applyBorder="1" applyAlignment="1">
      <alignment horizontal="center" vertical="center"/>
    </xf>
    <xf numFmtId="0" fontId="2" fillId="0" borderId="1" xfId="0" quotePrefix="1" applyFont="1" applyFill="1" applyBorder="1" applyAlignment="1">
      <alignment horizontal="center"/>
    </xf>
    <xf numFmtId="0" fontId="2" fillId="5" borderId="1" xfId="0" quotePrefix="1" applyFont="1" applyFill="1" applyBorder="1" applyAlignment="1">
      <alignment horizontal="center"/>
    </xf>
    <xf numFmtId="0" fontId="1" fillId="0" borderId="1" xfId="0" quotePrefix="1" applyFont="1" applyFill="1" applyBorder="1" applyAlignment="1">
      <alignment horizontal="center" vertical="center"/>
    </xf>
    <xf numFmtId="0" fontId="2" fillId="0" borderId="1" xfId="0" quotePrefix="1" applyFont="1" applyFill="1" applyBorder="1" applyAlignment="1">
      <alignment horizontal="center" vertical="center"/>
    </xf>
    <xf numFmtId="0" fontId="1" fillId="0" borderId="1" xfId="0" quotePrefix="1" applyFont="1" applyFill="1" applyBorder="1" applyAlignment="1">
      <alignment horizontal="center"/>
    </xf>
    <xf numFmtId="0" fontId="2" fillId="13" borderId="1" xfId="0" quotePrefix="1" applyFont="1" applyFill="1" applyBorder="1" applyAlignment="1" applyProtection="1">
      <alignment horizontal="center"/>
      <protection locked="0"/>
    </xf>
    <xf numFmtId="0" fontId="1" fillId="15" borderId="1" xfId="0" quotePrefix="1" applyFont="1" applyFill="1" applyBorder="1" applyAlignment="1" applyProtection="1">
      <alignment horizontal="center" vertical="center"/>
      <protection locked="0"/>
    </xf>
    <xf numFmtId="0" fontId="2" fillId="15" borderId="1" xfId="0" quotePrefix="1" applyFont="1" applyFill="1" applyBorder="1" applyAlignment="1" applyProtection="1">
      <alignment horizontal="center"/>
      <protection locked="0"/>
    </xf>
    <xf numFmtId="0" fontId="1" fillId="0" borderId="1" xfId="0" quotePrefix="1" applyFont="1" applyFill="1" applyBorder="1" applyAlignment="1" applyProtection="1">
      <alignment horizontal="center" vertical="center"/>
    </xf>
    <xf numFmtId="0" fontId="2" fillId="5" borderId="1" xfId="0" quotePrefix="1" applyFont="1" applyFill="1" applyBorder="1" applyAlignment="1" applyProtection="1">
      <alignment horizontal="center"/>
    </xf>
    <xf numFmtId="0" fontId="2" fillId="8" borderId="1" xfId="0" quotePrefix="1" applyFont="1" applyFill="1" applyBorder="1" applyAlignment="1" applyProtection="1">
      <alignment horizontal="center"/>
      <protection locked="0"/>
    </xf>
    <xf numFmtId="0" fontId="1" fillId="5" borderId="1" xfId="0" quotePrefix="1" applyFont="1" applyFill="1" applyBorder="1" applyAlignment="1" applyProtection="1">
      <alignment horizontal="center" vertical="center"/>
    </xf>
    <xf numFmtId="0" fontId="2" fillId="11" borderId="1" xfId="0" quotePrefix="1" applyFont="1" applyFill="1" applyBorder="1" applyAlignment="1" applyProtection="1">
      <alignment horizontal="center" wrapText="1"/>
    </xf>
    <xf numFmtId="0" fontId="2" fillId="0" borderId="1" xfId="0" quotePrefix="1" applyFont="1" applyFill="1" applyBorder="1" applyAlignment="1" applyProtection="1">
      <alignment horizontal="center"/>
    </xf>
    <xf numFmtId="0" fontId="2" fillId="0" borderId="5" xfId="0" quotePrefix="1" applyFont="1" applyFill="1" applyBorder="1" applyAlignment="1" applyProtection="1">
      <alignment horizontal="center" vertical="center"/>
    </xf>
    <xf numFmtId="0" fontId="2" fillId="0" borderId="1" xfId="0" quotePrefix="1" applyFont="1" applyFill="1" applyBorder="1" applyAlignment="1" applyProtection="1">
      <alignment horizontal="center" vertical="center"/>
    </xf>
    <xf numFmtId="0" fontId="15" fillId="28" borderId="1" xfId="0" applyFont="1" applyFill="1" applyBorder="1" applyAlignment="1">
      <alignment horizontal="center"/>
    </xf>
    <xf numFmtId="0" fontId="29" fillId="3" borderId="1" xfId="0" applyFont="1" applyFill="1" applyBorder="1" applyAlignment="1">
      <alignment horizontal="center"/>
    </xf>
    <xf numFmtId="0" fontId="10" fillId="32" borderId="1" xfId="0" applyFont="1" applyFill="1" applyBorder="1" applyAlignment="1">
      <alignment horizontal="center"/>
    </xf>
    <xf numFmtId="0" fontId="37" fillId="26" borderId="1" xfId="0" applyFont="1" applyFill="1" applyBorder="1" applyAlignment="1">
      <alignment horizontal="center"/>
    </xf>
    <xf numFmtId="0" fontId="37" fillId="39" borderId="1" xfId="0" applyFont="1" applyFill="1" applyBorder="1" applyAlignment="1">
      <alignment horizontal="center"/>
    </xf>
    <xf numFmtId="0" fontId="15" fillId="12" borderId="1" xfId="0" applyFont="1" applyFill="1" applyBorder="1" applyAlignment="1">
      <alignment horizontal="center"/>
    </xf>
    <xf numFmtId="0" fontId="10" fillId="40" borderId="1" xfId="0" applyFont="1" applyFill="1" applyBorder="1" applyAlignment="1">
      <alignment horizontal="center"/>
    </xf>
    <xf numFmtId="0" fontId="37" fillId="2" borderId="1" xfId="0" applyFont="1" applyFill="1" applyBorder="1" applyAlignment="1">
      <alignment horizontal="center"/>
    </xf>
    <xf numFmtId="0" fontId="1" fillId="0" borderId="0" xfId="0" applyFont="1" applyAlignment="1">
      <alignment horizontal="left" vertical="top"/>
    </xf>
    <xf numFmtId="0" fontId="1" fillId="0" borderId="0" xfId="0" applyFont="1" applyAlignment="1">
      <alignment horizontal="left" vertical="top" wrapText="1"/>
    </xf>
    <xf numFmtId="0" fontId="2" fillId="32" borderId="6" xfId="1" applyFont="1" applyFill="1" applyBorder="1" applyAlignment="1">
      <alignment horizontal="center" vertical="center"/>
    </xf>
    <xf numFmtId="0" fontId="2" fillId="32" borderId="8" xfId="1" applyFont="1" applyFill="1" applyBorder="1" applyAlignment="1">
      <alignment horizontal="center" vertical="center"/>
    </xf>
    <xf numFmtId="0" fontId="2" fillId="32" borderId="9" xfId="1" applyFont="1" applyFill="1" applyBorder="1" applyAlignment="1">
      <alignment horizontal="center" vertical="center"/>
    </xf>
    <xf numFmtId="0" fontId="2" fillId="32" borderId="7" xfId="1" applyFont="1" applyFill="1" applyBorder="1" applyAlignment="1">
      <alignment horizontal="center" vertical="center"/>
    </xf>
    <xf numFmtId="0" fontId="2" fillId="32" borderId="13" xfId="1" applyFont="1" applyFill="1" applyBorder="1" applyAlignment="1">
      <alignment horizontal="center" vertical="center"/>
    </xf>
    <xf numFmtId="0" fontId="2" fillId="32" borderId="15" xfId="1" applyFont="1" applyFill="1" applyBorder="1" applyAlignment="1">
      <alignment horizontal="center" vertical="center"/>
    </xf>
    <xf numFmtId="0" fontId="44" fillId="28" borderId="6" xfId="1" applyFont="1" applyFill="1" applyBorder="1" applyAlignment="1">
      <alignment horizontal="left" vertical="center"/>
    </xf>
    <xf numFmtId="0" fontId="44" fillId="28" borderId="9" xfId="1" applyFont="1" applyFill="1" applyBorder="1" applyAlignment="1">
      <alignment horizontal="left" vertical="center"/>
    </xf>
    <xf numFmtId="0" fontId="44" fillId="28" borderId="7" xfId="1" applyFont="1" applyFill="1" applyBorder="1" applyAlignment="1">
      <alignment horizontal="left" vertical="center" wrapText="1"/>
    </xf>
    <xf numFmtId="0" fontId="44" fillId="28" borderId="15" xfId="1" applyFont="1" applyFill="1" applyBorder="1" applyAlignment="1">
      <alignment horizontal="left" vertical="center" wrapText="1"/>
    </xf>
    <xf numFmtId="0" fontId="44" fillId="28" borderId="6" xfId="1" applyFont="1" applyFill="1" applyBorder="1" applyAlignment="1">
      <alignment horizontal="left" vertical="center" wrapText="1"/>
    </xf>
    <xf numFmtId="0" fontId="44" fillId="28" borderId="9" xfId="1" applyFont="1" applyFill="1" applyBorder="1" applyAlignment="1">
      <alignment horizontal="left" vertical="center" wrapText="1"/>
    </xf>
    <xf numFmtId="180" fontId="2" fillId="5" borderId="2" xfId="1" applyNumberFormat="1" applyFont="1" applyFill="1" applyBorder="1" applyAlignment="1">
      <alignment horizontal="center" vertical="center"/>
    </xf>
    <xf numFmtId="180" fontId="2" fillId="5" borderId="4" xfId="1" applyNumberFormat="1" applyFont="1" applyFill="1" applyBorder="1" applyAlignment="1">
      <alignment horizontal="center" vertical="center"/>
    </xf>
    <xf numFmtId="0" fontId="34" fillId="28" borderId="0" xfId="1" applyFont="1" applyFill="1" applyBorder="1" applyAlignment="1">
      <alignment horizontal="center" vertical="center"/>
    </xf>
    <xf numFmtId="0" fontId="48" fillId="28" borderId="10" xfId="1" applyFont="1" applyFill="1" applyBorder="1" applyAlignment="1">
      <alignment horizontal="left" vertical="center"/>
    </xf>
    <xf numFmtId="0" fontId="48" fillId="28" borderId="5" xfId="1" applyFont="1" applyFill="1" applyBorder="1" applyAlignment="1">
      <alignment horizontal="left" vertical="center"/>
    </xf>
    <xf numFmtId="0" fontId="10" fillId="17" borderId="10" xfId="1" applyFont="1" applyFill="1" applyBorder="1" applyAlignment="1" applyProtection="1">
      <alignment horizontal="right" vertical="center"/>
      <protection locked="0"/>
    </xf>
    <xf numFmtId="0" fontId="10" fillId="17" borderId="5" xfId="1" applyFont="1" applyFill="1" applyBorder="1" applyAlignment="1" applyProtection="1">
      <alignment horizontal="right" vertical="center"/>
      <protection locked="0"/>
    </xf>
    <xf numFmtId="0" fontId="2" fillId="0" borderId="1" xfId="1" applyFont="1" applyBorder="1" applyAlignment="1">
      <alignment horizontal="center" vertical="center"/>
    </xf>
    <xf numFmtId="0" fontId="34" fillId="28" borderId="14" xfId="1" applyFont="1" applyFill="1" applyBorder="1" applyAlignment="1">
      <alignment horizontal="center" vertical="center"/>
    </xf>
    <xf numFmtId="0" fontId="48" fillId="28" borderId="1" xfId="1" applyFont="1" applyFill="1" applyBorder="1" applyAlignment="1">
      <alignment horizontal="left" vertical="center"/>
    </xf>
    <xf numFmtId="0" fontId="44" fillId="28" borderId="1" xfId="1" applyFont="1" applyFill="1" applyBorder="1" applyAlignment="1">
      <alignment horizontal="left" vertical="center"/>
    </xf>
    <xf numFmtId="0" fontId="2" fillId="32" borderId="2" xfId="1" applyFont="1" applyFill="1" applyBorder="1" applyAlignment="1">
      <alignment horizontal="center" vertical="center"/>
    </xf>
    <xf numFmtId="0" fontId="2" fillId="32" borderId="3" xfId="1" applyFont="1" applyFill="1" applyBorder="1" applyAlignment="1">
      <alignment horizontal="center" vertical="center"/>
    </xf>
    <xf numFmtId="0" fontId="2" fillId="32" borderId="4" xfId="1" applyFont="1" applyFill="1" applyBorder="1" applyAlignment="1">
      <alignment horizontal="center" vertical="center"/>
    </xf>
    <xf numFmtId="0" fontId="15" fillId="34" borderId="1" xfId="1" applyFont="1" applyFill="1" applyBorder="1" applyAlignment="1">
      <alignment horizontal="left" vertical="center"/>
    </xf>
    <xf numFmtId="0" fontId="15" fillId="27" borderId="3" xfId="1" applyFont="1" applyFill="1" applyBorder="1" applyAlignment="1">
      <alignment horizontal="center" vertical="center"/>
    </xf>
    <xf numFmtId="0" fontId="15" fillId="27" borderId="4" xfId="1" applyFont="1" applyFill="1" applyBorder="1" applyAlignment="1">
      <alignment horizontal="center" vertical="center"/>
    </xf>
    <xf numFmtId="0" fontId="34" fillId="28" borderId="0" xfId="0" applyFont="1" applyFill="1" applyAlignment="1">
      <alignment horizontal="center"/>
    </xf>
    <xf numFmtId="0" fontId="15" fillId="28" borderId="0" xfId="0" applyFont="1" applyFill="1" applyAlignment="1">
      <alignment horizontal="right"/>
    </xf>
    <xf numFmtId="0" fontId="15" fillId="28" borderId="14" xfId="0" applyFont="1" applyFill="1" applyBorder="1" applyAlignment="1">
      <alignment horizontal="right"/>
    </xf>
    <xf numFmtId="0" fontId="34" fillId="28" borderId="7" xfId="0" applyFont="1" applyFill="1" applyBorder="1" applyAlignment="1">
      <alignment horizontal="center"/>
    </xf>
    <xf numFmtId="0" fontId="34" fillId="28" borderId="13" xfId="0" applyFont="1" applyFill="1" applyBorder="1" applyAlignment="1">
      <alignment horizontal="center"/>
    </xf>
    <xf numFmtId="0" fontId="22" fillId="28" borderId="2" xfId="0" applyFont="1" applyFill="1" applyBorder="1" applyAlignment="1">
      <alignment horizontal="center"/>
    </xf>
    <xf numFmtId="0" fontId="22" fillId="28" borderId="3" xfId="0" applyFont="1" applyFill="1" applyBorder="1" applyAlignment="1">
      <alignment horizontal="center"/>
    </xf>
    <xf numFmtId="0" fontId="22" fillId="28" borderId="4" xfId="0" applyFont="1" applyFill="1" applyBorder="1" applyAlignment="1">
      <alignment horizontal="center"/>
    </xf>
    <xf numFmtId="0" fontId="11" fillId="12" borderId="2" xfId="1" applyFont="1" applyFill="1" applyBorder="1" applyAlignment="1">
      <alignment horizontal="center" vertical="center"/>
    </xf>
    <xf numFmtId="0" fontId="11" fillId="12" borderId="4" xfId="1" applyFont="1" applyFill="1" applyBorder="1" applyAlignment="1">
      <alignment horizontal="center" vertical="center"/>
    </xf>
    <xf numFmtId="0" fontId="10" fillId="17" borderId="1" xfId="0" applyFont="1" applyFill="1" applyBorder="1" applyAlignment="1" applyProtection="1">
      <alignment horizontal="center" vertical="center"/>
      <protection locked="0"/>
    </xf>
    <xf numFmtId="0" fontId="34" fillId="12" borderId="1" xfId="1" applyFont="1" applyFill="1" applyBorder="1" applyAlignment="1">
      <alignment horizontal="center" vertical="center"/>
    </xf>
    <xf numFmtId="0" fontId="22" fillId="29" borderId="1" xfId="1" applyFont="1" applyFill="1" applyBorder="1" applyAlignment="1">
      <alignment horizontal="center" vertical="center"/>
    </xf>
    <xf numFmtId="0" fontId="22" fillId="12" borderId="1" xfId="1" applyFont="1" applyFill="1" applyBorder="1" applyAlignment="1">
      <alignment horizontal="center" vertical="center"/>
    </xf>
    <xf numFmtId="0" fontId="22" fillId="29" borderId="2" xfId="1" applyFont="1" applyFill="1" applyBorder="1" applyAlignment="1">
      <alignment horizontal="center" vertical="center"/>
    </xf>
    <xf numFmtId="0" fontId="22" fillId="29" borderId="3" xfId="1" applyFont="1" applyFill="1" applyBorder="1" applyAlignment="1">
      <alignment horizontal="center" vertical="center"/>
    </xf>
    <xf numFmtId="0" fontId="22" fillId="29" borderId="4" xfId="1" applyFont="1" applyFill="1" applyBorder="1" applyAlignment="1">
      <alignment horizontal="center" vertical="center"/>
    </xf>
    <xf numFmtId="0" fontId="2" fillId="24" borderId="1" xfId="0" applyFont="1" applyFill="1" applyBorder="1" applyAlignment="1">
      <alignment horizontal="right"/>
    </xf>
    <xf numFmtId="0" fontId="10" fillId="17" borderId="10" xfId="0" applyFont="1" applyFill="1" applyBorder="1" applyAlignment="1" applyProtection="1">
      <alignment horizontal="center" vertical="center"/>
      <protection locked="0"/>
    </xf>
    <xf numFmtId="0" fontId="10" fillId="17" borderId="5" xfId="0" applyFont="1" applyFill="1" applyBorder="1" applyAlignment="1" applyProtection="1">
      <alignment horizontal="center" vertical="center"/>
      <protection locked="0"/>
    </xf>
    <xf numFmtId="0" fontId="2" fillId="3" borderId="1" xfId="0" applyFont="1" applyFill="1" applyBorder="1" applyAlignment="1">
      <alignment horizontal="right"/>
    </xf>
    <xf numFmtId="0" fontId="24" fillId="24" borderId="1" xfId="0" applyFont="1" applyFill="1" applyBorder="1" applyAlignment="1">
      <alignment horizontal="center"/>
    </xf>
    <xf numFmtId="0" fontId="24" fillId="3" borderId="1" xfId="0" applyFont="1" applyFill="1" applyBorder="1" applyAlignment="1">
      <alignment horizontal="center"/>
    </xf>
    <xf numFmtId="0" fontId="12" fillId="3" borderId="1" xfId="0" applyFont="1" applyFill="1" applyBorder="1" applyAlignment="1">
      <alignment horizontal="right"/>
    </xf>
    <xf numFmtId="0" fontId="12" fillId="24" borderId="1" xfId="0" applyFont="1" applyFill="1" applyBorder="1" applyAlignment="1">
      <alignment horizontal="right"/>
    </xf>
    <xf numFmtId="0" fontId="12" fillId="24" borderId="1" xfId="0" applyFont="1" applyFill="1" applyBorder="1" applyAlignment="1">
      <alignment horizontal="center"/>
    </xf>
    <xf numFmtId="0" fontId="1" fillId="24" borderId="2" xfId="0" applyFont="1" applyFill="1" applyBorder="1" applyAlignment="1">
      <alignment horizontal="center"/>
    </xf>
    <xf numFmtId="0" fontId="1" fillId="24" borderId="3" xfId="0" applyFont="1" applyFill="1" applyBorder="1" applyAlignment="1">
      <alignment horizontal="center"/>
    </xf>
    <xf numFmtId="0" fontId="1" fillId="24" borderId="4" xfId="0" applyFont="1" applyFill="1" applyBorder="1" applyAlignment="1">
      <alignment horizontal="center"/>
    </xf>
    <xf numFmtId="0" fontId="11" fillId="12" borderId="6" xfId="0" applyFont="1" applyFill="1" applyBorder="1" applyAlignment="1" applyProtection="1">
      <alignment horizontal="right"/>
    </xf>
    <xf numFmtId="0" fontId="11" fillId="12" borderId="9" xfId="0" applyFont="1" applyFill="1" applyBorder="1" applyAlignment="1" applyProtection="1">
      <alignment horizontal="right"/>
    </xf>
    <xf numFmtId="0" fontId="11" fillId="12" borderId="2" xfId="0" applyFont="1" applyFill="1" applyBorder="1" applyAlignment="1" applyProtection="1">
      <alignment horizontal="right"/>
    </xf>
    <xf numFmtId="0" fontId="11" fillId="12" borderId="3" xfId="0" applyFont="1" applyFill="1" applyBorder="1" applyAlignment="1" applyProtection="1">
      <alignment horizontal="right"/>
    </xf>
    <xf numFmtId="0" fontId="11" fillId="12" borderId="4" xfId="0" applyFont="1" applyFill="1" applyBorder="1" applyAlignment="1" applyProtection="1">
      <alignment horizontal="right"/>
    </xf>
    <xf numFmtId="0" fontId="11" fillId="12" borderId="2" xfId="0" applyFont="1" applyFill="1" applyBorder="1" applyAlignment="1">
      <alignment horizontal="center"/>
    </xf>
    <xf numFmtId="0" fontId="11" fillId="12" borderId="3" xfId="0" applyFont="1" applyFill="1" applyBorder="1" applyAlignment="1">
      <alignment horizontal="center"/>
    </xf>
    <xf numFmtId="0" fontId="11" fillId="12" borderId="4" xfId="0" applyFont="1" applyFill="1" applyBorder="1" applyAlignment="1">
      <alignment horizontal="center"/>
    </xf>
    <xf numFmtId="0" fontId="11" fillId="12" borderId="2" xfId="0" applyFont="1" applyFill="1" applyBorder="1" applyAlignment="1">
      <alignment horizontal="right"/>
    </xf>
    <xf numFmtId="0" fontId="11" fillId="12" borderId="3" xfId="0" applyFont="1" applyFill="1" applyBorder="1" applyAlignment="1">
      <alignment horizontal="right"/>
    </xf>
    <xf numFmtId="0" fontId="11" fillId="12" borderId="4" xfId="0" applyFont="1" applyFill="1" applyBorder="1" applyAlignment="1">
      <alignment horizontal="right"/>
    </xf>
  </cellXfs>
  <cellStyles count="2">
    <cellStyle name="標準 2" xfId="1"/>
    <cellStyle name="常规" xfId="0" builtinId="0"/>
  </cellStyles>
  <dxfs count="153">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
      <fill>
        <patternFill patternType="solid">
          <bgColor theme="0" tint="-0.24994659260841701"/>
        </patternFill>
      </fill>
    </dxf>
  </dxfs>
  <tableStyles count="0" defaultTableStyle="TableStyleMedium9"/>
  <colors>
    <mruColors>
      <color rgb="FFDAEEF3"/>
      <color rgb="FF99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193674</xdr:colOff>
      <xdr:row>6</xdr:row>
      <xdr:rowOff>171450</xdr:rowOff>
    </xdr:from>
    <xdr:to>
      <xdr:col>11</xdr:col>
      <xdr:colOff>126999</xdr:colOff>
      <xdr:row>8</xdr:row>
      <xdr:rowOff>152401</xdr:rowOff>
    </xdr:to>
    <xdr:sp macro="" textlink="">
      <xdr:nvSpPr>
        <xdr:cNvPr id="2" name="正方形/長方形 1">
          <a:extLst>
            <a:ext uri="{FF2B5EF4-FFF2-40B4-BE49-F238E27FC236}">
              <a16:creationId xmlns:a16="http://schemas.microsoft.com/office/drawing/2014/main" id="{00000000-0008-0000-0200-000002000000}"/>
            </a:ext>
          </a:extLst>
        </xdr:cNvPr>
        <xdr:cNvSpPr/>
      </xdr:nvSpPr>
      <xdr:spPr>
        <a:xfrm>
          <a:off x="4622165" y="1209675"/>
          <a:ext cx="26765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RS1:Init</a:t>
          </a:r>
          <a:r>
            <a:rPr kumimoji="1" lang="en-US" altLang="ja-JP" sz="1400" baseline="0">
              <a:solidFill>
                <a:sysClr val="windowText" lastClr="000000"/>
              </a:solidFill>
              <a:latin typeface="Arial" pitchFamily="34" charset="0"/>
              <a:cs typeface="Arial" pitchFamily="34" charset="0"/>
            </a:rPr>
            <a:t>ialization for Stand-by</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7</xdr:col>
      <xdr:colOff>390525</xdr:colOff>
      <xdr:row>45</xdr:row>
      <xdr:rowOff>152401</xdr:rowOff>
    </xdr:from>
    <xdr:to>
      <xdr:col>10</xdr:col>
      <xdr:colOff>600075</xdr:colOff>
      <xdr:row>48</xdr:row>
      <xdr:rowOff>171450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819650" y="7877175"/>
          <a:ext cx="2266950" cy="53340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S3:Video</a:t>
          </a:r>
          <a:r>
            <a:rPr kumimoji="1" lang="en-US" altLang="ja-JP" sz="1400" baseline="0">
              <a:latin typeface="Arial" pitchFamily="34" charset="0"/>
              <a:ea typeface="Arial Unicode MS" panose="020B0604020202020204" pitchFamily="50" charset="-128"/>
              <a:cs typeface="Arial" pitchFamily="34" charset="0"/>
            </a:rPr>
            <a:t> Transmission</a:t>
          </a:r>
          <a:endParaRPr kumimoji="1" lang="en-US" altLang="ja-JP" sz="14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7</xdr:col>
      <xdr:colOff>409575</xdr:colOff>
      <xdr:row>0</xdr:row>
      <xdr:rowOff>133351</xdr:rowOff>
    </xdr:from>
    <xdr:to>
      <xdr:col>10</xdr:col>
      <xdr:colOff>619125</xdr:colOff>
      <xdr:row>3</xdr:row>
      <xdr:rowOff>152400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838700" y="133350"/>
          <a:ext cx="2266950" cy="542925"/>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S0:Power</a:t>
          </a:r>
          <a:r>
            <a:rPr kumimoji="1" lang="en-US" altLang="ja-JP" sz="1400" baseline="0">
              <a:latin typeface="Arial" pitchFamily="34" charset="0"/>
              <a:ea typeface="Arial Unicode MS" panose="020B0604020202020204" pitchFamily="50" charset="-128"/>
              <a:cs typeface="Arial" pitchFamily="34" charset="0"/>
            </a:rPr>
            <a:t> Off</a:t>
          </a:r>
          <a:endParaRPr kumimoji="1" lang="en-US" altLang="ja-JP" sz="1400">
            <a:latin typeface="Arial" pitchFamily="34" charset="0"/>
            <a:ea typeface="Arial Unicode MS" panose="020B0604020202020204" pitchFamily="50" charset="-128"/>
            <a:cs typeface="Arial" pitchFamily="34" charset="0"/>
          </a:endParaRPr>
        </a:p>
        <a:p>
          <a:pPr algn="ct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7</xdr:col>
      <xdr:colOff>409575</xdr:colOff>
      <xdr:row>34</xdr:row>
      <xdr:rowOff>133351</xdr:rowOff>
    </xdr:from>
    <xdr:to>
      <xdr:col>10</xdr:col>
      <xdr:colOff>600075</xdr:colOff>
      <xdr:row>36</xdr:row>
      <xdr:rowOff>114301</xdr:rowOff>
    </xdr:to>
    <xdr:sp macro="" textlink="">
      <xdr:nvSpPr>
        <xdr:cNvPr id="5" name="正方形/長方形 4">
          <a:extLst>
            <a:ext uri="{FF2B5EF4-FFF2-40B4-BE49-F238E27FC236}">
              <a16:creationId xmlns:a16="http://schemas.microsoft.com/office/drawing/2014/main" id="{00000000-0008-0000-0200-000005000000}"/>
            </a:ext>
          </a:extLst>
        </xdr:cNvPr>
        <xdr:cNvSpPr/>
      </xdr:nvSpPr>
      <xdr:spPr>
        <a:xfrm>
          <a:off x="4838700" y="5972175"/>
          <a:ext cx="2247900"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7</xdr:col>
      <xdr:colOff>393700</xdr:colOff>
      <xdr:row>41</xdr:row>
      <xdr:rowOff>161926</xdr:rowOff>
    </xdr:from>
    <xdr:to>
      <xdr:col>10</xdr:col>
      <xdr:colOff>600075</xdr:colOff>
      <xdr:row>43</xdr:row>
      <xdr:rowOff>142876</xdr:rowOff>
    </xdr:to>
    <xdr:sp macro="" textlink="">
      <xdr:nvSpPr>
        <xdr:cNvPr id="6" name="正方形/長方形 5">
          <a:extLst>
            <a:ext uri="{FF2B5EF4-FFF2-40B4-BE49-F238E27FC236}">
              <a16:creationId xmlns:a16="http://schemas.microsoft.com/office/drawing/2014/main" id="{00000000-0008-0000-0200-000006000000}"/>
            </a:ext>
          </a:extLst>
        </xdr:cNvPr>
        <xdr:cNvSpPr/>
      </xdr:nvSpPr>
      <xdr:spPr>
        <a:xfrm>
          <a:off x="4822825" y="7200900"/>
          <a:ext cx="226377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RS3:MIPI</a:t>
          </a:r>
          <a:r>
            <a:rPr kumimoji="1" lang="en-US" altLang="ja-JP" sz="1400" baseline="0">
              <a:solidFill>
                <a:sysClr val="windowText" lastClr="000000"/>
              </a:solidFill>
              <a:latin typeface="Arial" pitchFamily="34" charset="0"/>
              <a:cs typeface="Arial" pitchFamily="34" charset="0"/>
            </a:rPr>
            <a:t> Output Enable</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160337</xdr:colOff>
      <xdr:row>3</xdr:row>
      <xdr:rowOff>152400</xdr:rowOff>
    </xdr:from>
    <xdr:to>
      <xdr:col>9</xdr:col>
      <xdr:colOff>171450</xdr:colOff>
      <xdr:row>6</xdr:row>
      <xdr:rowOff>171450</xdr:rowOff>
    </xdr:to>
    <xdr:cxnSp macro="">
      <xdr:nvCxnSpPr>
        <xdr:cNvPr id="7" name="直線矢印コネクタ 6">
          <a:extLst>
            <a:ext uri="{FF2B5EF4-FFF2-40B4-BE49-F238E27FC236}">
              <a16:creationId xmlns:a16="http://schemas.microsoft.com/office/drawing/2014/main" id="{00000000-0008-0000-0200-000007000000}"/>
            </a:ext>
          </a:extLst>
        </xdr:cNvPr>
        <xdr:cNvCxnSpPr>
          <a:stCxn id="4" idx="2"/>
          <a:endCxn id="2" idx="0"/>
        </xdr:cNvCxnSpPr>
      </xdr:nvCxnSpPr>
      <xdr:spPr>
        <a:xfrm flipH="1">
          <a:off x="5960745" y="676275"/>
          <a:ext cx="11430" cy="5334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149225</xdr:colOff>
      <xdr:row>8</xdr:row>
      <xdr:rowOff>152401</xdr:rowOff>
    </xdr:from>
    <xdr:to>
      <xdr:col>9</xdr:col>
      <xdr:colOff>160337</xdr:colOff>
      <xdr:row>10</xdr:row>
      <xdr:rowOff>85725</xdr:rowOff>
    </xdr:to>
    <xdr:cxnSp macro="">
      <xdr:nvCxnSpPr>
        <xdr:cNvPr id="8" name="直線矢印コネクタ 7">
          <a:extLst>
            <a:ext uri="{FF2B5EF4-FFF2-40B4-BE49-F238E27FC236}">
              <a16:creationId xmlns:a16="http://schemas.microsoft.com/office/drawing/2014/main" id="{00000000-0008-0000-0200-000008000000}"/>
            </a:ext>
          </a:extLst>
        </xdr:cNvPr>
        <xdr:cNvCxnSpPr>
          <a:stCxn id="2" idx="2"/>
          <a:endCxn id="30" idx="0"/>
        </xdr:cNvCxnSpPr>
      </xdr:nvCxnSpPr>
      <xdr:spPr>
        <a:xfrm flipH="1">
          <a:off x="5949950" y="1533525"/>
          <a:ext cx="10795" cy="2762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285750</xdr:colOff>
      <xdr:row>4</xdr:row>
      <xdr:rowOff>47627</xdr:rowOff>
    </xdr:from>
    <xdr:to>
      <xdr:col>12</xdr:col>
      <xdr:colOff>292100</xdr:colOff>
      <xdr:row>6</xdr:row>
      <xdr:rowOff>1</xdr:rowOff>
    </xdr:to>
    <xdr:sp macro="" textlink="">
      <xdr:nvSpPr>
        <xdr:cNvPr id="9" name="正方形/長方形 8">
          <a:extLst>
            <a:ext uri="{FF2B5EF4-FFF2-40B4-BE49-F238E27FC236}">
              <a16:creationId xmlns:a16="http://schemas.microsoft.com/office/drawing/2014/main" id="{00000000-0008-0000-0200-000009000000}"/>
            </a:ext>
          </a:extLst>
        </xdr:cNvPr>
        <xdr:cNvSpPr/>
      </xdr:nvSpPr>
      <xdr:spPr>
        <a:xfrm>
          <a:off x="6086475" y="742950"/>
          <a:ext cx="2063750" cy="2952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Power</a:t>
          </a:r>
          <a:r>
            <a:rPr kumimoji="1" lang="en-US" altLang="ja-JP" sz="1200" baseline="0">
              <a:solidFill>
                <a:srgbClr val="FF0000"/>
              </a:solidFill>
              <a:latin typeface="Arial" pitchFamily="34" charset="0"/>
              <a:cs typeface="Arial" pitchFamily="34" charset="0"/>
            </a:rPr>
            <a:t> On, Releae reset</a:t>
          </a:r>
          <a:endParaRPr kumimoji="1" lang="ja-JP" altLang="en-US" sz="1200">
            <a:solidFill>
              <a:srgbClr val="FF0000"/>
            </a:solidFill>
            <a:latin typeface="Arial" pitchFamily="34" charset="0"/>
            <a:cs typeface="Arial" pitchFamily="34" charset="0"/>
          </a:endParaRPr>
        </a:p>
      </xdr:txBody>
    </xdr:sp>
    <xdr:clientData/>
  </xdr:twoCellAnchor>
  <xdr:twoCellAnchor>
    <xdr:from>
      <xdr:col>9</xdr:col>
      <xdr:colOff>149225</xdr:colOff>
      <xdr:row>29</xdr:row>
      <xdr:rowOff>117474</xdr:rowOff>
    </xdr:from>
    <xdr:to>
      <xdr:col>9</xdr:col>
      <xdr:colOff>161925</xdr:colOff>
      <xdr:row>34</xdr:row>
      <xdr:rowOff>133351</xdr:rowOff>
    </xdr:to>
    <xdr:cxnSp macro="">
      <xdr:nvCxnSpPr>
        <xdr:cNvPr id="10" name="直線矢印コネクタ 9">
          <a:extLst>
            <a:ext uri="{FF2B5EF4-FFF2-40B4-BE49-F238E27FC236}">
              <a16:creationId xmlns:a16="http://schemas.microsoft.com/office/drawing/2014/main" id="{00000000-0008-0000-0200-00000A000000}"/>
            </a:ext>
          </a:extLst>
        </xdr:cNvPr>
        <xdr:cNvCxnSpPr>
          <a:stCxn id="26" idx="2"/>
          <a:endCxn id="5" idx="0"/>
        </xdr:cNvCxnSpPr>
      </xdr:nvCxnSpPr>
      <xdr:spPr>
        <a:xfrm>
          <a:off x="5949950" y="5098415"/>
          <a:ext cx="12700" cy="87376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266700</xdr:colOff>
      <xdr:row>30</xdr:row>
      <xdr:rowOff>60326</xdr:rowOff>
    </xdr:from>
    <xdr:to>
      <xdr:col>14</xdr:col>
      <xdr:colOff>482600</xdr:colOff>
      <xdr:row>34</xdr:row>
      <xdr:rowOff>38100</xdr:rowOff>
    </xdr:to>
    <xdr:sp macro="" textlink="">
      <xdr:nvSpPr>
        <xdr:cNvPr id="11" name="正方形/長方形 10">
          <a:extLst>
            <a:ext uri="{FF2B5EF4-FFF2-40B4-BE49-F238E27FC236}">
              <a16:creationId xmlns:a16="http://schemas.microsoft.com/office/drawing/2014/main" id="{00000000-0008-0000-0200-00000B000000}"/>
            </a:ext>
          </a:extLst>
        </xdr:cNvPr>
        <xdr:cNvSpPr/>
      </xdr:nvSpPr>
      <xdr:spPr>
        <a:xfrm>
          <a:off x="6067425" y="5213350"/>
          <a:ext cx="3644900" cy="663575"/>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(b)Video Start on HDMI</a:t>
          </a:r>
        </a:p>
        <a:p>
          <a:pPr algn="l"/>
          <a:r>
            <a:rPr kumimoji="1" lang="en-US" altLang="ja-JP" sz="1200" baseline="0">
              <a:solidFill>
                <a:srgbClr val="FF0000"/>
              </a:solidFill>
              <a:latin typeface="Arial" pitchFamily="34" charset="0"/>
              <a:cs typeface="Arial" pitchFamily="34" charset="0"/>
            </a:rPr>
            <a:t>    (incl Resume from Sleep/Resulution change)</a:t>
          </a:r>
        </a:p>
        <a:p>
          <a:pPr algn="l"/>
          <a:r>
            <a:rPr kumimoji="1" lang="en-US" altLang="ja-JP" sz="1200" baseline="0">
              <a:solidFill>
                <a:srgbClr val="FF0000"/>
              </a:solidFill>
              <a:latin typeface="Arial" pitchFamily="34" charset="0"/>
              <a:cs typeface="Arial" pitchFamily="34" charset="0"/>
            </a:rPr>
            <a:t>(c)Cable disconnected/DDC_5V cut off</a:t>
          </a:r>
        </a:p>
      </xdr:txBody>
    </xdr:sp>
    <xdr:clientData/>
  </xdr:twoCellAnchor>
  <xdr:twoCellAnchor>
    <xdr:from>
      <xdr:col>9</xdr:col>
      <xdr:colOff>153988</xdr:colOff>
      <xdr:row>36</xdr:row>
      <xdr:rowOff>114301</xdr:rowOff>
    </xdr:from>
    <xdr:to>
      <xdr:col>9</xdr:col>
      <xdr:colOff>161925</xdr:colOff>
      <xdr:row>41</xdr:row>
      <xdr:rowOff>161926</xdr:rowOff>
    </xdr:to>
    <xdr:cxnSp macro="">
      <xdr:nvCxnSpPr>
        <xdr:cNvPr id="12" name="直線矢印コネクタ 11">
          <a:extLst>
            <a:ext uri="{FF2B5EF4-FFF2-40B4-BE49-F238E27FC236}">
              <a16:creationId xmlns:a16="http://schemas.microsoft.com/office/drawing/2014/main" id="{00000000-0008-0000-0200-00000C000000}"/>
            </a:ext>
          </a:extLst>
        </xdr:cNvPr>
        <xdr:cNvCxnSpPr>
          <a:stCxn id="5" idx="2"/>
          <a:endCxn id="6" idx="0"/>
        </xdr:cNvCxnSpPr>
      </xdr:nvCxnSpPr>
      <xdr:spPr>
        <a:xfrm flipH="1">
          <a:off x="5954395" y="6296025"/>
          <a:ext cx="8255" cy="9048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43</xdr:row>
      <xdr:rowOff>142876</xdr:rowOff>
    </xdr:from>
    <xdr:to>
      <xdr:col>9</xdr:col>
      <xdr:colOff>153988</xdr:colOff>
      <xdr:row>45</xdr:row>
      <xdr:rowOff>152401</xdr:rowOff>
    </xdr:to>
    <xdr:cxnSp macro="">
      <xdr:nvCxnSpPr>
        <xdr:cNvPr id="13" name="直線矢印コネクタ 12">
          <a:extLst>
            <a:ext uri="{FF2B5EF4-FFF2-40B4-BE49-F238E27FC236}">
              <a16:creationId xmlns:a16="http://schemas.microsoft.com/office/drawing/2014/main" id="{00000000-0008-0000-0200-00000D000000}"/>
            </a:ext>
          </a:extLst>
        </xdr:cNvPr>
        <xdr:cNvCxnSpPr>
          <a:stCxn id="6" idx="2"/>
          <a:endCxn id="3" idx="0"/>
        </xdr:cNvCxnSpPr>
      </xdr:nvCxnSpPr>
      <xdr:spPr>
        <a:xfrm flipH="1">
          <a:off x="5953125" y="7524750"/>
          <a:ext cx="1270" cy="3524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250826</xdr:colOff>
      <xdr:row>39</xdr:row>
      <xdr:rowOff>44451</xdr:rowOff>
    </xdr:from>
    <xdr:to>
      <xdr:col>11</xdr:col>
      <xdr:colOff>444500</xdr:colOff>
      <xdr:row>40</xdr:row>
      <xdr:rowOff>152400</xdr:rowOff>
    </xdr:to>
    <xdr:sp macro="" textlink="">
      <xdr:nvSpPr>
        <xdr:cNvPr id="14" name="正方形/長方形 13">
          <a:extLst>
            <a:ext uri="{FF2B5EF4-FFF2-40B4-BE49-F238E27FC236}">
              <a16:creationId xmlns:a16="http://schemas.microsoft.com/office/drawing/2014/main" id="{00000000-0008-0000-0200-00000E000000}"/>
            </a:ext>
          </a:extLst>
        </xdr:cNvPr>
        <xdr:cNvSpPr/>
      </xdr:nvSpPr>
      <xdr:spPr>
        <a:xfrm>
          <a:off x="6051550" y="6740525"/>
          <a:ext cx="1565275" cy="2794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b)Video start on HDMI </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10</xdr:col>
      <xdr:colOff>619125</xdr:colOff>
      <xdr:row>2</xdr:row>
      <xdr:rowOff>50800</xdr:rowOff>
    </xdr:from>
    <xdr:to>
      <xdr:col>15</xdr:col>
      <xdr:colOff>647700</xdr:colOff>
      <xdr:row>2</xdr:row>
      <xdr:rowOff>53976</xdr:rowOff>
    </xdr:to>
    <xdr:cxnSp macro="">
      <xdr:nvCxnSpPr>
        <xdr:cNvPr id="15" name="直線矢印コネクタ 14">
          <a:extLst>
            <a:ext uri="{FF2B5EF4-FFF2-40B4-BE49-F238E27FC236}">
              <a16:creationId xmlns:a16="http://schemas.microsoft.com/office/drawing/2014/main" id="{00000000-0008-0000-0200-00000F000000}"/>
            </a:ext>
          </a:extLst>
        </xdr:cNvPr>
        <xdr:cNvCxnSpPr>
          <a:endCxn id="4" idx="3"/>
        </xdr:cNvCxnSpPr>
      </xdr:nvCxnSpPr>
      <xdr:spPr>
        <a:xfrm flipH="1">
          <a:off x="7105650" y="403225"/>
          <a:ext cx="3457575"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631826</xdr:colOff>
      <xdr:row>2</xdr:row>
      <xdr:rowOff>53978</xdr:rowOff>
    </xdr:from>
    <xdr:to>
      <xdr:col>15</xdr:col>
      <xdr:colOff>635000</xdr:colOff>
      <xdr:row>47</xdr:row>
      <xdr:rowOff>63500</xdr:rowOff>
    </xdr:to>
    <xdr:cxnSp macro="">
      <xdr:nvCxnSpPr>
        <xdr:cNvPr id="16" name="直線矢印コネクタ 15">
          <a:extLst>
            <a:ext uri="{FF2B5EF4-FFF2-40B4-BE49-F238E27FC236}">
              <a16:creationId xmlns:a16="http://schemas.microsoft.com/office/drawing/2014/main" id="{00000000-0008-0000-0200-000010000000}"/>
            </a:ext>
          </a:extLst>
        </xdr:cNvPr>
        <xdr:cNvCxnSpPr/>
      </xdr:nvCxnSpPr>
      <xdr:spPr>
        <a:xfrm flipH="1" flipV="1">
          <a:off x="10547350" y="406400"/>
          <a:ext cx="3175" cy="772477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600075</xdr:colOff>
      <xdr:row>47</xdr:row>
      <xdr:rowOff>63500</xdr:rowOff>
    </xdr:from>
    <xdr:to>
      <xdr:col>15</xdr:col>
      <xdr:colOff>647700</xdr:colOff>
      <xdr:row>47</xdr:row>
      <xdr:rowOff>73026</xdr:rowOff>
    </xdr:to>
    <xdr:cxnSp macro="">
      <xdr:nvCxnSpPr>
        <xdr:cNvPr id="17" name="直線矢印コネクタ 16">
          <a:extLst>
            <a:ext uri="{FF2B5EF4-FFF2-40B4-BE49-F238E27FC236}">
              <a16:creationId xmlns:a16="http://schemas.microsoft.com/office/drawing/2014/main" id="{00000000-0008-0000-0200-000011000000}"/>
            </a:ext>
          </a:extLst>
        </xdr:cNvPr>
        <xdr:cNvCxnSpPr>
          <a:endCxn id="3" idx="3"/>
        </xdr:cNvCxnSpPr>
      </xdr:nvCxnSpPr>
      <xdr:spPr>
        <a:xfrm flipH="1">
          <a:off x="7086600" y="8131175"/>
          <a:ext cx="3476625" cy="952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676275</xdr:colOff>
      <xdr:row>45</xdr:row>
      <xdr:rowOff>63500</xdr:rowOff>
    </xdr:from>
    <xdr:to>
      <xdr:col>13</xdr:col>
      <xdr:colOff>200025</xdr:colOff>
      <xdr:row>46</xdr:row>
      <xdr:rowOff>161926</xdr:rowOff>
    </xdr:to>
    <xdr:sp macro="" textlink="">
      <xdr:nvSpPr>
        <xdr:cNvPr id="18" name="正方形/長方形 17">
          <a:extLst>
            <a:ext uri="{FF2B5EF4-FFF2-40B4-BE49-F238E27FC236}">
              <a16:creationId xmlns:a16="http://schemas.microsoft.com/office/drawing/2014/main" id="{00000000-0008-0000-0200-000012000000}"/>
            </a:ext>
          </a:extLst>
        </xdr:cNvPr>
        <xdr:cNvSpPr/>
      </xdr:nvSpPr>
      <xdr:spPr>
        <a:xfrm>
          <a:off x="7848600" y="7788275"/>
          <a:ext cx="895350" cy="2698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Power</a:t>
          </a:r>
          <a:r>
            <a:rPr kumimoji="1" lang="en-US" altLang="ja-JP" sz="1200" baseline="0">
              <a:solidFill>
                <a:srgbClr val="FF0000"/>
              </a:solidFill>
              <a:latin typeface="Arial" pitchFamily="34" charset="0"/>
              <a:cs typeface="Arial" pitchFamily="34" charset="0"/>
            </a:rPr>
            <a:t> Off</a:t>
          </a:r>
        </a:p>
      </xdr:txBody>
    </xdr:sp>
    <xdr:clientData/>
  </xdr:twoCellAnchor>
  <xdr:twoCellAnchor>
    <xdr:from>
      <xdr:col>2</xdr:col>
      <xdr:colOff>171450</xdr:colOff>
      <xdr:row>49</xdr:row>
      <xdr:rowOff>142873</xdr:rowOff>
    </xdr:from>
    <xdr:to>
      <xdr:col>14</xdr:col>
      <xdr:colOff>190500</xdr:colOff>
      <xdr:row>61</xdr:row>
      <xdr:rowOff>38100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1171575" y="8552815"/>
          <a:ext cx="8248650" cy="195326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ysClr val="windowText" lastClr="000000"/>
              </a:solidFill>
              <a:latin typeface="Arial" pitchFamily="34" charset="0"/>
              <a:cs typeface="Arial" pitchFamily="34" charset="0"/>
            </a:rPr>
            <a:t>RS1: </a:t>
          </a:r>
          <a:r>
            <a:rPr kumimoji="1" lang="en-US" altLang="ja-JP" sz="1200" baseline="0">
              <a:solidFill>
                <a:sysClr val="windowText" lastClr="000000"/>
              </a:solidFill>
              <a:latin typeface="Arial" pitchFamily="34" charset="0"/>
              <a:cs typeface="Arial" pitchFamily="34" charset="0"/>
            </a:rPr>
            <a:t>"Source_Init_EnbDSI*" sheet "Initialization for Stand-by"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Arial Unicode MS" panose="020B0604020202020204" pitchFamily="50" charset="-128"/>
              <a:cs typeface="Arial" pitchFamily="34" charset="0"/>
            </a:rPr>
            <a:t>RS2: </a:t>
          </a:r>
          <a:r>
            <a:rPr kumimoji="1" lang="en-US" altLang="ja-JP" sz="1200" baseline="0">
              <a:solidFill>
                <a:sysClr val="windowText" lastClr="000000"/>
              </a:solidFill>
              <a:effectLst/>
              <a:latin typeface="Arial" pitchFamily="34" charset="0"/>
              <a:ea typeface="Arial Unicode MS" panose="020B0604020202020204" pitchFamily="50" charset="-128"/>
              <a:cs typeface="Arial" pitchFamily="34" charset="0"/>
            </a:rPr>
            <a:t>"Source_Init_EnbDSI*" sheet "Initialization for Ready" part</a:t>
          </a:r>
          <a:endParaRPr kumimoji="1" lang="en-US" altLang="ja-JP" sz="1200" baseline="0">
            <a:solidFill>
              <a:sysClr val="windowText" lastClr="000000"/>
            </a:solidFill>
            <a:latin typeface="Arial" pitchFamily="34" charset="0"/>
            <a:ea typeface="Arial Unicode MS" panose="020B0604020202020204" pitchFamily="50" charset="-128"/>
            <a:cs typeface="Arial" pitchFamily="34" charset="0"/>
          </a:endParaRPr>
        </a:p>
        <a:p>
          <a:pPr algn="l"/>
          <a:r>
            <a:rPr kumimoji="1" lang="en-US" altLang="ja-JP" sz="1200">
              <a:solidFill>
                <a:sysClr val="windowText" lastClr="000000"/>
              </a:solidFill>
              <a:latin typeface="Arial" pitchFamily="34" charset="0"/>
              <a:cs typeface="Arial" pitchFamily="34" charset="0"/>
            </a:rPr>
            <a:t>RS3: </a:t>
          </a:r>
          <a:r>
            <a:rPr kumimoji="1" lang="en-US" altLang="ja-JP" sz="1200" baseline="0">
              <a:solidFill>
                <a:sysClr val="windowText" lastClr="000000"/>
              </a:solidFill>
              <a:effectLst/>
              <a:latin typeface="Arial" pitchFamily="34" charset="0"/>
              <a:ea typeface="+mn-ea"/>
              <a:cs typeface="Arial" pitchFamily="34" charset="0"/>
            </a:rPr>
            <a:t>"Source_Init_EnbDSI*" sheet "MIPI Output Enable"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mn-ea"/>
              <a:cs typeface="Arial" pitchFamily="34" charset="0"/>
            </a:rPr>
            <a:t>RS4: </a:t>
          </a:r>
          <a:r>
            <a:rPr kumimoji="1" lang="en-US" altLang="ja-JP" sz="1200" baseline="0">
              <a:solidFill>
                <a:sysClr val="windowText" lastClr="000000"/>
              </a:solidFill>
              <a:effectLst/>
              <a:latin typeface="Arial" pitchFamily="34" charset="0"/>
              <a:ea typeface="+mn-ea"/>
              <a:cs typeface="Arial" pitchFamily="34" charset="0"/>
            </a:rPr>
            <a:t>"Source_Suspend*" sheet "MIPI Output Disable" part</a:t>
          </a:r>
          <a:endParaRPr lang="ja-JP" altLang="ja-JP" sz="1200">
            <a:solidFill>
              <a:sysClr val="windowText" lastClr="000000"/>
            </a:solidFill>
            <a:effectLst/>
            <a:latin typeface="Arial" pitchFamily="34" charset="0"/>
            <a:cs typeface="Arial" pitchFamily="34" charset="0"/>
          </a:endParaRP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ysClr val="windowText" lastClr="000000"/>
              </a:solidFill>
              <a:effectLst/>
              <a:latin typeface="Arial" pitchFamily="34" charset="0"/>
              <a:ea typeface="+mn-ea"/>
              <a:cs typeface="Arial" pitchFamily="34" charset="0"/>
            </a:rPr>
            <a:t>RS5: </a:t>
          </a:r>
          <a:r>
            <a:rPr kumimoji="1" lang="en-US" altLang="ja-JP" sz="1200" baseline="0">
              <a:solidFill>
                <a:sysClr val="windowText" lastClr="000000"/>
              </a:solidFill>
              <a:effectLst/>
              <a:latin typeface="Arial" pitchFamily="34" charset="0"/>
              <a:ea typeface="+mn-ea"/>
              <a:cs typeface="Arial" pitchFamily="34" charset="0"/>
            </a:rPr>
            <a:t>"Source_Suspend*" sheet "MIPI Output Disable &amp; Sleep" part</a:t>
          </a:r>
          <a:endParaRPr lang="ja-JP" altLang="ja-JP" sz="1200">
            <a:solidFill>
              <a:sysClr val="windowText" lastClr="000000"/>
            </a:solidFill>
            <a:effectLst/>
            <a:latin typeface="Arial" pitchFamily="34" charset="0"/>
            <a:cs typeface="Arial" pitchFamily="34" charset="0"/>
          </a:endParaRP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baseline="0">
              <a:solidFill>
                <a:sysClr val="windowText" lastClr="000000"/>
              </a:solidFill>
              <a:effectLst/>
              <a:latin typeface="Arial" pitchFamily="34" charset="0"/>
              <a:ea typeface="+mn-ea"/>
              <a:cs typeface="Arial" pitchFamily="34" charset="0"/>
            </a:rPr>
            <a:t>RS_Int: "Source_Init_EnbDSI" sheet "Interrupt Service Routine"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baseline="0">
              <a:solidFill>
                <a:sysClr val="windowText" lastClr="000000"/>
              </a:solidFill>
              <a:effectLst/>
              <a:latin typeface="Arial" pitchFamily="34" charset="0"/>
              <a:ea typeface="+mn-ea"/>
              <a:cs typeface="Arial" pitchFamily="34" charset="0"/>
            </a:rPr>
            <a:t>RS_DO: "Source_Suspend*" sheet "Auto Display Off" part</a:t>
          </a:r>
        </a:p>
        <a:p>
          <a:pPr marL="0" marR="0" indent="0" algn="l" defTabSz="914400" eaLnBrk="1" fontAlgn="auto" latinLnBrk="0" hangingPunct="1">
            <a:lnSpc>
              <a:spcPct val="100000"/>
            </a:lnSpc>
            <a:spcBef>
              <a:spcPts val="0"/>
            </a:spcBef>
            <a:spcAft>
              <a:spcPts val="0"/>
            </a:spcAft>
            <a:buClrTx/>
            <a:buSzTx/>
            <a:buFontTx/>
            <a:buNone/>
            <a:defRPr/>
          </a:pPr>
          <a:r>
            <a:rPr kumimoji="1" lang="en-US" altLang="ja-JP" sz="1200">
              <a:solidFill>
                <a:srgbClr val="FF0000"/>
              </a:solidFill>
              <a:latin typeface="Arial" pitchFamily="34" charset="0"/>
              <a:cs typeface="Arial" pitchFamily="34" charset="0"/>
            </a:rPr>
            <a:t>*</a:t>
          </a:r>
          <a:r>
            <a:rPr kumimoji="1" lang="en-US" altLang="ja-JP" sz="1200" baseline="0">
              <a:solidFill>
                <a:srgbClr val="FF0000"/>
              </a:solidFill>
              <a:latin typeface="Arial" pitchFamily="34" charset="0"/>
              <a:cs typeface="Arial" pitchFamily="34" charset="0"/>
            </a:rPr>
            <a:t> To support multi mode input, several kind of MIPI settings may be needed for  RS3.</a:t>
          </a:r>
        </a:p>
        <a:p>
          <a:pPr algn="l"/>
          <a:r>
            <a:rPr kumimoji="1" lang="en-US" altLang="ja-JP" sz="1200" baseline="0">
              <a:solidFill>
                <a:srgbClr val="FF0000"/>
              </a:solidFill>
              <a:latin typeface="Arial" pitchFamily="34" charset="0"/>
              <a:cs typeface="Arial" pitchFamily="34" charset="0"/>
            </a:rPr>
            <a:t>Depending on HDMI resolution,  which setting of RS3 to use will be decided.</a:t>
          </a:r>
        </a:p>
        <a:p>
          <a:pPr algn="l"/>
          <a:r>
            <a:rPr kumimoji="1" lang="en-US" altLang="ja-JP" sz="1200" baseline="0">
              <a:solidFill>
                <a:srgbClr val="FF0000"/>
              </a:solidFill>
              <a:latin typeface="Arial" pitchFamily="34" charset="0"/>
              <a:cs typeface="Arial" pitchFamily="34" charset="0"/>
            </a:rPr>
            <a:t>* If Display requires stop command by DSI for correct operation, Auto Display Off sequence is required.</a:t>
          </a:r>
          <a:endParaRPr kumimoji="1" lang="ja-JP" altLang="en-US" sz="1200">
            <a:solidFill>
              <a:srgbClr val="FF0000"/>
            </a:solidFill>
            <a:latin typeface="Arial" pitchFamily="34" charset="0"/>
            <a:cs typeface="Arial" pitchFamily="34" charset="0"/>
          </a:endParaRPr>
        </a:p>
      </xdr:txBody>
    </xdr:sp>
    <xdr:clientData/>
  </xdr:twoCellAnchor>
  <xdr:twoCellAnchor>
    <xdr:from>
      <xdr:col>0</xdr:col>
      <xdr:colOff>165100</xdr:colOff>
      <xdr:row>1</xdr:row>
      <xdr:rowOff>38100</xdr:rowOff>
    </xdr:from>
    <xdr:to>
      <xdr:col>1</xdr:col>
      <xdr:colOff>549275</xdr:colOff>
      <xdr:row>2</xdr:row>
      <xdr:rowOff>111123</xdr:rowOff>
    </xdr:to>
    <xdr:sp macro="" textlink="">
      <xdr:nvSpPr>
        <xdr:cNvPr id="20" name="角丸四角形 19">
          <a:extLst>
            <a:ext uri="{FF2B5EF4-FFF2-40B4-BE49-F238E27FC236}">
              <a16:creationId xmlns:a16="http://schemas.microsoft.com/office/drawing/2014/main" id="{00000000-0008-0000-0200-000014000000}"/>
            </a:ext>
          </a:extLst>
        </xdr:cNvPr>
        <xdr:cNvSpPr/>
      </xdr:nvSpPr>
      <xdr:spPr>
        <a:xfrm>
          <a:off x="165100" y="219075"/>
          <a:ext cx="698500" cy="243840"/>
        </a:xfrm>
        <a:prstGeom prst="round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1</xdr:col>
      <xdr:colOff>590550</xdr:colOff>
      <xdr:row>1</xdr:row>
      <xdr:rowOff>25400</xdr:rowOff>
    </xdr:from>
    <xdr:to>
      <xdr:col>2</xdr:col>
      <xdr:colOff>587375</xdr:colOff>
      <xdr:row>2</xdr:row>
      <xdr:rowOff>111123</xdr:rowOff>
    </xdr:to>
    <xdr:sp macro="" textlink="">
      <xdr:nvSpPr>
        <xdr:cNvPr id="21" name="角丸四角形 20">
          <a:extLst>
            <a:ext uri="{FF2B5EF4-FFF2-40B4-BE49-F238E27FC236}">
              <a16:creationId xmlns:a16="http://schemas.microsoft.com/office/drawing/2014/main" id="{00000000-0008-0000-0200-000015000000}"/>
            </a:ext>
          </a:extLst>
        </xdr:cNvPr>
        <xdr:cNvSpPr/>
      </xdr:nvSpPr>
      <xdr:spPr>
        <a:xfrm>
          <a:off x="904875" y="206375"/>
          <a:ext cx="682625" cy="256540"/>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p>
      </xdr:txBody>
    </xdr:sp>
    <xdr:clientData/>
  </xdr:twoCellAnchor>
  <xdr:twoCellAnchor>
    <xdr:from>
      <xdr:col>2</xdr:col>
      <xdr:colOff>628650</xdr:colOff>
      <xdr:row>1</xdr:row>
      <xdr:rowOff>38100</xdr:rowOff>
    </xdr:from>
    <xdr:to>
      <xdr:col>3</xdr:col>
      <xdr:colOff>625475</xdr:colOff>
      <xdr:row>2</xdr:row>
      <xdr:rowOff>111123</xdr:rowOff>
    </xdr:to>
    <xdr:sp macro="" textlink="">
      <xdr:nvSpPr>
        <xdr:cNvPr id="22" name="角丸四角形 21">
          <a:extLst>
            <a:ext uri="{FF2B5EF4-FFF2-40B4-BE49-F238E27FC236}">
              <a16:creationId xmlns:a16="http://schemas.microsoft.com/office/drawing/2014/main" id="{00000000-0008-0000-0200-000016000000}"/>
            </a:ext>
          </a:extLst>
        </xdr:cNvPr>
        <xdr:cNvSpPr/>
      </xdr:nvSpPr>
      <xdr:spPr>
        <a:xfrm>
          <a:off x="1628775" y="219075"/>
          <a:ext cx="682625" cy="24384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latin typeface="Arial" pitchFamily="34" charset="0"/>
              <a:ea typeface="Arial Unicode MS" panose="020B0604020202020204" pitchFamily="50" charset="-128"/>
              <a:cs typeface="Arial" pitchFamily="34" charset="0"/>
            </a:rPr>
            <a:t>State</a:t>
          </a:r>
        </a:p>
      </xdr:txBody>
    </xdr:sp>
    <xdr:clientData/>
  </xdr:twoCellAnchor>
  <xdr:twoCellAnchor>
    <xdr:from>
      <xdr:col>1</xdr:col>
      <xdr:colOff>73024</xdr:colOff>
      <xdr:row>4</xdr:row>
      <xdr:rowOff>155573</xdr:rowOff>
    </xdr:from>
    <xdr:to>
      <xdr:col>3</xdr:col>
      <xdr:colOff>419100</xdr:colOff>
      <xdr:row>6</xdr:row>
      <xdr:rowOff>111123</xdr:rowOff>
    </xdr:to>
    <xdr:sp macro="" textlink="">
      <xdr:nvSpPr>
        <xdr:cNvPr id="23" name="正方形/長方形 22">
          <a:extLst>
            <a:ext uri="{FF2B5EF4-FFF2-40B4-BE49-F238E27FC236}">
              <a16:creationId xmlns:a16="http://schemas.microsoft.com/office/drawing/2014/main" id="{00000000-0008-0000-0200-000017000000}"/>
            </a:ext>
          </a:extLst>
        </xdr:cNvPr>
        <xdr:cNvSpPr/>
      </xdr:nvSpPr>
      <xdr:spPr>
        <a:xfrm>
          <a:off x="386715" y="850265"/>
          <a:ext cx="1718310" cy="298450"/>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a:solidFill>
                <a:srgbClr val="FF0000"/>
              </a:solidFill>
              <a:latin typeface="Arial" pitchFamily="34" charset="0"/>
              <a:cs typeface="Arial" pitchFamily="34" charset="0"/>
            </a:rPr>
            <a:t>External trigger factor</a:t>
          </a:r>
          <a:endParaRPr kumimoji="1" lang="ja-JP" altLang="en-US" sz="1200">
            <a:solidFill>
              <a:srgbClr val="FF0000"/>
            </a:solidFill>
            <a:latin typeface="Arial" pitchFamily="34" charset="0"/>
            <a:cs typeface="Arial" pitchFamily="34" charset="0"/>
          </a:endParaRPr>
        </a:p>
      </xdr:txBody>
    </xdr:sp>
    <xdr:clientData/>
  </xdr:twoCellAnchor>
  <xdr:twoCellAnchor>
    <xdr:from>
      <xdr:col>1</xdr:col>
      <xdr:colOff>41275</xdr:colOff>
      <xdr:row>2</xdr:row>
      <xdr:rowOff>168273</xdr:rowOff>
    </xdr:from>
    <xdr:to>
      <xdr:col>3</xdr:col>
      <xdr:colOff>469900</xdr:colOff>
      <xdr:row>4</xdr:row>
      <xdr:rowOff>101600</xdr:rowOff>
    </xdr:to>
    <xdr:sp macro="" textlink="">
      <xdr:nvSpPr>
        <xdr:cNvPr id="24" name="正方形/長方形 23">
          <a:extLst>
            <a:ext uri="{FF2B5EF4-FFF2-40B4-BE49-F238E27FC236}">
              <a16:creationId xmlns:a16="http://schemas.microsoft.com/office/drawing/2014/main" id="{00000000-0008-0000-0200-000018000000}"/>
            </a:ext>
          </a:extLst>
        </xdr:cNvPr>
        <xdr:cNvSpPr/>
      </xdr:nvSpPr>
      <xdr:spPr>
        <a:xfrm>
          <a:off x="355600" y="520065"/>
          <a:ext cx="1800225" cy="27686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Register</a:t>
          </a:r>
          <a:r>
            <a:rPr kumimoji="1" lang="en-US" altLang="ja-JP" sz="1400" baseline="0">
              <a:solidFill>
                <a:sysClr val="windowText" lastClr="000000"/>
              </a:solidFill>
              <a:latin typeface="Arial" pitchFamily="34" charset="0"/>
              <a:cs typeface="Arial" pitchFamily="34" charset="0"/>
            </a:rPr>
            <a:t> settings</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10</xdr:col>
      <xdr:colOff>669926</xdr:colOff>
      <xdr:row>28</xdr:row>
      <xdr:rowOff>50800</xdr:rowOff>
    </xdr:from>
    <xdr:to>
      <xdr:col>13</xdr:col>
      <xdr:colOff>212726</xdr:colOff>
      <xdr:row>30</xdr:row>
      <xdr:rowOff>22225</xdr:rowOff>
    </xdr:to>
    <xdr:sp macro="" textlink="">
      <xdr:nvSpPr>
        <xdr:cNvPr id="25" name="正方形/長方形 24">
          <a:extLst>
            <a:ext uri="{FF2B5EF4-FFF2-40B4-BE49-F238E27FC236}">
              <a16:creationId xmlns:a16="http://schemas.microsoft.com/office/drawing/2014/main" id="{00000000-0008-0000-0200-000019000000}"/>
            </a:ext>
          </a:extLst>
        </xdr:cNvPr>
        <xdr:cNvSpPr/>
      </xdr:nvSpPr>
      <xdr:spPr>
        <a:xfrm>
          <a:off x="7156450" y="4860925"/>
          <a:ext cx="1600200" cy="314325"/>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387350</xdr:colOff>
      <xdr:row>25</xdr:row>
      <xdr:rowOff>60325</xdr:rowOff>
    </xdr:from>
    <xdr:to>
      <xdr:col>10</xdr:col>
      <xdr:colOff>596900</xdr:colOff>
      <xdr:row>29</xdr:row>
      <xdr:rowOff>117474</xdr:rowOff>
    </xdr:to>
    <xdr:sp macro="" textlink="">
      <xdr:nvSpPr>
        <xdr:cNvPr id="26" name="角丸四角形 25">
          <a:extLst>
            <a:ext uri="{FF2B5EF4-FFF2-40B4-BE49-F238E27FC236}">
              <a16:creationId xmlns:a16="http://schemas.microsoft.com/office/drawing/2014/main" id="{00000000-0008-0000-0200-00001A000000}"/>
            </a:ext>
          </a:extLst>
        </xdr:cNvPr>
        <xdr:cNvSpPr/>
      </xdr:nvSpPr>
      <xdr:spPr>
        <a:xfrm>
          <a:off x="4816475" y="4356100"/>
          <a:ext cx="2266950" cy="742315"/>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S2:Ready</a:t>
          </a:r>
        </a:p>
        <a:p>
          <a:pPr algn="ctr"/>
          <a:r>
            <a:rPr kumimoji="1" lang="en-US" altLang="ja-JP" sz="1200">
              <a:latin typeface="Arial" pitchFamily="34" charset="0"/>
              <a:ea typeface="Arial Unicode MS" panose="020B0604020202020204" pitchFamily="50" charset="-128"/>
              <a:cs typeface="Arial" pitchFamily="34" charset="0"/>
            </a:rPr>
            <a:t>No</a:t>
          </a:r>
          <a:r>
            <a:rPr kumimoji="1" lang="en-US" altLang="ja-JP" sz="1200" baseline="0">
              <a:latin typeface="Arial" pitchFamily="34" charset="0"/>
              <a:ea typeface="Arial Unicode MS" panose="020B0604020202020204" pitchFamily="50" charset="-128"/>
              <a:cs typeface="Arial" pitchFamily="34" charset="0"/>
            </a:rPr>
            <a:t> video transmission</a:t>
          </a:r>
          <a:endParaRPr kumimoji="1" lang="en-US" altLang="ja-JP" sz="12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2</xdr:col>
      <xdr:colOff>228600</xdr:colOff>
      <xdr:row>38</xdr:row>
      <xdr:rowOff>127001</xdr:rowOff>
    </xdr:from>
    <xdr:to>
      <xdr:col>2</xdr:col>
      <xdr:colOff>238125</xdr:colOff>
      <xdr:row>47</xdr:row>
      <xdr:rowOff>101600</xdr:rowOff>
    </xdr:to>
    <xdr:cxnSp macro="">
      <xdr:nvCxnSpPr>
        <xdr:cNvPr id="27" name="直線矢印コネクタ 26">
          <a:extLst>
            <a:ext uri="{FF2B5EF4-FFF2-40B4-BE49-F238E27FC236}">
              <a16:creationId xmlns:a16="http://schemas.microsoft.com/office/drawing/2014/main" id="{00000000-0008-0000-0200-00001B000000}"/>
            </a:ext>
          </a:extLst>
        </xdr:cNvPr>
        <xdr:cNvCxnSpPr>
          <a:endCxn id="47" idx="2"/>
        </xdr:cNvCxnSpPr>
      </xdr:nvCxnSpPr>
      <xdr:spPr>
        <a:xfrm flipV="1">
          <a:off x="1228725" y="6651625"/>
          <a:ext cx="9525" cy="15176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222250</xdr:colOff>
      <xdr:row>42</xdr:row>
      <xdr:rowOff>104776</xdr:rowOff>
    </xdr:from>
    <xdr:to>
      <xdr:col>7</xdr:col>
      <xdr:colOff>215900</xdr:colOff>
      <xdr:row>46</xdr:row>
      <xdr:rowOff>95250</xdr:rowOff>
    </xdr:to>
    <xdr:sp macro="" textlink="">
      <xdr:nvSpPr>
        <xdr:cNvPr id="28" name="正方形/長方形 27">
          <a:extLst>
            <a:ext uri="{FF2B5EF4-FFF2-40B4-BE49-F238E27FC236}">
              <a16:creationId xmlns:a16="http://schemas.microsoft.com/office/drawing/2014/main" id="{00000000-0008-0000-0200-00001C000000}"/>
            </a:ext>
          </a:extLst>
        </xdr:cNvPr>
        <xdr:cNvSpPr/>
      </xdr:nvSpPr>
      <xdr:spPr>
        <a:xfrm>
          <a:off x="536575" y="7315200"/>
          <a:ext cx="4108450" cy="676275"/>
        </a:xfrm>
        <a:prstGeom prst="rect">
          <a:avLst/>
        </a:prstGeom>
        <a:solidFill>
          <a:schemeClr val="bg1"/>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(c)Cable disconnected/DDC_5V cut off</a:t>
          </a:r>
        </a:p>
        <a:p>
          <a:pPr algn="l"/>
          <a:r>
            <a:rPr kumimoji="1" lang="en-US" altLang="ja-JP" sz="1200" baseline="0">
              <a:solidFill>
                <a:srgbClr val="FF0000"/>
              </a:solidFill>
              <a:effectLst/>
              <a:latin typeface="Arial" pitchFamily="34" charset="0"/>
              <a:ea typeface="+mn-ea"/>
              <a:cs typeface="Arial" pitchFamily="34" charset="0"/>
            </a:rPr>
            <a:t>   (incl Enter Sleep/Resolution change)</a:t>
          </a:r>
          <a:endParaRPr kumimoji="1" lang="en-US" altLang="ja-JP" sz="1200" baseline="0">
            <a:solidFill>
              <a:srgbClr val="FF0000"/>
            </a:solidFill>
            <a:latin typeface="Arial" pitchFamily="34" charset="0"/>
            <a:cs typeface="Arial" pitchFamily="34" charset="0"/>
          </a:endParaRPr>
        </a:p>
        <a:p>
          <a:r>
            <a:rPr kumimoji="1" lang="en-US" altLang="ja-JP" sz="1200" baseline="0">
              <a:solidFill>
                <a:srgbClr val="FF0000"/>
              </a:solidFill>
              <a:effectLst/>
              <a:latin typeface="Arial" pitchFamily="34" charset="0"/>
              <a:ea typeface="+mn-ea"/>
              <a:cs typeface="Arial" pitchFamily="34" charset="0"/>
            </a:rPr>
            <a:t>(d)Video Stop on HDMI(DDC_5V is kept)</a:t>
          </a:r>
          <a:endParaRPr kumimoji="1" lang="en-US" altLang="ja-JP" sz="1200" baseline="0">
            <a:solidFill>
              <a:srgbClr val="FF0000"/>
            </a:solidFill>
            <a:latin typeface="Arial" pitchFamily="34" charset="0"/>
            <a:cs typeface="Arial" pitchFamily="34" charset="0"/>
          </a:endParaRPr>
        </a:p>
      </xdr:txBody>
    </xdr:sp>
    <xdr:clientData/>
  </xdr:twoCellAnchor>
  <xdr:twoCellAnchor>
    <xdr:from>
      <xdr:col>4</xdr:col>
      <xdr:colOff>365125</xdr:colOff>
      <xdr:row>40</xdr:row>
      <xdr:rowOff>12700</xdr:rowOff>
    </xdr:from>
    <xdr:to>
      <xdr:col>6</xdr:col>
      <xdr:colOff>584200</xdr:colOff>
      <xdr:row>41</xdr:row>
      <xdr:rowOff>161925</xdr:rowOff>
    </xdr:to>
    <xdr:sp macro="" textlink="">
      <xdr:nvSpPr>
        <xdr:cNvPr id="29" name="正方形/長方形 28">
          <a:extLst>
            <a:ext uri="{FF2B5EF4-FFF2-40B4-BE49-F238E27FC236}">
              <a16:creationId xmlns:a16="http://schemas.microsoft.com/office/drawing/2014/main" id="{00000000-0008-0000-0200-00001D000000}"/>
            </a:ext>
          </a:extLst>
        </xdr:cNvPr>
        <xdr:cNvSpPr/>
      </xdr:nvSpPr>
      <xdr:spPr>
        <a:xfrm>
          <a:off x="2736850" y="6880225"/>
          <a:ext cx="1590675" cy="320675"/>
        </a:xfrm>
        <a:prstGeom prst="rect">
          <a:avLst/>
        </a:prstGeom>
        <a:solidFill>
          <a:schemeClr val="bg1"/>
        </a:solid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387350</xdr:colOff>
      <xdr:row>10</xdr:row>
      <xdr:rowOff>85725</xdr:rowOff>
    </xdr:from>
    <xdr:to>
      <xdr:col>10</xdr:col>
      <xdr:colOff>596900</xdr:colOff>
      <xdr:row>14</xdr:row>
      <xdr:rowOff>142874</xdr:rowOff>
    </xdr:to>
    <xdr:sp macro="" textlink="">
      <xdr:nvSpPr>
        <xdr:cNvPr id="30" name="角丸四角形 29">
          <a:extLst>
            <a:ext uri="{FF2B5EF4-FFF2-40B4-BE49-F238E27FC236}">
              <a16:creationId xmlns:a16="http://schemas.microsoft.com/office/drawing/2014/main" id="{00000000-0008-0000-0200-00001E000000}"/>
            </a:ext>
          </a:extLst>
        </xdr:cNvPr>
        <xdr:cNvSpPr/>
      </xdr:nvSpPr>
      <xdr:spPr>
        <a:xfrm>
          <a:off x="4816475" y="1809750"/>
          <a:ext cx="2266950" cy="742315"/>
        </a:xfrm>
        <a:prstGeom prst="roundRect">
          <a:avLst/>
        </a:prstGeom>
        <a:solidFill>
          <a:schemeClr val="accent3">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400">
              <a:latin typeface="Arial" pitchFamily="34" charset="0"/>
              <a:ea typeface="Arial Unicode MS" panose="020B0604020202020204" pitchFamily="50" charset="-128"/>
              <a:cs typeface="Arial" pitchFamily="34" charset="0"/>
            </a:rPr>
            <a:t>S1:Stand-by</a:t>
          </a:r>
        </a:p>
        <a:p>
          <a:pPr algn="ctr"/>
          <a:r>
            <a:rPr kumimoji="1" lang="en-US" altLang="ja-JP" sz="1200">
              <a:latin typeface="Arial" pitchFamily="34" charset="0"/>
              <a:ea typeface="Arial Unicode MS" panose="020B0604020202020204" pitchFamily="50" charset="-128"/>
              <a:cs typeface="Arial" pitchFamily="34" charset="0"/>
            </a:rPr>
            <a:t>No</a:t>
          </a:r>
          <a:r>
            <a:rPr kumimoji="1" lang="en-US" altLang="ja-JP" sz="1200" baseline="0">
              <a:latin typeface="Arial" pitchFamily="34" charset="0"/>
              <a:ea typeface="Arial Unicode MS" panose="020B0604020202020204" pitchFamily="50" charset="-128"/>
              <a:cs typeface="Arial" pitchFamily="34" charset="0"/>
            </a:rPr>
            <a:t> video transmission</a:t>
          </a:r>
          <a:endParaRPr kumimoji="1" lang="en-US" altLang="ja-JP" sz="1200">
            <a:latin typeface="Arial" pitchFamily="34" charset="0"/>
            <a:ea typeface="Arial Unicode MS" panose="020B0604020202020204" pitchFamily="50" charset="-128"/>
            <a:cs typeface="Arial" pitchFamily="34" charset="0"/>
          </a:endParaRPr>
        </a:p>
        <a:p>
          <a:pPr algn="ctr"/>
          <a:r>
            <a:rPr kumimoji="1" lang="en-US" altLang="ja-JP" sz="1100">
              <a:latin typeface="Arial" pitchFamily="34" charset="0"/>
              <a:ea typeface="Arial Unicode MS" panose="020B0604020202020204" pitchFamily="50" charset="-128"/>
              <a:cs typeface="Arial" pitchFamily="34" charset="0"/>
            </a:rPr>
            <a:t>Wait interrupt</a:t>
          </a:r>
          <a:endParaRPr kumimoji="1" lang="ja-JP" altLang="en-US" sz="1100">
            <a:latin typeface="Arial" pitchFamily="34" charset="0"/>
            <a:ea typeface="Arial Unicode MS" panose="020B0604020202020204" pitchFamily="50" charset="-128"/>
            <a:cs typeface="Arial" pitchFamily="34" charset="0"/>
          </a:endParaRPr>
        </a:p>
      </xdr:txBody>
    </xdr:sp>
    <xdr:clientData/>
  </xdr:twoCellAnchor>
  <xdr:twoCellAnchor>
    <xdr:from>
      <xdr:col>9</xdr:col>
      <xdr:colOff>146050</xdr:colOff>
      <xdr:row>14</xdr:row>
      <xdr:rowOff>142874</xdr:rowOff>
    </xdr:from>
    <xdr:to>
      <xdr:col>9</xdr:col>
      <xdr:colOff>149225</xdr:colOff>
      <xdr:row>17</xdr:row>
      <xdr:rowOff>165100</xdr:rowOff>
    </xdr:to>
    <xdr:cxnSp macro="">
      <xdr:nvCxnSpPr>
        <xdr:cNvPr id="31" name="直線矢印コネクタ 30">
          <a:extLst>
            <a:ext uri="{FF2B5EF4-FFF2-40B4-BE49-F238E27FC236}">
              <a16:creationId xmlns:a16="http://schemas.microsoft.com/office/drawing/2014/main" id="{00000000-0008-0000-0200-00001F000000}"/>
            </a:ext>
          </a:extLst>
        </xdr:cNvPr>
        <xdr:cNvCxnSpPr>
          <a:stCxn id="30" idx="2"/>
          <a:endCxn id="51" idx="0"/>
        </xdr:cNvCxnSpPr>
      </xdr:nvCxnSpPr>
      <xdr:spPr>
        <a:xfrm flipH="1">
          <a:off x="5946775" y="2552065"/>
          <a:ext cx="3175" cy="53721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15</xdr:row>
      <xdr:rowOff>47626</xdr:rowOff>
    </xdr:from>
    <xdr:to>
      <xdr:col>13</xdr:col>
      <xdr:colOff>444500</xdr:colOff>
      <xdr:row>17</xdr:row>
      <xdr:rowOff>0</xdr:rowOff>
    </xdr:to>
    <xdr:sp macro="" textlink="">
      <xdr:nvSpPr>
        <xdr:cNvPr id="32" name="正方形/長方形 31">
          <a:extLst>
            <a:ext uri="{FF2B5EF4-FFF2-40B4-BE49-F238E27FC236}">
              <a16:creationId xmlns:a16="http://schemas.microsoft.com/office/drawing/2014/main" id="{00000000-0008-0000-0200-000020000000}"/>
            </a:ext>
          </a:extLst>
        </xdr:cNvPr>
        <xdr:cNvSpPr/>
      </xdr:nvSpPr>
      <xdr:spPr>
        <a:xfrm>
          <a:off x="6105525" y="2628900"/>
          <a:ext cx="2882900" cy="295275"/>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200" baseline="0">
              <a:solidFill>
                <a:srgbClr val="FF0000"/>
              </a:solidFill>
              <a:latin typeface="Arial" pitchFamily="34" charset="0"/>
              <a:cs typeface="Arial" pitchFamily="34" charset="0"/>
            </a:rPr>
            <a:t>(a)Cable Connected/DDC_5V detected</a:t>
          </a:r>
        </a:p>
      </xdr:txBody>
    </xdr:sp>
    <xdr:clientData/>
  </xdr:twoCellAnchor>
  <xdr:twoCellAnchor>
    <xdr:from>
      <xdr:col>6</xdr:col>
      <xdr:colOff>479426</xdr:colOff>
      <xdr:row>15</xdr:row>
      <xdr:rowOff>38100</xdr:rowOff>
    </xdr:from>
    <xdr:to>
      <xdr:col>9</xdr:col>
      <xdr:colOff>22226</xdr:colOff>
      <xdr:row>17</xdr:row>
      <xdr:rowOff>9525</xdr:rowOff>
    </xdr:to>
    <xdr:sp macro="" textlink="">
      <xdr:nvSpPr>
        <xdr:cNvPr id="33" name="正方形/長方形 32">
          <a:extLst>
            <a:ext uri="{FF2B5EF4-FFF2-40B4-BE49-F238E27FC236}">
              <a16:creationId xmlns:a16="http://schemas.microsoft.com/office/drawing/2014/main" id="{00000000-0008-0000-0200-000021000000}"/>
            </a:ext>
          </a:extLst>
        </xdr:cNvPr>
        <xdr:cNvSpPr/>
      </xdr:nvSpPr>
      <xdr:spPr>
        <a:xfrm>
          <a:off x="4222750" y="2619375"/>
          <a:ext cx="1600200" cy="314325"/>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aseline="0">
              <a:solidFill>
                <a:schemeClr val="accent1">
                  <a:lumMod val="75000"/>
                </a:schemeClr>
              </a:solidFill>
              <a:latin typeface="Arial" pitchFamily="34" charset="0"/>
              <a:cs typeface="Arial" pitchFamily="34" charset="0"/>
            </a:rPr>
            <a:t>Interrupt generated</a:t>
          </a:r>
        </a:p>
      </xdr:txBody>
    </xdr:sp>
    <xdr:clientData/>
  </xdr:twoCellAnchor>
  <xdr:twoCellAnchor>
    <xdr:from>
      <xdr:col>7</xdr:col>
      <xdr:colOff>180974</xdr:colOff>
      <xdr:row>21</xdr:row>
      <xdr:rowOff>107951</xdr:rowOff>
    </xdr:from>
    <xdr:to>
      <xdr:col>11</xdr:col>
      <xdr:colOff>114299</xdr:colOff>
      <xdr:row>23</xdr:row>
      <xdr:rowOff>88901</xdr:rowOff>
    </xdr:to>
    <xdr:sp macro="" textlink="">
      <xdr:nvSpPr>
        <xdr:cNvPr id="34" name="正方形/長方形 33">
          <a:extLst>
            <a:ext uri="{FF2B5EF4-FFF2-40B4-BE49-F238E27FC236}">
              <a16:creationId xmlns:a16="http://schemas.microsoft.com/office/drawing/2014/main" id="{00000000-0008-0000-0200-000022000000}"/>
            </a:ext>
          </a:extLst>
        </xdr:cNvPr>
        <xdr:cNvSpPr/>
      </xdr:nvSpPr>
      <xdr:spPr>
        <a:xfrm>
          <a:off x="4609465" y="3717925"/>
          <a:ext cx="26765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RS2:Init</a:t>
          </a:r>
          <a:r>
            <a:rPr kumimoji="1" lang="en-US" altLang="ja-JP" sz="1400" baseline="0">
              <a:solidFill>
                <a:sysClr val="windowText" lastClr="000000"/>
              </a:solidFill>
              <a:latin typeface="Arial" pitchFamily="34" charset="0"/>
              <a:cs typeface="Arial" pitchFamily="34" charset="0"/>
            </a:rPr>
            <a:t>ialization for Ready</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147637</xdr:colOff>
      <xdr:row>23</xdr:row>
      <xdr:rowOff>88901</xdr:rowOff>
    </xdr:from>
    <xdr:to>
      <xdr:col>9</xdr:col>
      <xdr:colOff>149225</xdr:colOff>
      <xdr:row>25</xdr:row>
      <xdr:rowOff>60325</xdr:rowOff>
    </xdr:to>
    <xdr:cxnSp macro="">
      <xdr:nvCxnSpPr>
        <xdr:cNvPr id="35" name="直線矢印コネクタ 34">
          <a:extLst>
            <a:ext uri="{FF2B5EF4-FFF2-40B4-BE49-F238E27FC236}">
              <a16:creationId xmlns:a16="http://schemas.microsoft.com/office/drawing/2014/main" id="{00000000-0008-0000-0200-000023000000}"/>
            </a:ext>
          </a:extLst>
        </xdr:cNvPr>
        <xdr:cNvCxnSpPr>
          <a:stCxn id="34" idx="2"/>
          <a:endCxn id="26" idx="0"/>
        </xdr:cNvCxnSpPr>
      </xdr:nvCxnSpPr>
      <xdr:spPr>
        <a:xfrm>
          <a:off x="5948045" y="4041775"/>
          <a:ext cx="1905"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600075</xdr:colOff>
      <xdr:row>35</xdr:row>
      <xdr:rowOff>123826</xdr:rowOff>
    </xdr:from>
    <xdr:to>
      <xdr:col>15</xdr:col>
      <xdr:colOff>228600</xdr:colOff>
      <xdr:row>35</xdr:row>
      <xdr:rowOff>127000</xdr:rowOff>
    </xdr:to>
    <xdr:cxnSp macro="">
      <xdr:nvCxnSpPr>
        <xdr:cNvPr id="36" name="直線矢印コネクタ 35">
          <a:extLst>
            <a:ext uri="{FF2B5EF4-FFF2-40B4-BE49-F238E27FC236}">
              <a16:creationId xmlns:a16="http://schemas.microsoft.com/office/drawing/2014/main" id="{00000000-0008-0000-0200-000024000000}"/>
            </a:ext>
          </a:extLst>
        </xdr:cNvPr>
        <xdr:cNvCxnSpPr>
          <a:endCxn id="5" idx="3"/>
        </xdr:cNvCxnSpPr>
      </xdr:nvCxnSpPr>
      <xdr:spPr>
        <a:xfrm flipH="1" flipV="1">
          <a:off x="7086600" y="6134100"/>
          <a:ext cx="3057525" cy="3175"/>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228600</xdr:colOff>
      <xdr:row>7</xdr:row>
      <xdr:rowOff>165100</xdr:rowOff>
    </xdr:from>
    <xdr:to>
      <xdr:col>15</xdr:col>
      <xdr:colOff>254000</xdr:colOff>
      <xdr:row>35</xdr:row>
      <xdr:rowOff>139700</xdr:rowOff>
    </xdr:to>
    <xdr:cxnSp macro="">
      <xdr:nvCxnSpPr>
        <xdr:cNvPr id="37" name="直線矢印コネクタ 36">
          <a:extLst>
            <a:ext uri="{FF2B5EF4-FFF2-40B4-BE49-F238E27FC236}">
              <a16:creationId xmlns:a16="http://schemas.microsoft.com/office/drawing/2014/main" id="{00000000-0008-0000-0200-000025000000}"/>
            </a:ext>
          </a:extLst>
        </xdr:cNvPr>
        <xdr:cNvCxnSpPr/>
      </xdr:nvCxnSpPr>
      <xdr:spPr>
        <a:xfrm flipV="1">
          <a:off x="10144125" y="1374775"/>
          <a:ext cx="25400" cy="477520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126999</xdr:colOff>
      <xdr:row>7</xdr:row>
      <xdr:rowOff>161926</xdr:rowOff>
    </xdr:from>
    <xdr:to>
      <xdr:col>15</xdr:col>
      <xdr:colOff>254000</xdr:colOff>
      <xdr:row>7</xdr:row>
      <xdr:rowOff>165100</xdr:rowOff>
    </xdr:to>
    <xdr:cxnSp macro="">
      <xdr:nvCxnSpPr>
        <xdr:cNvPr id="38" name="直線矢印コネクタ 37">
          <a:extLst>
            <a:ext uri="{FF2B5EF4-FFF2-40B4-BE49-F238E27FC236}">
              <a16:creationId xmlns:a16="http://schemas.microsoft.com/office/drawing/2014/main" id="{00000000-0008-0000-0200-000026000000}"/>
            </a:ext>
          </a:extLst>
        </xdr:cNvPr>
        <xdr:cNvCxnSpPr>
          <a:endCxn id="2" idx="3"/>
        </xdr:cNvCxnSpPr>
      </xdr:nvCxnSpPr>
      <xdr:spPr>
        <a:xfrm flipH="1" flipV="1">
          <a:off x="7298690" y="1371600"/>
          <a:ext cx="2870835"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301626</xdr:colOff>
      <xdr:row>36</xdr:row>
      <xdr:rowOff>19051</xdr:rowOff>
    </xdr:from>
    <xdr:to>
      <xdr:col>14</xdr:col>
      <xdr:colOff>647700</xdr:colOff>
      <xdr:row>37</xdr:row>
      <xdr:rowOff>88900</xdr:rowOff>
    </xdr:to>
    <xdr:sp macro="" textlink="">
      <xdr:nvSpPr>
        <xdr:cNvPr id="39" name="正方形/長方形 38">
          <a:extLst>
            <a:ext uri="{FF2B5EF4-FFF2-40B4-BE49-F238E27FC236}">
              <a16:creationId xmlns:a16="http://schemas.microsoft.com/office/drawing/2014/main" id="{00000000-0008-0000-0200-000027000000}"/>
            </a:ext>
          </a:extLst>
        </xdr:cNvPr>
        <xdr:cNvSpPr/>
      </xdr:nvSpPr>
      <xdr:spPr>
        <a:xfrm>
          <a:off x="7473950" y="6200775"/>
          <a:ext cx="2403475" cy="2413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c)Cable disconnected/DDC_5V cut off</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2</xdr:col>
      <xdr:colOff>215900</xdr:colOff>
      <xdr:row>47</xdr:row>
      <xdr:rowOff>98425</xdr:rowOff>
    </xdr:from>
    <xdr:to>
      <xdr:col>7</xdr:col>
      <xdr:colOff>393702</xdr:colOff>
      <xdr:row>47</xdr:row>
      <xdr:rowOff>98425</xdr:rowOff>
    </xdr:to>
    <xdr:cxnSp macro="">
      <xdr:nvCxnSpPr>
        <xdr:cNvPr id="40" name="直線矢印コネクタ 39">
          <a:extLst>
            <a:ext uri="{FF2B5EF4-FFF2-40B4-BE49-F238E27FC236}">
              <a16:creationId xmlns:a16="http://schemas.microsoft.com/office/drawing/2014/main" id="{00000000-0008-0000-0200-000028000000}"/>
            </a:ext>
          </a:extLst>
        </xdr:cNvPr>
        <xdr:cNvCxnSpPr/>
      </xdr:nvCxnSpPr>
      <xdr:spPr>
        <a:xfrm flipH="1">
          <a:off x="1216025" y="8166100"/>
          <a:ext cx="36068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381000</xdr:colOff>
      <xdr:row>33</xdr:row>
      <xdr:rowOff>107951</xdr:rowOff>
    </xdr:from>
    <xdr:to>
      <xdr:col>7</xdr:col>
      <xdr:colOff>203200</xdr:colOff>
      <xdr:row>35</xdr:row>
      <xdr:rowOff>0</xdr:rowOff>
    </xdr:to>
    <xdr:sp macro="" textlink="">
      <xdr:nvSpPr>
        <xdr:cNvPr id="42" name="正方形/長方形 41">
          <a:extLst>
            <a:ext uri="{FF2B5EF4-FFF2-40B4-BE49-F238E27FC236}">
              <a16:creationId xmlns:a16="http://schemas.microsoft.com/office/drawing/2014/main" id="{00000000-0008-0000-0200-00002A000000}"/>
            </a:ext>
          </a:extLst>
        </xdr:cNvPr>
        <xdr:cNvSpPr/>
      </xdr:nvSpPr>
      <xdr:spPr>
        <a:xfrm>
          <a:off x="2066925" y="5775325"/>
          <a:ext cx="2565400" cy="23495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d)Video Stop on HDMI(DDC_5V is kept)</a:t>
          </a:r>
        </a:p>
      </xdr:txBody>
    </xdr:sp>
    <xdr:clientData/>
  </xdr:twoCellAnchor>
  <xdr:twoCellAnchor>
    <xdr:from>
      <xdr:col>0</xdr:col>
      <xdr:colOff>177800</xdr:colOff>
      <xdr:row>21</xdr:row>
      <xdr:rowOff>76200</xdr:rowOff>
    </xdr:from>
    <xdr:to>
      <xdr:col>2</xdr:col>
      <xdr:colOff>279400</xdr:colOff>
      <xdr:row>21</xdr:row>
      <xdr:rowOff>76200</xdr:rowOff>
    </xdr:to>
    <xdr:cxnSp macro="">
      <xdr:nvCxnSpPr>
        <xdr:cNvPr id="44" name="直線矢印コネクタ 43">
          <a:extLst>
            <a:ext uri="{FF2B5EF4-FFF2-40B4-BE49-F238E27FC236}">
              <a16:creationId xmlns:a16="http://schemas.microsoft.com/office/drawing/2014/main" id="{00000000-0008-0000-0200-00002C000000}"/>
            </a:ext>
          </a:extLst>
        </xdr:cNvPr>
        <xdr:cNvCxnSpPr/>
      </xdr:nvCxnSpPr>
      <xdr:spPr>
        <a:xfrm flipH="1">
          <a:off x="177800" y="3686175"/>
          <a:ext cx="110172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304800</xdr:colOff>
      <xdr:row>19</xdr:row>
      <xdr:rowOff>57151</xdr:rowOff>
    </xdr:from>
    <xdr:to>
      <xdr:col>4</xdr:col>
      <xdr:colOff>546100</xdr:colOff>
      <xdr:row>20</xdr:row>
      <xdr:rowOff>76200</xdr:rowOff>
    </xdr:to>
    <xdr:sp macro="" textlink="">
      <xdr:nvSpPr>
        <xdr:cNvPr id="45" name="正方形/長方形 44">
          <a:extLst>
            <a:ext uri="{FF2B5EF4-FFF2-40B4-BE49-F238E27FC236}">
              <a16:creationId xmlns:a16="http://schemas.microsoft.com/office/drawing/2014/main" id="{00000000-0008-0000-0200-00002D000000}"/>
            </a:ext>
          </a:extLst>
        </xdr:cNvPr>
        <xdr:cNvSpPr/>
      </xdr:nvSpPr>
      <xdr:spPr>
        <a:xfrm>
          <a:off x="304800" y="3324225"/>
          <a:ext cx="2613025" cy="1905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c)Cable disconnected/DDC_5V cuit off</a:t>
          </a:r>
          <a:endParaRPr lang="ja-JP" altLang="ja-JP" sz="1000">
            <a:solidFill>
              <a:sysClr val="windowText" lastClr="000000"/>
            </a:solidFill>
            <a:effectLst/>
            <a:latin typeface="Arial" pitchFamily="34" charset="0"/>
            <a:cs typeface="Arial" pitchFamily="34" charset="0"/>
          </a:endParaRPr>
        </a:p>
      </xdr:txBody>
    </xdr:sp>
    <xdr:clientData/>
  </xdr:twoCellAnchor>
  <xdr:twoCellAnchor>
    <xdr:from>
      <xdr:col>0</xdr:col>
      <xdr:colOff>117475</xdr:colOff>
      <xdr:row>36</xdr:row>
      <xdr:rowOff>146051</xdr:rowOff>
    </xdr:from>
    <xdr:to>
      <xdr:col>3</xdr:col>
      <xdr:colOff>676275</xdr:colOff>
      <xdr:row>38</xdr:row>
      <xdr:rowOff>127001</xdr:rowOff>
    </xdr:to>
    <xdr:sp macro="" textlink="">
      <xdr:nvSpPr>
        <xdr:cNvPr id="47" name="正方形/長方形 46">
          <a:extLst>
            <a:ext uri="{FF2B5EF4-FFF2-40B4-BE49-F238E27FC236}">
              <a16:creationId xmlns:a16="http://schemas.microsoft.com/office/drawing/2014/main" id="{00000000-0008-0000-0200-00002F000000}"/>
            </a:ext>
          </a:extLst>
        </xdr:cNvPr>
        <xdr:cNvSpPr/>
      </xdr:nvSpPr>
      <xdr:spPr>
        <a:xfrm>
          <a:off x="117475" y="6327775"/>
          <a:ext cx="2244725"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2</xdr:col>
      <xdr:colOff>238125</xdr:colOff>
      <xdr:row>34</xdr:row>
      <xdr:rowOff>139700</xdr:rowOff>
    </xdr:from>
    <xdr:to>
      <xdr:col>2</xdr:col>
      <xdr:colOff>247650</xdr:colOff>
      <xdr:row>36</xdr:row>
      <xdr:rowOff>146051</xdr:rowOff>
    </xdr:to>
    <xdr:cxnSp macro="">
      <xdr:nvCxnSpPr>
        <xdr:cNvPr id="48" name="直線矢印コネクタ 47">
          <a:extLst>
            <a:ext uri="{FF2B5EF4-FFF2-40B4-BE49-F238E27FC236}">
              <a16:creationId xmlns:a16="http://schemas.microsoft.com/office/drawing/2014/main" id="{00000000-0008-0000-0200-000030000000}"/>
            </a:ext>
          </a:extLst>
        </xdr:cNvPr>
        <xdr:cNvCxnSpPr>
          <a:stCxn id="47" idx="0"/>
          <a:endCxn id="63" idx="2"/>
        </xdr:cNvCxnSpPr>
      </xdr:nvCxnSpPr>
      <xdr:spPr>
        <a:xfrm flipV="1">
          <a:off x="1238250" y="5978525"/>
          <a:ext cx="9525" cy="3492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393700</xdr:colOff>
      <xdr:row>17</xdr:row>
      <xdr:rowOff>165100</xdr:rowOff>
    </xdr:from>
    <xdr:to>
      <xdr:col>10</xdr:col>
      <xdr:colOff>584200</xdr:colOff>
      <xdr:row>19</xdr:row>
      <xdr:rowOff>146050</xdr:rowOff>
    </xdr:to>
    <xdr:sp macro="" textlink="">
      <xdr:nvSpPr>
        <xdr:cNvPr id="51" name="正方形/長方形 50">
          <a:extLst>
            <a:ext uri="{FF2B5EF4-FFF2-40B4-BE49-F238E27FC236}">
              <a16:creationId xmlns:a16="http://schemas.microsoft.com/office/drawing/2014/main" id="{00000000-0008-0000-0200-000033000000}"/>
            </a:ext>
          </a:extLst>
        </xdr:cNvPr>
        <xdr:cNvSpPr/>
      </xdr:nvSpPr>
      <xdr:spPr>
        <a:xfrm>
          <a:off x="4822825" y="3089275"/>
          <a:ext cx="2247900" cy="32385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a:solidFill>
                <a:sysClr val="windowText" lastClr="000000"/>
              </a:solidFill>
              <a:latin typeface="Arial" pitchFamily="34" charset="0"/>
              <a:cs typeface="Arial" pitchFamily="34" charset="0"/>
            </a:rPr>
            <a:t>RS_Int:Check</a:t>
          </a:r>
          <a:r>
            <a:rPr kumimoji="1" lang="en-US" altLang="ja-JP" sz="1400" baseline="0">
              <a:solidFill>
                <a:sysClr val="windowText" lastClr="000000"/>
              </a:solidFill>
              <a:latin typeface="Arial" pitchFamily="34" charset="0"/>
              <a:cs typeface="Arial" pitchFamily="34" charset="0"/>
            </a:rPr>
            <a:t> Interrupt</a:t>
          </a:r>
          <a:endParaRPr kumimoji="1" lang="ja-JP" altLang="en-US" sz="1400">
            <a:solidFill>
              <a:sysClr val="windowText" lastClr="000000"/>
            </a:solidFill>
            <a:latin typeface="Arial" pitchFamily="34" charset="0"/>
            <a:cs typeface="Arial" pitchFamily="34" charset="0"/>
          </a:endParaRPr>
        </a:p>
      </xdr:txBody>
    </xdr:sp>
    <xdr:clientData/>
  </xdr:twoCellAnchor>
  <xdr:twoCellAnchor>
    <xdr:from>
      <xdr:col>9</xdr:col>
      <xdr:colOff>146050</xdr:colOff>
      <xdr:row>19</xdr:row>
      <xdr:rowOff>146050</xdr:rowOff>
    </xdr:from>
    <xdr:to>
      <xdr:col>9</xdr:col>
      <xdr:colOff>147637</xdr:colOff>
      <xdr:row>21</xdr:row>
      <xdr:rowOff>107951</xdr:rowOff>
    </xdr:to>
    <xdr:cxnSp macro="">
      <xdr:nvCxnSpPr>
        <xdr:cNvPr id="52" name="直線矢印コネクタ 51">
          <a:extLst>
            <a:ext uri="{FF2B5EF4-FFF2-40B4-BE49-F238E27FC236}">
              <a16:creationId xmlns:a16="http://schemas.microsoft.com/office/drawing/2014/main" id="{00000000-0008-0000-0200-000034000000}"/>
            </a:ext>
          </a:extLst>
        </xdr:cNvPr>
        <xdr:cNvCxnSpPr>
          <a:stCxn id="51" idx="2"/>
          <a:endCxn id="34" idx="0"/>
        </xdr:cNvCxnSpPr>
      </xdr:nvCxnSpPr>
      <xdr:spPr>
        <a:xfrm>
          <a:off x="5946775" y="3413125"/>
          <a:ext cx="1270" cy="30480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558800</xdr:colOff>
      <xdr:row>25</xdr:row>
      <xdr:rowOff>152400</xdr:rowOff>
    </xdr:from>
    <xdr:to>
      <xdr:col>7</xdr:col>
      <xdr:colOff>101600</xdr:colOff>
      <xdr:row>29</xdr:row>
      <xdr:rowOff>63500</xdr:rowOff>
    </xdr:to>
    <xdr:sp macro="" textlink="">
      <xdr:nvSpPr>
        <xdr:cNvPr id="54" name="正方形/長方形 53">
          <a:extLst>
            <a:ext uri="{FF2B5EF4-FFF2-40B4-BE49-F238E27FC236}">
              <a16:creationId xmlns:a16="http://schemas.microsoft.com/office/drawing/2014/main" id="{00000000-0008-0000-0200-000036000000}"/>
            </a:ext>
          </a:extLst>
        </xdr:cNvPr>
        <xdr:cNvSpPr/>
      </xdr:nvSpPr>
      <xdr:spPr>
        <a:xfrm>
          <a:off x="2244725" y="4448175"/>
          <a:ext cx="2286000" cy="59690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RS4:MIPI Output Disable</a:t>
          </a:r>
          <a:endParaRPr kumimoji="1" lang="en-US" altLang="ja-JP" sz="1050">
            <a:solidFill>
              <a:sysClr val="windowText" lastClr="000000"/>
            </a:solidFill>
            <a:latin typeface="Arial" pitchFamily="34" charset="0"/>
            <a:cs typeface="Arial" pitchFamily="34" charset="0"/>
          </a:endParaRPr>
        </a:p>
        <a:p>
          <a:pPr algn="ctr"/>
          <a:r>
            <a:rPr kumimoji="1" lang="en-US" altLang="ja-JP" sz="1050">
              <a:solidFill>
                <a:sysClr val="windowText" lastClr="000000"/>
              </a:solidFill>
              <a:latin typeface="Arial" pitchFamily="34" charset="0"/>
              <a:cs typeface="Arial" pitchFamily="34" charset="0"/>
            </a:rPr>
            <a:t>Reset Display by H/W reset</a:t>
          </a:r>
        </a:p>
        <a:p>
          <a:pPr algn="ctr"/>
          <a:r>
            <a:rPr kumimoji="1" lang="en-US" altLang="ja-JP" sz="1050">
              <a:solidFill>
                <a:sysClr val="windowText" lastClr="000000"/>
              </a:solidFill>
              <a:latin typeface="Arial" pitchFamily="34" charset="0"/>
              <a:cs typeface="Arial" pitchFamily="34" charset="0"/>
            </a:rPr>
            <a:t>MIPI output disable</a:t>
          </a:r>
          <a:endParaRPr kumimoji="1" lang="ja-JP" altLang="en-US" sz="1050">
            <a:solidFill>
              <a:sysClr val="windowText" lastClr="000000"/>
            </a:solidFill>
            <a:latin typeface="Arial" pitchFamily="34" charset="0"/>
            <a:cs typeface="Arial" pitchFamily="34" charset="0"/>
          </a:endParaRPr>
        </a:p>
      </xdr:txBody>
    </xdr:sp>
    <xdr:clientData/>
  </xdr:twoCellAnchor>
  <xdr:twoCellAnchor>
    <xdr:from>
      <xdr:col>1</xdr:col>
      <xdr:colOff>152400</xdr:colOff>
      <xdr:row>30</xdr:row>
      <xdr:rowOff>165100</xdr:rowOff>
    </xdr:from>
    <xdr:to>
      <xdr:col>3</xdr:col>
      <xdr:colOff>342900</xdr:colOff>
      <xdr:row>34</xdr:row>
      <xdr:rowOff>139700</xdr:rowOff>
    </xdr:to>
    <xdr:grpSp>
      <xdr:nvGrpSpPr>
        <xdr:cNvPr id="62" name="グループ化 61">
          <a:extLst>
            <a:ext uri="{FF2B5EF4-FFF2-40B4-BE49-F238E27FC236}">
              <a16:creationId xmlns:a16="http://schemas.microsoft.com/office/drawing/2014/main" id="{00000000-0008-0000-0200-00003E000000}"/>
            </a:ext>
          </a:extLst>
        </xdr:cNvPr>
        <xdr:cNvGrpSpPr/>
      </xdr:nvGrpSpPr>
      <xdr:grpSpPr>
        <a:xfrm>
          <a:off x="469900" y="5499100"/>
          <a:ext cx="1562100" cy="685800"/>
          <a:chOff x="12369800" y="3454400"/>
          <a:chExt cx="1562100" cy="685800"/>
        </a:xfrm>
      </xdr:grpSpPr>
      <xdr:sp macro="" textlink="">
        <xdr:nvSpPr>
          <xdr:cNvPr id="63" name="ひし形 62">
            <a:extLst>
              <a:ext uri="{FF2B5EF4-FFF2-40B4-BE49-F238E27FC236}">
                <a16:creationId xmlns:a16="http://schemas.microsoft.com/office/drawing/2014/main" id="{00000000-0008-0000-0200-00003F000000}"/>
              </a:ext>
            </a:extLst>
          </xdr:cNvPr>
          <xdr:cNvSpPr/>
        </xdr:nvSpPr>
        <xdr:spPr>
          <a:xfrm>
            <a:off x="12369800" y="3454400"/>
            <a:ext cx="1562100" cy="6858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4" name="テキスト ボックス 63">
            <a:extLst>
              <a:ext uri="{FF2B5EF4-FFF2-40B4-BE49-F238E27FC236}">
                <a16:creationId xmlns:a16="http://schemas.microsoft.com/office/drawing/2014/main" id="{00000000-0008-0000-0200-000040000000}"/>
              </a:ext>
            </a:extLst>
          </xdr:cNvPr>
          <xdr:cNvSpPr txBox="1"/>
        </xdr:nvSpPr>
        <xdr:spPr>
          <a:xfrm>
            <a:off x="12623800" y="3594100"/>
            <a:ext cx="1023550" cy="4167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en-US" altLang="ja-JP" sz="1100">
                <a:solidFill>
                  <a:schemeClr val="bg1"/>
                </a:solidFill>
                <a:latin typeface="Arial" pitchFamily="34" charset="0"/>
                <a:cs typeface="Arial" pitchFamily="34" charset="0"/>
              </a:rPr>
              <a:t>Auto Disp Off</a:t>
            </a:r>
          </a:p>
          <a:p>
            <a:pPr algn="ctr"/>
            <a:r>
              <a:rPr kumimoji="1" lang="en-US" altLang="ja-JP" sz="1100">
                <a:solidFill>
                  <a:schemeClr val="bg1"/>
                </a:solidFill>
                <a:latin typeface="Arial" pitchFamily="34" charset="0"/>
                <a:cs typeface="Arial" pitchFamily="34" charset="0"/>
              </a:rPr>
              <a:t>Required?</a:t>
            </a:r>
            <a:endParaRPr kumimoji="1" lang="ja-JP" altLang="en-US" sz="1100">
              <a:solidFill>
                <a:schemeClr val="bg1"/>
              </a:solidFill>
              <a:latin typeface="Arial" pitchFamily="34" charset="0"/>
              <a:cs typeface="Arial" pitchFamily="34" charset="0"/>
            </a:endParaRPr>
          </a:p>
        </xdr:txBody>
      </xdr:sp>
    </xdr:grpSp>
    <xdr:clientData/>
  </xdr:twoCellAnchor>
  <xdr:twoCellAnchor>
    <xdr:from>
      <xdr:col>2</xdr:col>
      <xdr:colOff>247650</xdr:colOff>
      <xdr:row>28</xdr:row>
      <xdr:rowOff>152400</xdr:rowOff>
    </xdr:from>
    <xdr:to>
      <xdr:col>2</xdr:col>
      <xdr:colOff>247650</xdr:colOff>
      <xdr:row>30</xdr:row>
      <xdr:rowOff>165100</xdr:rowOff>
    </xdr:to>
    <xdr:cxnSp macro="">
      <xdr:nvCxnSpPr>
        <xdr:cNvPr id="67" name="直線矢印コネクタ 66">
          <a:extLst>
            <a:ext uri="{FF2B5EF4-FFF2-40B4-BE49-F238E27FC236}">
              <a16:creationId xmlns:a16="http://schemas.microsoft.com/office/drawing/2014/main" id="{00000000-0008-0000-0200-000043000000}"/>
            </a:ext>
          </a:extLst>
        </xdr:cNvPr>
        <xdr:cNvCxnSpPr>
          <a:stCxn id="63" idx="0"/>
          <a:endCxn id="115" idx="2"/>
        </xdr:cNvCxnSpPr>
      </xdr:nvCxnSpPr>
      <xdr:spPr>
        <a:xfrm flipV="1">
          <a:off x="1247775" y="4962525"/>
          <a:ext cx="0" cy="355600"/>
        </a:xfrm>
        <a:prstGeom prst="straightConnector1">
          <a:avLst/>
        </a:prstGeom>
        <a:ln w="38100">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330200</xdr:colOff>
      <xdr:row>29</xdr:row>
      <xdr:rowOff>63500</xdr:rowOff>
    </xdr:from>
    <xdr:to>
      <xdr:col>5</xdr:col>
      <xdr:colOff>330200</xdr:colOff>
      <xdr:row>32</xdr:row>
      <xdr:rowOff>165100</xdr:rowOff>
    </xdr:to>
    <xdr:cxnSp macro="">
      <xdr:nvCxnSpPr>
        <xdr:cNvPr id="71" name="直線矢印コネクタ 70">
          <a:extLst>
            <a:ext uri="{FF2B5EF4-FFF2-40B4-BE49-F238E27FC236}">
              <a16:creationId xmlns:a16="http://schemas.microsoft.com/office/drawing/2014/main" id="{00000000-0008-0000-0200-000047000000}"/>
            </a:ext>
          </a:extLst>
        </xdr:cNvPr>
        <xdr:cNvCxnSpPr>
          <a:endCxn id="54" idx="2"/>
        </xdr:cNvCxnSpPr>
      </xdr:nvCxnSpPr>
      <xdr:spPr>
        <a:xfrm flipV="1">
          <a:off x="3387725" y="5045075"/>
          <a:ext cx="0" cy="6159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152400</xdr:colOff>
      <xdr:row>32</xdr:row>
      <xdr:rowOff>152400</xdr:rowOff>
    </xdr:from>
    <xdr:to>
      <xdr:col>3</xdr:col>
      <xdr:colOff>342900</xdr:colOff>
      <xdr:row>32</xdr:row>
      <xdr:rowOff>152400</xdr:rowOff>
    </xdr:to>
    <xdr:cxnSp macro="">
      <xdr:nvCxnSpPr>
        <xdr:cNvPr id="75" name="直線矢印コネクタ 74">
          <a:extLst>
            <a:ext uri="{FF2B5EF4-FFF2-40B4-BE49-F238E27FC236}">
              <a16:creationId xmlns:a16="http://schemas.microsoft.com/office/drawing/2014/main" id="{00000000-0008-0000-0200-00004B000000}"/>
            </a:ext>
          </a:extLst>
        </xdr:cNvPr>
        <xdr:cNvCxnSpPr>
          <a:stCxn id="63" idx="1"/>
          <a:endCxn id="63" idx="3"/>
        </xdr:cNvCxnSpPr>
      </xdr:nvCxnSpPr>
      <xdr:spPr>
        <a:xfrm>
          <a:off x="466725" y="5648325"/>
          <a:ext cx="15621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254000</xdr:colOff>
      <xdr:row>31</xdr:row>
      <xdr:rowOff>63500</xdr:rowOff>
    </xdr:from>
    <xdr:ext cx="406400" cy="254557"/>
    <xdr:sp macro="" textlink="">
      <xdr:nvSpPr>
        <xdr:cNvPr id="80" name="テキスト ボックス 79">
          <a:extLst>
            <a:ext uri="{FF2B5EF4-FFF2-40B4-BE49-F238E27FC236}">
              <a16:creationId xmlns:a16="http://schemas.microsoft.com/office/drawing/2014/main" id="{00000000-0008-0000-0200-000050000000}"/>
            </a:ext>
          </a:extLst>
        </xdr:cNvPr>
        <xdr:cNvSpPr txBox="1"/>
      </xdr:nvSpPr>
      <xdr:spPr>
        <a:xfrm>
          <a:off x="254000" y="5387975"/>
          <a:ext cx="40640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solidFill>
                <a:schemeClr val="tx2">
                  <a:lumMod val="60000"/>
                  <a:lumOff val="40000"/>
                </a:schemeClr>
              </a:solidFill>
              <a:latin typeface="Arial" pitchFamily="34" charset="0"/>
              <a:cs typeface="Arial" pitchFamily="34" charset="0"/>
            </a:rPr>
            <a:t>No</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oneCellAnchor>
    <xdr:from>
      <xdr:col>2</xdr:col>
      <xdr:colOff>266700</xdr:colOff>
      <xdr:row>29</xdr:row>
      <xdr:rowOff>114300</xdr:rowOff>
    </xdr:from>
    <xdr:ext cx="427746" cy="254557"/>
    <xdr:sp macro="" textlink="">
      <xdr:nvSpPr>
        <xdr:cNvPr id="81" name="テキスト ボックス 80">
          <a:extLst>
            <a:ext uri="{FF2B5EF4-FFF2-40B4-BE49-F238E27FC236}">
              <a16:creationId xmlns:a16="http://schemas.microsoft.com/office/drawing/2014/main" id="{00000000-0008-0000-0200-000051000000}"/>
            </a:ext>
          </a:extLst>
        </xdr:cNvPr>
        <xdr:cNvSpPr txBox="1"/>
      </xdr:nvSpPr>
      <xdr:spPr>
        <a:xfrm>
          <a:off x="1266825" y="5095875"/>
          <a:ext cx="427355"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tx2">
                  <a:lumMod val="60000"/>
                  <a:lumOff val="40000"/>
                </a:schemeClr>
              </a:solidFill>
              <a:latin typeface="Arial" pitchFamily="34" charset="0"/>
              <a:cs typeface="Arial" pitchFamily="34" charset="0"/>
            </a:rPr>
            <a:t>Yes</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twoCellAnchor>
    <xdr:from>
      <xdr:col>2</xdr:col>
      <xdr:colOff>12700</xdr:colOff>
      <xdr:row>10</xdr:row>
      <xdr:rowOff>152400</xdr:rowOff>
    </xdr:from>
    <xdr:to>
      <xdr:col>6</xdr:col>
      <xdr:colOff>127000</xdr:colOff>
      <xdr:row>14</xdr:row>
      <xdr:rowOff>104774</xdr:rowOff>
    </xdr:to>
    <xdr:sp macro="" textlink="">
      <xdr:nvSpPr>
        <xdr:cNvPr id="95" name="正方形/長方形 94">
          <a:extLst>
            <a:ext uri="{FF2B5EF4-FFF2-40B4-BE49-F238E27FC236}">
              <a16:creationId xmlns:a16="http://schemas.microsoft.com/office/drawing/2014/main" id="{00000000-0008-0000-0200-00005F000000}"/>
            </a:ext>
          </a:extLst>
        </xdr:cNvPr>
        <xdr:cNvSpPr/>
      </xdr:nvSpPr>
      <xdr:spPr>
        <a:xfrm>
          <a:off x="1012825" y="1876425"/>
          <a:ext cx="2857500" cy="63754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RS5:MIPI</a:t>
          </a:r>
          <a:r>
            <a:rPr kumimoji="1" lang="en-US" altLang="ja-JP" sz="1400" baseline="0">
              <a:solidFill>
                <a:sysClr val="windowText" lastClr="000000"/>
              </a:solidFill>
              <a:latin typeface="Arial" pitchFamily="34" charset="0"/>
              <a:cs typeface="Arial" pitchFamily="34" charset="0"/>
            </a:rPr>
            <a:t> Output Disable &amp; Sleep</a:t>
          </a:r>
          <a:endParaRPr kumimoji="1" lang="en-US" altLang="ja-JP" sz="1400">
            <a:solidFill>
              <a:sysClr val="windowText" lastClr="000000"/>
            </a:solidFill>
            <a:latin typeface="Arial" pitchFamily="34" charset="0"/>
            <a:cs typeface="Arial" pitchFamily="34" charset="0"/>
          </a:endParaRPr>
        </a:p>
        <a:p>
          <a:pPr algn="ctr"/>
          <a:r>
            <a:rPr kumimoji="1" lang="en-US" altLang="ja-JP" sz="1050">
              <a:solidFill>
                <a:sysClr val="windowText" lastClr="000000"/>
              </a:solidFill>
              <a:latin typeface="Arial" pitchFamily="34" charset="0"/>
              <a:cs typeface="Arial" pitchFamily="34" charset="0"/>
            </a:rPr>
            <a:t>Reset Display by H/W reset</a:t>
          </a:r>
        </a:p>
        <a:p>
          <a:pPr algn="ctr"/>
          <a:r>
            <a:rPr kumimoji="1" lang="en-US" altLang="ja-JP" sz="1050">
              <a:solidFill>
                <a:sysClr val="windowText" lastClr="000000"/>
              </a:solidFill>
              <a:latin typeface="Arial" pitchFamily="34" charset="0"/>
              <a:cs typeface="Arial" pitchFamily="34" charset="0"/>
            </a:rPr>
            <a:t>MIPI</a:t>
          </a:r>
          <a:r>
            <a:rPr kumimoji="1" lang="en-US" altLang="ja-JP" sz="1050" baseline="0">
              <a:solidFill>
                <a:sysClr val="windowText" lastClr="000000"/>
              </a:solidFill>
              <a:latin typeface="Arial" pitchFamily="34" charset="0"/>
              <a:cs typeface="Arial" pitchFamily="34" charset="0"/>
            </a:rPr>
            <a:t> output disalbe,Sleep</a:t>
          </a:r>
        </a:p>
        <a:p>
          <a:pPr algn="ctr"/>
          <a:endParaRPr kumimoji="1" lang="ja-JP" altLang="en-US" sz="1050">
            <a:solidFill>
              <a:sysClr val="windowText" lastClr="000000"/>
            </a:solidFill>
            <a:latin typeface="Arial" pitchFamily="34" charset="0"/>
            <a:cs typeface="Arial" pitchFamily="34" charset="0"/>
          </a:endParaRPr>
        </a:p>
      </xdr:txBody>
    </xdr:sp>
    <xdr:clientData/>
  </xdr:twoCellAnchor>
  <xdr:twoCellAnchor>
    <xdr:from>
      <xdr:col>6</xdr:col>
      <xdr:colOff>127000</xdr:colOff>
      <xdr:row>12</xdr:row>
      <xdr:rowOff>127001</xdr:rowOff>
    </xdr:from>
    <xdr:to>
      <xdr:col>7</xdr:col>
      <xdr:colOff>406400</xdr:colOff>
      <xdr:row>12</xdr:row>
      <xdr:rowOff>128587</xdr:rowOff>
    </xdr:to>
    <xdr:cxnSp macro="">
      <xdr:nvCxnSpPr>
        <xdr:cNvPr id="96" name="直線矢印コネクタ 95">
          <a:extLst>
            <a:ext uri="{FF2B5EF4-FFF2-40B4-BE49-F238E27FC236}">
              <a16:creationId xmlns:a16="http://schemas.microsoft.com/office/drawing/2014/main" id="{00000000-0008-0000-0200-000060000000}"/>
            </a:ext>
          </a:extLst>
        </xdr:cNvPr>
        <xdr:cNvCxnSpPr>
          <a:stCxn id="95" idx="3"/>
        </xdr:cNvCxnSpPr>
      </xdr:nvCxnSpPr>
      <xdr:spPr>
        <a:xfrm flipV="1">
          <a:off x="3870325" y="2193925"/>
          <a:ext cx="965200" cy="127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12</xdr:row>
      <xdr:rowOff>128587</xdr:rowOff>
    </xdr:from>
    <xdr:to>
      <xdr:col>2</xdr:col>
      <xdr:colOff>12700</xdr:colOff>
      <xdr:row>12</xdr:row>
      <xdr:rowOff>128587</xdr:rowOff>
    </xdr:to>
    <xdr:cxnSp macro="">
      <xdr:nvCxnSpPr>
        <xdr:cNvPr id="105" name="直線矢印コネクタ 104">
          <a:extLst>
            <a:ext uri="{FF2B5EF4-FFF2-40B4-BE49-F238E27FC236}">
              <a16:creationId xmlns:a16="http://schemas.microsoft.com/office/drawing/2014/main" id="{00000000-0008-0000-0200-000069000000}"/>
            </a:ext>
          </a:extLst>
        </xdr:cNvPr>
        <xdr:cNvCxnSpPr>
          <a:endCxn id="95" idx="1"/>
        </xdr:cNvCxnSpPr>
      </xdr:nvCxnSpPr>
      <xdr:spPr>
        <a:xfrm>
          <a:off x="190500" y="2195195"/>
          <a:ext cx="822325" cy="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190500</xdr:colOff>
      <xdr:row>12</xdr:row>
      <xdr:rowOff>127000</xdr:rowOff>
    </xdr:from>
    <xdr:to>
      <xdr:col>0</xdr:col>
      <xdr:colOff>196850</xdr:colOff>
      <xdr:row>32</xdr:row>
      <xdr:rowOff>165100</xdr:rowOff>
    </xdr:to>
    <xdr:cxnSp macro="">
      <xdr:nvCxnSpPr>
        <xdr:cNvPr id="108" name="直線矢印コネクタ 107">
          <a:extLst>
            <a:ext uri="{FF2B5EF4-FFF2-40B4-BE49-F238E27FC236}">
              <a16:creationId xmlns:a16="http://schemas.microsoft.com/office/drawing/2014/main" id="{00000000-0008-0000-0200-00006C000000}"/>
            </a:ext>
          </a:extLst>
        </xdr:cNvPr>
        <xdr:cNvCxnSpPr/>
      </xdr:nvCxnSpPr>
      <xdr:spPr>
        <a:xfrm flipH="1" flipV="1">
          <a:off x="190500" y="2193925"/>
          <a:ext cx="6350" cy="346710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317500</xdr:colOff>
      <xdr:row>26</xdr:row>
      <xdr:rowOff>76200</xdr:rowOff>
    </xdr:from>
    <xdr:to>
      <xdr:col>3</xdr:col>
      <xdr:colOff>177800</xdr:colOff>
      <xdr:row>28</xdr:row>
      <xdr:rowOff>152400</xdr:rowOff>
    </xdr:to>
    <xdr:sp macro="" textlink="">
      <xdr:nvSpPr>
        <xdr:cNvPr id="115" name="正方形/長方形 114">
          <a:extLst>
            <a:ext uri="{FF2B5EF4-FFF2-40B4-BE49-F238E27FC236}">
              <a16:creationId xmlns:a16="http://schemas.microsoft.com/office/drawing/2014/main" id="{00000000-0008-0000-0200-000073000000}"/>
            </a:ext>
          </a:extLst>
        </xdr:cNvPr>
        <xdr:cNvSpPr/>
      </xdr:nvSpPr>
      <xdr:spPr>
        <a:xfrm>
          <a:off x="631825" y="4543425"/>
          <a:ext cx="1231900" cy="419100"/>
        </a:xfrm>
        <a:prstGeom prst="rect">
          <a:avLst/>
        </a:prstGeom>
        <a:solidFill>
          <a:schemeClr val="accent5">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kumimoji="1" lang="en-US" altLang="ja-JP" sz="1400">
              <a:solidFill>
                <a:sysClr val="windowText" lastClr="000000"/>
              </a:solidFill>
              <a:latin typeface="Arial" pitchFamily="34" charset="0"/>
              <a:cs typeface="Arial" pitchFamily="34" charset="0"/>
            </a:rPr>
            <a:t>RS_DO:</a:t>
          </a:r>
        </a:p>
        <a:p>
          <a:pPr algn="ctr"/>
          <a:r>
            <a:rPr kumimoji="1" lang="en-US" altLang="ja-JP" sz="1050">
              <a:solidFill>
                <a:sysClr val="windowText" lastClr="000000"/>
              </a:solidFill>
              <a:latin typeface="Arial" pitchFamily="34" charset="0"/>
              <a:cs typeface="Arial" pitchFamily="34" charset="0"/>
            </a:rPr>
            <a:t>Auto DispOff</a:t>
          </a:r>
        </a:p>
      </xdr:txBody>
    </xdr:sp>
    <xdr:clientData/>
  </xdr:twoCellAnchor>
  <xdr:oneCellAnchor>
    <xdr:from>
      <xdr:col>3</xdr:col>
      <xdr:colOff>241300</xdr:colOff>
      <xdr:row>31</xdr:row>
      <xdr:rowOff>63500</xdr:rowOff>
    </xdr:from>
    <xdr:ext cx="365036" cy="254557"/>
    <xdr:sp macro="" textlink="">
      <xdr:nvSpPr>
        <xdr:cNvPr id="125" name="テキスト ボックス 124">
          <a:extLst>
            <a:ext uri="{FF2B5EF4-FFF2-40B4-BE49-F238E27FC236}">
              <a16:creationId xmlns:a16="http://schemas.microsoft.com/office/drawing/2014/main" id="{00000000-0008-0000-0200-00007D000000}"/>
            </a:ext>
          </a:extLst>
        </xdr:cNvPr>
        <xdr:cNvSpPr txBox="1"/>
      </xdr:nvSpPr>
      <xdr:spPr>
        <a:xfrm>
          <a:off x="1927225" y="5387975"/>
          <a:ext cx="364490" cy="254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solidFill>
                <a:schemeClr val="tx2">
                  <a:lumMod val="60000"/>
                  <a:lumOff val="40000"/>
                </a:schemeClr>
              </a:solidFill>
              <a:latin typeface="Arial" pitchFamily="34" charset="0"/>
              <a:cs typeface="Arial" pitchFamily="34" charset="0"/>
            </a:rPr>
            <a:t>No</a:t>
          </a:r>
          <a:endParaRPr kumimoji="1" lang="ja-JP" altLang="en-US" sz="1100">
            <a:solidFill>
              <a:schemeClr val="tx2">
                <a:lumMod val="60000"/>
                <a:lumOff val="40000"/>
              </a:schemeClr>
            </a:solidFill>
            <a:latin typeface="Arial" pitchFamily="34" charset="0"/>
            <a:cs typeface="Arial" pitchFamily="34" charset="0"/>
          </a:endParaRPr>
        </a:p>
      </xdr:txBody>
    </xdr:sp>
    <xdr:clientData/>
  </xdr:oneCellAnchor>
  <xdr:twoCellAnchor>
    <xdr:from>
      <xdr:col>3</xdr:col>
      <xdr:colOff>177800</xdr:colOff>
      <xdr:row>27</xdr:row>
      <xdr:rowOff>107950</xdr:rowOff>
    </xdr:from>
    <xdr:to>
      <xdr:col>3</xdr:col>
      <xdr:colOff>558800</xdr:colOff>
      <xdr:row>27</xdr:row>
      <xdr:rowOff>114300</xdr:rowOff>
    </xdr:to>
    <xdr:cxnSp macro="">
      <xdr:nvCxnSpPr>
        <xdr:cNvPr id="126" name="直線矢印コネクタ 125">
          <a:extLst>
            <a:ext uri="{FF2B5EF4-FFF2-40B4-BE49-F238E27FC236}">
              <a16:creationId xmlns:a16="http://schemas.microsoft.com/office/drawing/2014/main" id="{00000000-0008-0000-0200-00007E000000}"/>
            </a:ext>
          </a:extLst>
        </xdr:cNvPr>
        <xdr:cNvCxnSpPr>
          <a:stCxn id="115" idx="3"/>
          <a:endCxn id="54" idx="1"/>
        </xdr:cNvCxnSpPr>
      </xdr:nvCxnSpPr>
      <xdr:spPr>
        <a:xfrm flipV="1">
          <a:off x="1863725" y="4746625"/>
          <a:ext cx="381000" cy="6350"/>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24</xdr:row>
      <xdr:rowOff>6351</xdr:rowOff>
    </xdr:from>
    <xdr:to>
      <xdr:col>6</xdr:col>
      <xdr:colOff>609600</xdr:colOff>
      <xdr:row>25</xdr:row>
      <xdr:rowOff>76200</xdr:rowOff>
    </xdr:to>
    <xdr:sp macro="" textlink="">
      <xdr:nvSpPr>
        <xdr:cNvPr id="129" name="正方形/長方形 128">
          <a:extLst>
            <a:ext uri="{FF2B5EF4-FFF2-40B4-BE49-F238E27FC236}">
              <a16:creationId xmlns:a16="http://schemas.microsoft.com/office/drawing/2014/main" id="{00000000-0008-0000-0200-000081000000}"/>
            </a:ext>
          </a:extLst>
        </xdr:cNvPr>
        <xdr:cNvSpPr/>
      </xdr:nvSpPr>
      <xdr:spPr>
        <a:xfrm>
          <a:off x="1787525" y="4130675"/>
          <a:ext cx="2565400" cy="2413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kumimoji="1" lang="en-US" altLang="ja-JP" sz="1000" baseline="0">
              <a:solidFill>
                <a:sysClr val="windowText" lastClr="000000"/>
              </a:solidFill>
              <a:effectLst/>
              <a:latin typeface="+mn-lt"/>
              <a:ea typeface="+mn-ea"/>
              <a:cs typeface="+mn-cs"/>
            </a:rPr>
            <a:t>(</a:t>
          </a:r>
          <a:r>
            <a:rPr kumimoji="1" lang="en-US" altLang="ja-JP" sz="1000" baseline="0">
              <a:solidFill>
                <a:sysClr val="windowText" lastClr="000000"/>
              </a:solidFill>
              <a:effectLst/>
              <a:latin typeface="Arial" pitchFamily="34" charset="0"/>
              <a:ea typeface="+mn-ea"/>
              <a:cs typeface="Arial" pitchFamily="34" charset="0"/>
            </a:rPr>
            <a:t>d)Video Stop on HDMI(DDC_5V is kept)</a:t>
          </a:r>
        </a:p>
      </xdr:txBody>
    </xdr:sp>
    <xdr:clientData/>
  </xdr:twoCellAnchor>
  <xdr:twoCellAnchor>
    <xdr:from>
      <xdr:col>7</xdr:col>
      <xdr:colOff>101600</xdr:colOff>
      <xdr:row>27</xdr:row>
      <xdr:rowOff>104776</xdr:rowOff>
    </xdr:from>
    <xdr:to>
      <xdr:col>7</xdr:col>
      <xdr:colOff>406400</xdr:colOff>
      <xdr:row>27</xdr:row>
      <xdr:rowOff>107950</xdr:rowOff>
    </xdr:to>
    <xdr:cxnSp macro="">
      <xdr:nvCxnSpPr>
        <xdr:cNvPr id="130" name="直線矢印コネクタ 129">
          <a:extLst>
            <a:ext uri="{FF2B5EF4-FFF2-40B4-BE49-F238E27FC236}">
              <a16:creationId xmlns:a16="http://schemas.microsoft.com/office/drawing/2014/main" id="{00000000-0008-0000-0200-000082000000}"/>
            </a:ext>
          </a:extLst>
        </xdr:cNvPr>
        <xdr:cNvCxnSpPr>
          <a:stCxn id="54" idx="3"/>
        </xdr:cNvCxnSpPr>
      </xdr:nvCxnSpPr>
      <xdr:spPr>
        <a:xfrm flipV="1">
          <a:off x="4530725" y="4743450"/>
          <a:ext cx="304800" cy="31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203200</xdr:colOff>
      <xdr:row>32</xdr:row>
      <xdr:rowOff>152400</xdr:rowOff>
    </xdr:from>
    <xdr:to>
      <xdr:col>1</xdr:col>
      <xdr:colOff>152400</xdr:colOff>
      <xdr:row>32</xdr:row>
      <xdr:rowOff>152400</xdr:rowOff>
    </xdr:to>
    <xdr:cxnSp macro="">
      <xdr:nvCxnSpPr>
        <xdr:cNvPr id="136" name="直線矢印コネクタ 135">
          <a:extLst>
            <a:ext uri="{FF2B5EF4-FFF2-40B4-BE49-F238E27FC236}">
              <a16:creationId xmlns:a16="http://schemas.microsoft.com/office/drawing/2014/main" id="{00000000-0008-0000-0200-000088000000}"/>
            </a:ext>
          </a:extLst>
        </xdr:cNvPr>
        <xdr:cNvCxnSpPr>
          <a:stCxn id="63" idx="1"/>
        </xdr:cNvCxnSpPr>
      </xdr:nvCxnSpPr>
      <xdr:spPr>
        <a:xfrm flipH="1">
          <a:off x="203200" y="5648325"/>
          <a:ext cx="263525"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342900</xdr:colOff>
      <xdr:row>32</xdr:row>
      <xdr:rowOff>152400</xdr:rowOff>
    </xdr:from>
    <xdr:to>
      <xdr:col>5</xdr:col>
      <xdr:colOff>330200</xdr:colOff>
      <xdr:row>32</xdr:row>
      <xdr:rowOff>152400</xdr:rowOff>
    </xdr:to>
    <xdr:cxnSp macro="">
      <xdr:nvCxnSpPr>
        <xdr:cNvPr id="139" name="直線矢印コネクタ 138">
          <a:extLst>
            <a:ext uri="{FF2B5EF4-FFF2-40B4-BE49-F238E27FC236}">
              <a16:creationId xmlns:a16="http://schemas.microsoft.com/office/drawing/2014/main" id="{00000000-0008-0000-0200-00008B000000}"/>
            </a:ext>
          </a:extLst>
        </xdr:cNvPr>
        <xdr:cNvCxnSpPr>
          <a:endCxn id="63" idx="3"/>
        </xdr:cNvCxnSpPr>
      </xdr:nvCxnSpPr>
      <xdr:spPr>
        <a:xfrm flipH="1">
          <a:off x="2028825" y="5648325"/>
          <a:ext cx="1358900" cy="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247650</xdr:colOff>
      <xdr:row>21</xdr:row>
      <xdr:rowOff>50800</xdr:rowOff>
    </xdr:from>
    <xdr:to>
      <xdr:col>2</xdr:col>
      <xdr:colOff>266700</xdr:colOff>
      <xdr:row>26</xdr:row>
      <xdr:rowOff>76200</xdr:rowOff>
    </xdr:to>
    <xdr:cxnSp macro="">
      <xdr:nvCxnSpPr>
        <xdr:cNvPr id="151" name="直線矢印コネクタ 150">
          <a:extLst>
            <a:ext uri="{FF2B5EF4-FFF2-40B4-BE49-F238E27FC236}">
              <a16:creationId xmlns:a16="http://schemas.microsoft.com/office/drawing/2014/main" id="{00000000-0008-0000-0200-000097000000}"/>
            </a:ext>
          </a:extLst>
        </xdr:cNvPr>
        <xdr:cNvCxnSpPr>
          <a:endCxn id="115" idx="0"/>
        </xdr:cNvCxnSpPr>
      </xdr:nvCxnSpPr>
      <xdr:spPr>
        <a:xfrm flipH="1">
          <a:off x="1247775" y="3660775"/>
          <a:ext cx="19050" cy="882650"/>
        </a:xfrm>
        <a:prstGeom prst="straightConnector1">
          <a:avLst/>
        </a:prstGeom>
        <a:ln w="38100">
          <a:tail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xdr:colOff>
      <xdr:row>0</xdr:row>
      <xdr:rowOff>95250</xdr:rowOff>
    </xdr:from>
    <xdr:to>
      <xdr:col>3</xdr:col>
      <xdr:colOff>419100</xdr:colOff>
      <xdr:row>1</xdr:row>
      <xdr:rowOff>133350</xdr:rowOff>
    </xdr:to>
    <xdr:sp macro="" textlink="">
      <xdr:nvSpPr>
        <xdr:cNvPr id="28675" name="Text Box 3">
          <a:extLst>
            <a:ext uri="{FF2B5EF4-FFF2-40B4-BE49-F238E27FC236}">
              <a16:creationId xmlns:a16="http://schemas.microsoft.com/office/drawing/2014/main" id="{00000000-0008-0000-0300-000003700000}"/>
            </a:ext>
          </a:extLst>
        </xdr:cNvPr>
        <xdr:cNvSpPr txBox="1">
          <a:spLocks noChangeArrowheads="1"/>
        </xdr:cNvSpPr>
      </xdr:nvSpPr>
      <xdr:spPr>
        <a:xfrm>
          <a:off x="7115175" y="95250"/>
          <a:ext cx="333375" cy="2286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36576" tIns="18288" rIns="36576" bIns="0" anchor="t" upright="1"/>
        <a:lstStyle/>
        <a:p>
          <a:pPr algn="ctr" rtl="0">
            <a:defRPr sz="1000"/>
          </a:pPr>
          <a:r>
            <a:rPr lang="ja-JP" altLang="en-US" sz="1100" b="0" i="0" u="none" strike="noStrike" baseline="0">
              <a:solidFill>
                <a:srgbClr val="000000"/>
              </a:solidFill>
              <a:latin typeface="Arial" pitchFamily="34" charset="0"/>
              <a:ea typeface="ＭＳ Ｐゴシック"/>
              <a:cs typeface="Arial" pitchFamily="34" charset="0"/>
            </a:rPr>
            <a:t>v0</a:t>
          </a:r>
          <a:r>
            <a:rPr lang="en-US" altLang="ja-JP" sz="1100" b="0" i="0" u="none" strike="noStrike" baseline="0">
              <a:solidFill>
                <a:srgbClr val="000000"/>
              </a:solidFill>
              <a:latin typeface="Arial" pitchFamily="34" charset="0"/>
              <a:ea typeface="ＭＳ Ｐゴシック"/>
              <a:cs typeface="Arial" pitchFamily="34" charset="0"/>
            </a:rPr>
            <a:t>5</a:t>
          </a:r>
          <a:endParaRPr lang="ja-JP" altLang="en-US" b="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19050</xdr:colOff>
          <xdr:row>0</xdr:row>
          <xdr:rowOff>85725</xdr:rowOff>
        </xdr:from>
        <xdr:to>
          <xdr:col>2</xdr:col>
          <xdr:colOff>638175</xdr:colOff>
          <xdr:row>1</xdr:row>
          <xdr:rowOff>142875</xdr:rowOff>
        </xdr:to>
        <xdr:sp macro="" textlink="">
          <xdr:nvSpPr>
            <xdr:cNvPr id="28941" name="Button 269" hidden="1">
              <a:extLst>
                <a:ext uri="{63B3BB69-23CF-44E3-9099-C40C66FF867C}">
                  <a14:compatExt spid="_x0000_s28941"/>
                </a:ext>
                <a:ext uri="{FF2B5EF4-FFF2-40B4-BE49-F238E27FC236}">
                  <a16:creationId xmlns:a16="http://schemas.microsoft.com/office/drawing/2014/main" id="{00000000-0008-0000-0300-00000D7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zh-CN" altLang="en-US" sz="1000" b="1" i="0" u="none" strike="noStrike" baseline="0">
                  <a:solidFill>
                    <a:srgbClr val="0000FF"/>
                  </a:solidFill>
                  <a:latin typeface="Arial"/>
                  <a:cs typeface="Arial"/>
                </a:rPr>
                <a:t>Start Conversion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228600</xdr:colOff>
      <xdr:row>15</xdr:row>
      <xdr:rowOff>193660</xdr:rowOff>
    </xdr:from>
    <xdr:to>
      <xdr:col>35</xdr:col>
      <xdr:colOff>218341</xdr:colOff>
      <xdr:row>42</xdr:row>
      <xdr:rowOff>174337</xdr:rowOff>
    </xdr:to>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2802850" y="2279015"/>
          <a:ext cx="3018155" cy="32194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8"/>
  </sheetPr>
  <dimension ref="A1:V117"/>
  <sheetViews>
    <sheetView showGridLines="0" zoomScale="80" zoomScaleNormal="80" workbookViewId="0">
      <pane xSplit="1" ySplit="2" topLeftCell="I87" activePane="bottomRight" state="frozen"/>
      <selection pane="topRight"/>
      <selection pane="bottomLeft"/>
      <selection pane="bottomRight" activeCell="L118" sqref="L118"/>
    </sheetView>
  </sheetViews>
  <sheetFormatPr defaultColWidth="9" defaultRowHeight="14.25"/>
  <cols>
    <col min="1" max="1" width="9" style="242"/>
    <col min="2" max="2" width="2.5" style="242" customWidth="1"/>
    <col min="3" max="3" width="5" style="242" customWidth="1"/>
    <col min="4" max="4" width="49.5" style="242" customWidth="1"/>
    <col min="5" max="5" width="4.5" style="242" customWidth="1"/>
    <col min="6" max="6" width="55" style="242" customWidth="1"/>
    <col min="7" max="7" width="4.5" style="242" customWidth="1"/>
    <col min="8" max="8" width="64.5" style="242" customWidth="1"/>
    <col min="9" max="9" width="4.625" style="242" customWidth="1"/>
    <col min="10" max="10" width="43.375" style="242" customWidth="1"/>
    <col min="11" max="11" width="4.625" style="242" customWidth="1"/>
    <col min="12" max="12" width="51.25" style="242" customWidth="1"/>
    <col min="13" max="13" width="4.625" style="242" customWidth="1"/>
    <col min="14" max="14" width="51.25" style="242" customWidth="1"/>
    <col min="15" max="15" width="4.625" style="242" customWidth="1"/>
    <col min="16" max="16" width="69.125" style="242" customWidth="1"/>
    <col min="17" max="17" width="4.625" style="242" customWidth="1"/>
    <col min="18" max="18" width="41.25" style="242" customWidth="1"/>
    <col min="19" max="19" width="4.625" style="242" customWidth="1"/>
    <col min="20" max="20" width="41.25" style="242" customWidth="1"/>
    <col min="21" max="21" width="5.625" style="242" customWidth="1"/>
    <col min="22" max="22" width="42.875" style="242" customWidth="1"/>
    <col min="23" max="16384" width="9" style="242"/>
  </cols>
  <sheetData>
    <row r="1" spans="1:22" ht="15">
      <c r="A1" s="493" t="s">
        <v>0</v>
      </c>
      <c r="C1" s="531" t="s">
        <v>1</v>
      </c>
      <c r="D1" s="531"/>
      <c r="E1" s="532" t="s">
        <v>2</v>
      </c>
      <c r="F1" s="532"/>
      <c r="G1" s="533" t="s">
        <v>3</v>
      </c>
      <c r="H1" s="533"/>
      <c r="I1" s="534" t="s">
        <v>4</v>
      </c>
      <c r="J1" s="534"/>
      <c r="K1" s="527" t="s">
        <v>5</v>
      </c>
      <c r="L1" s="527"/>
      <c r="M1" s="527" t="s">
        <v>6</v>
      </c>
      <c r="N1" s="527"/>
      <c r="O1" s="528" t="s">
        <v>7</v>
      </c>
      <c r="P1" s="528"/>
      <c r="Q1" s="529" t="s">
        <v>8</v>
      </c>
      <c r="R1" s="529"/>
      <c r="S1" s="529" t="s">
        <v>9</v>
      </c>
      <c r="T1" s="529"/>
      <c r="U1" s="530" t="s">
        <v>10</v>
      </c>
      <c r="V1" s="530"/>
    </row>
    <row r="2" spans="1:22" ht="15">
      <c r="A2" s="493"/>
      <c r="C2" s="494" t="s">
        <v>11</v>
      </c>
      <c r="D2" s="494" t="s">
        <v>12</v>
      </c>
      <c r="E2" s="190" t="s">
        <v>11</v>
      </c>
      <c r="F2" s="190" t="s">
        <v>12</v>
      </c>
      <c r="G2" s="495" t="s">
        <v>11</v>
      </c>
      <c r="H2" s="495" t="s">
        <v>12</v>
      </c>
      <c r="I2" s="497" t="s">
        <v>11</v>
      </c>
      <c r="J2" s="497" t="s">
        <v>12</v>
      </c>
      <c r="K2" s="498" t="s">
        <v>11</v>
      </c>
      <c r="L2" s="498" t="s">
        <v>12</v>
      </c>
      <c r="M2" s="498" t="s">
        <v>11</v>
      </c>
      <c r="N2" s="498" t="s">
        <v>12</v>
      </c>
      <c r="O2" s="258" t="s">
        <v>11</v>
      </c>
      <c r="P2" s="258" t="s">
        <v>12</v>
      </c>
      <c r="Q2" s="499" t="s">
        <v>11</v>
      </c>
      <c r="R2" s="499" t="s">
        <v>12</v>
      </c>
      <c r="S2" s="499" t="s">
        <v>11</v>
      </c>
      <c r="T2" s="499" t="s">
        <v>12</v>
      </c>
      <c r="U2" s="500" t="s">
        <v>11</v>
      </c>
      <c r="V2" s="500" t="s">
        <v>12</v>
      </c>
    </row>
    <row r="3" spans="1:22">
      <c r="A3" s="242" t="s">
        <v>13</v>
      </c>
      <c r="C3" s="242" t="s">
        <v>14</v>
      </c>
      <c r="D3" s="242" t="s">
        <v>15</v>
      </c>
      <c r="G3" s="242" t="s">
        <v>14</v>
      </c>
      <c r="H3" s="242" t="s">
        <v>15</v>
      </c>
      <c r="I3" s="242" t="s">
        <v>14</v>
      </c>
      <c r="J3" s="242" t="s">
        <v>15</v>
      </c>
      <c r="K3" s="242" t="s">
        <v>14</v>
      </c>
      <c r="L3" s="242" t="s">
        <v>15</v>
      </c>
      <c r="U3" s="242" t="s">
        <v>14</v>
      </c>
      <c r="V3" s="242" t="s">
        <v>15</v>
      </c>
    </row>
    <row r="5" spans="1:22">
      <c r="A5" s="242" t="s">
        <v>16</v>
      </c>
      <c r="C5" s="242" t="s">
        <v>17</v>
      </c>
      <c r="D5" s="242" t="s">
        <v>18</v>
      </c>
      <c r="I5" s="242" t="s">
        <v>17</v>
      </c>
      <c r="J5" s="242" t="s">
        <v>19</v>
      </c>
      <c r="K5" s="242" t="s">
        <v>17</v>
      </c>
      <c r="L5" s="242" t="s">
        <v>20</v>
      </c>
    </row>
    <row r="6" spans="1:22">
      <c r="J6" s="242" t="s">
        <v>21</v>
      </c>
    </row>
    <row r="8" spans="1:22">
      <c r="A8" s="242" t="s">
        <v>22</v>
      </c>
      <c r="G8" s="242" t="s">
        <v>17</v>
      </c>
      <c r="H8" s="242" t="s">
        <v>23</v>
      </c>
      <c r="K8" s="242" t="s">
        <v>24</v>
      </c>
      <c r="L8" s="242" t="s">
        <v>25</v>
      </c>
    </row>
    <row r="9" spans="1:22">
      <c r="H9" s="242" t="s">
        <v>26</v>
      </c>
    </row>
    <row r="10" spans="1:22">
      <c r="H10" s="242" t="s">
        <v>27</v>
      </c>
    </row>
    <row r="12" spans="1:22">
      <c r="A12" s="242" t="s">
        <v>28</v>
      </c>
      <c r="C12" s="242" t="s">
        <v>24</v>
      </c>
      <c r="D12" s="242" t="s">
        <v>29</v>
      </c>
      <c r="G12" s="242" t="s">
        <v>24</v>
      </c>
      <c r="H12" s="242" t="s">
        <v>30</v>
      </c>
      <c r="I12" s="242" t="s">
        <v>24</v>
      </c>
      <c r="J12" s="242" t="s">
        <v>31</v>
      </c>
      <c r="K12" s="242" t="s">
        <v>32</v>
      </c>
      <c r="L12" s="242" t="s">
        <v>33</v>
      </c>
      <c r="O12" s="242" t="s">
        <v>14</v>
      </c>
      <c r="P12" s="242" t="s">
        <v>15</v>
      </c>
      <c r="S12" s="242" t="s">
        <v>14</v>
      </c>
      <c r="T12" s="242" t="s">
        <v>15</v>
      </c>
    </row>
    <row r="13" spans="1:22">
      <c r="D13" s="242" t="s">
        <v>34</v>
      </c>
      <c r="H13" s="242" t="s">
        <v>35</v>
      </c>
      <c r="L13" s="242" t="s">
        <v>36</v>
      </c>
    </row>
    <row r="14" spans="1:22">
      <c r="H14" s="242" t="s">
        <v>37</v>
      </c>
      <c r="L14" s="242" t="s">
        <v>38</v>
      </c>
    </row>
    <row r="15" spans="1:22">
      <c r="H15" s="242" t="s">
        <v>39</v>
      </c>
      <c r="L15" s="242" t="s">
        <v>40</v>
      </c>
    </row>
    <row r="16" spans="1:22">
      <c r="H16" s="242" t="s">
        <v>41</v>
      </c>
    </row>
    <row r="17" spans="1:22">
      <c r="H17" s="242" t="s">
        <v>42</v>
      </c>
    </row>
    <row r="18" spans="1:22">
      <c r="H18" s="242" t="s">
        <v>43</v>
      </c>
    </row>
    <row r="20" spans="1:22">
      <c r="A20" s="242" t="s">
        <v>44</v>
      </c>
      <c r="G20" s="242" t="s">
        <v>32</v>
      </c>
      <c r="H20" s="242" t="s">
        <v>45</v>
      </c>
      <c r="K20" s="242" t="s">
        <v>46</v>
      </c>
      <c r="L20" s="242" t="s">
        <v>47</v>
      </c>
      <c r="O20" s="242" t="s">
        <v>17</v>
      </c>
      <c r="P20" s="242" t="s">
        <v>48</v>
      </c>
    </row>
    <row r="21" spans="1:22">
      <c r="H21" s="242" t="s">
        <v>49</v>
      </c>
      <c r="L21" s="242" t="s">
        <v>50</v>
      </c>
      <c r="P21" s="242" t="s">
        <v>47</v>
      </c>
    </row>
    <row r="23" spans="1:22">
      <c r="A23" s="242" t="s">
        <v>51</v>
      </c>
      <c r="C23" s="242" t="s">
        <v>32</v>
      </c>
      <c r="D23" s="242" t="s">
        <v>52</v>
      </c>
      <c r="K23" s="242" t="s">
        <v>53</v>
      </c>
      <c r="L23" s="242" t="s">
        <v>54</v>
      </c>
      <c r="O23" s="242" t="s">
        <v>24</v>
      </c>
      <c r="P23" s="242" t="s">
        <v>54</v>
      </c>
    </row>
    <row r="24" spans="1:22">
      <c r="L24" s="242" t="s">
        <v>55</v>
      </c>
      <c r="P24" s="242" t="s">
        <v>55</v>
      </c>
    </row>
    <row r="25" spans="1:22">
      <c r="L25" s="242" t="s">
        <v>56</v>
      </c>
    </row>
    <row r="27" spans="1:22">
      <c r="A27" s="242" t="s">
        <v>57</v>
      </c>
      <c r="C27" s="242" t="s">
        <v>46</v>
      </c>
      <c r="D27" s="242" t="s">
        <v>58</v>
      </c>
      <c r="G27" s="242" t="s">
        <v>46</v>
      </c>
      <c r="H27" s="242" t="s">
        <v>59</v>
      </c>
      <c r="K27" s="242" t="s">
        <v>60</v>
      </c>
      <c r="L27" s="242" t="s">
        <v>61</v>
      </c>
      <c r="S27" s="242" t="s">
        <v>17</v>
      </c>
      <c r="T27" s="242" t="s">
        <v>62</v>
      </c>
      <c r="U27" s="242" t="s">
        <v>17</v>
      </c>
      <c r="V27" s="242" t="s">
        <v>63</v>
      </c>
    </row>
    <row r="28" spans="1:22">
      <c r="H28" s="242" t="s">
        <v>64</v>
      </c>
    </row>
    <row r="29" spans="1:22">
      <c r="H29" s="242" t="s">
        <v>65</v>
      </c>
    </row>
    <row r="31" spans="1:22">
      <c r="A31" s="242" t="s">
        <v>66</v>
      </c>
      <c r="G31" s="242" t="s">
        <v>53</v>
      </c>
      <c r="H31" s="242" t="s">
        <v>67</v>
      </c>
    </row>
    <row r="33" spans="1:22">
      <c r="A33" s="242" t="s">
        <v>68</v>
      </c>
      <c r="C33" s="242" t="s">
        <v>53</v>
      </c>
      <c r="D33" s="242" t="s">
        <v>69</v>
      </c>
      <c r="G33" s="242" t="s">
        <v>60</v>
      </c>
      <c r="H33" s="242" t="s">
        <v>70</v>
      </c>
      <c r="K33" s="242" t="s">
        <v>71</v>
      </c>
      <c r="L33" s="242" t="s">
        <v>72</v>
      </c>
      <c r="O33" s="242" t="s">
        <v>32</v>
      </c>
      <c r="P33" s="242" t="s">
        <v>72</v>
      </c>
      <c r="U33" s="242" t="s">
        <v>24</v>
      </c>
      <c r="V33" s="242" t="s">
        <v>73</v>
      </c>
    </row>
    <row r="34" spans="1:22">
      <c r="L34" s="242" t="s">
        <v>74</v>
      </c>
      <c r="P34" s="242" t="s">
        <v>74</v>
      </c>
    </row>
    <row r="36" spans="1:22">
      <c r="A36" s="242" t="s">
        <v>75</v>
      </c>
      <c r="G36" s="242" t="s">
        <v>71</v>
      </c>
      <c r="H36" s="242" t="s">
        <v>76</v>
      </c>
      <c r="K36" s="242" t="s">
        <v>77</v>
      </c>
      <c r="L36" s="242" t="s">
        <v>78</v>
      </c>
    </row>
    <row r="38" spans="1:22">
      <c r="A38" s="242" t="s">
        <v>79</v>
      </c>
      <c r="C38" s="242" t="s">
        <v>60</v>
      </c>
      <c r="D38" s="242" t="s">
        <v>80</v>
      </c>
      <c r="G38" s="242" t="s">
        <v>77</v>
      </c>
      <c r="H38" s="242" t="s">
        <v>81</v>
      </c>
      <c r="I38" s="242" t="s">
        <v>32</v>
      </c>
      <c r="J38" s="242" t="s">
        <v>82</v>
      </c>
    </row>
    <row r="39" spans="1:22">
      <c r="H39" s="242" t="s">
        <v>83</v>
      </c>
      <c r="J39" s="242" t="s">
        <v>84</v>
      </c>
    </row>
    <row r="41" spans="1:22">
      <c r="A41" s="242" t="s">
        <v>85</v>
      </c>
      <c r="I41" s="242" t="s">
        <v>46</v>
      </c>
      <c r="J41" s="242" t="s">
        <v>86</v>
      </c>
    </row>
    <row r="43" spans="1:22">
      <c r="A43" s="242" t="s">
        <v>87</v>
      </c>
      <c r="Q43" s="242" t="s">
        <v>14</v>
      </c>
      <c r="R43" s="242" t="s">
        <v>15</v>
      </c>
      <c r="S43" s="242" t="s">
        <v>24</v>
      </c>
      <c r="T43" s="242" t="s">
        <v>88</v>
      </c>
    </row>
    <row r="45" spans="1:22">
      <c r="A45" s="242" t="s">
        <v>89</v>
      </c>
      <c r="G45" s="242" t="s">
        <v>90</v>
      </c>
      <c r="H45" s="242" t="s">
        <v>91</v>
      </c>
      <c r="K45" s="242" t="s">
        <v>90</v>
      </c>
      <c r="L45" s="242" t="s">
        <v>92</v>
      </c>
      <c r="O45" s="242" t="s">
        <v>46</v>
      </c>
      <c r="P45" s="242" t="s">
        <v>92</v>
      </c>
    </row>
    <row r="46" spans="1:22">
      <c r="H46" s="242" t="s">
        <v>93</v>
      </c>
      <c r="L46" s="242" t="s">
        <v>94</v>
      </c>
    </row>
    <row r="47" spans="1:22">
      <c r="F47" s="496"/>
    </row>
    <row r="48" spans="1:22">
      <c r="A48" s="242" t="s">
        <v>95</v>
      </c>
      <c r="G48" s="242" t="s">
        <v>96</v>
      </c>
      <c r="H48" s="242" t="s">
        <v>97</v>
      </c>
      <c r="I48" s="242" t="s">
        <v>53</v>
      </c>
      <c r="J48" s="242" t="s">
        <v>98</v>
      </c>
    </row>
    <row r="49" spans="1:18">
      <c r="H49" s="242" t="s">
        <v>99</v>
      </c>
      <c r="J49" s="242" t="s">
        <v>100</v>
      </c>
    </row>
    <row r="50" spans="1:18">
      <c r="H50" s="242" t="s">
        <v>101</v>
      </c>
      <c r="J50" s="242" t="s">
        <v>102</v>
      </c>
    </row>
    <row r="51" spans="1:18">
      <c r="J51" s="242" t="s">
        <v>101</v>
      </c>
    </row>
    <row r="53" spans="1:18">
      <c r="A53" s="242" t="s">
        <v>103</v>
      </c>
      <c r="K53" s="242" t="s">
        <v>96</v>
      </c>
      <c r="L53" s="242" t="s">
        <v>104</v>
      </c>
      <c r="M53" s="242" t="s">
        <v>14</v>
      </c>
      <c r="N53" s="242" t="s">
        <v>15</v>
      </c>
      <c r="O53" s="242" t="s">
        <v>53</v>
      </c>
      <c r="P53" s="242" t="s">
        <v>104</v>
      </c>
      <c r="Q53" s="242" t="s">
        <v>17</v>
      </c>
      <c r="R53" s="242" t="s">
        <v>105</v>
      </c>
    </row>
    <row r="54" spans="1:18">
      <c r="L54" s="242" t="s">
        <v>106</v>
      </c>
      <c r="R54" s="242" t="s">
        <v>104</v>
      </c>
    </row>
    <row r="55" spans="1:18">
      <c r="L55" s="242" t="s">
        <v>107</v>
      </c>
    </row>
    <row r="56" spans="1:18">
      <c r="L56" s="242" t="s">
        <v>108</v>
      </c>
    </row>
    <row r="58" spans="1:18">
      <c r="A58" s="242" t="s">
        <v>109</v>
      </c>
      <c r="G58" s="242" t="s">
        <v>110</v>
      </c>
      <c r="H58" s="242" t="s">
        <v>111</v>
      </c>
    </row>
    <row r="60" spans="1:18">
      <c r="A60" s="242" t="s">
        <v>112</v>
      </c>
    </row>
    <row r="62" spans="1:18">
      <c r="A62" s="242" t="s">
        <v>113</v>
      </c>
      <c r="M62" s="242" t="s">
        <v>17</v>
      </c>
      <c r="N62" s="242" t="s">
        <v>114</v>
      </c>
    </row>
    <row r="64" spans="1:18">
      <c r="A64" s="242" t="s">
        <v>115</v>
      </c>
      <c r="O64" s="242" t="s">
        <v>60</v>
      </c>
      <c r="P64" s="242" t="s">
        <v>116</v>
      </c>
    </row>
    <row r="66" spans="1:16">
      <c r="A66" s="242" t="s">
        <v>117</v>
      </c>
      <c r="G66" s="242" t="s">
        <v>118</v>
      </c>
      <c r="H66" s="242" t="s">
        <v>119</v>
      </c>
    </row>
    <row r="67" spans="1:16">
      <c r="H67" s="242" t="s">
        <v>120</v>
      </c>
    </row>
    <row r="69" spans="1:16">
      <c r="A69" s="242" t="s">
        <v>121</v>
      </c>
      <c r="G69" s="242" t="s">
        <v>122</v>
      </c>
      <c r="H69" s="242" t="s">
        <v>123</v>
      </c>
    </row>
    <row r="71" spans="1:16">
      <c r="A71" s="242" t="s">
        <v>124</v>
      </c>
      <c r="I71" s="242" t="s">
        <v>60</v>
      </c>
      <c r="J71" s="242" t="s">
        <v>125</v>
      </c>
    </row>
    <row r="73" spans="1:16">
      <c r="A73" s="242" t="s">
        <v>126</v>
      </c>
      <c r="G73" s="242" t="s">
        <v>127</v>
      </c>
      <c r="H73" s="242" t="s">
        <v>128</v>
      </c>
      <c r="I73" s="242" t="s">
        <v>71</v>
      </c>
      <c r="J73" s="242" t="s">
        <v>129</v>
      </c>
    </row>
    <row r="75" spans="1:16" ht="28.5">
      <c r="A75" s="242" t="s">
        <v>130</v>
      </c>
      <c r="K75" s="242" t="s">
        <v>110</v>
      </c>
      <c r="L75" s="496" t="s">
        <v>131</v>
      </c>
      <c r="O75" s="242" t="s">
        <v>71</v>
      </c>
      <c r="P75" s="496" t="s">
        <v>132</v>
      </c>
    </row>
    <row r="77" spans="1:16">
      <c r="A77" s="242" t="s">
        <v>133</v>
      </c>
      <c r="G77" s="242" t="s">
        <v>134</v>
      </c>
      <c r="H77" s="242" t="s">
        <v>135</v>
      </c>
    </row>
    <row r="78" spans="1:16">
      <c r="H78" s="242" t="s">
        <v>136</v>
      </c>
    </row>
    <row r="80" spans="1:16">
      <c r="A80" s="242" t="s">
        <v>137</v>
      </c>
      <c r="G80" s="242" t="s">
        <v>138</v>
      </c>
      <c r="H80" s="242" t="s">
        <v>139</v>
      </c>
    </row>
    <row r="82" spans="1:22">
      <c r="A82" s="242" t="s">
        <v>140</v>
      </c>
      <c r="G82" s="242" t="s">
        <v>141</v>
      </c>
      <c r="H82" s="242" t="s">
        <v>142</v>
      </c>
    </row>
    <row r="83" spans="1:22">
      <c r="H83" s="242" t="s">
        <v>143</v>
      </c>
    </row>
    <row r="84" spans="1:22">
      <c r="H84" s="242" t="s">
        <v>144</v>
      </c>
    </row>
    <row r="85" spans="1:22">
      <c r="H85" s="242" t="s">
        <v>145</v>
      </c>
    </row>
    <row r="86" spans="1:22">
      <c r="H86" s="242" t="s">
        <v>146</v>
      </c>
    </row>
    <row r="88" spans="1:22">
      <c r="A88" s="242" t="s">
        <v>147</v>
      </c>
      <c r="G88" s="242" t="s">
        <v>148</v>
      </c>
      <c r="H88" s="242" t="s">
        <v>149</v>
      </c>
      <c r="K88" s="242" t="s">
        <v>118</v>
      </c>
      <c r="L88" s="242" t="s">
        <v>150</v>
      </c>
    </row>
    <row r="89" spans="1:22">
      <c r="L89" s="242" t="s">
        <v>151</v>
      </c>
    </row>
    <row r="91" spans="1:22">
      <c r="A91" s="242" t="s">
        <v>152</v>
      </c>
      <c r="U91" s="242" t="s">
        <v>32</v>
      </c>
      <c r="V91" s="242" t="s">
        <v>153</v>
      </c>
    </row>
    <row r="92" spans="1:22">
      <c r="V92" s="242" t="s">
        <v>154</v>
      </c>
    </row>
    <row r="94" spans="1:22">
      <c r="A94" s="242" t="s">
        <v>155</v>
      </c>
      <c r="G94" s="242" t="s">
        <v>156</v>
      </c>
      <c r="H94" s="242" t="s">
        <v>157</v>
      </c>
      <c r="O94" s="242" t="s">
        <v>77</v>
      </c>
      <c r="P94" s="242" t="s">
        <v>158</v>
      </c>
    </row>
    <row r="96" spans="1:22">
      <c r="A96" s="242" t="s">
        <v>159</v>
      </c>
      <c r="I96" s="242" t="s">
        <v>77</v>
      </c>
      <c r="J96" s="242" t="s">
        <v>160</v>
      </c>
    </row>
    <row r="98" spans="1:22">
      <c r="A98" s="242" t="s">
        <v>161</v>
      </c>
      <c r="E98" s="242" t="s">
        <v>14</v>
      </c>
      <c r="F98" s="242" t="s">
        <v>162</v>
      </c>
      <c r="K98" s="242" t="s">
        <v>122</v>
      </c>
      <c r="L98" s="242" t="s">
        <v>163</v>
      </c>
    </row>
    <row r="99" spans="1:22">
      <c r="L99" s="242" t="s">
        <v>164</v>
      </c>
    </row>
    <row r="101" spans="1:22">
      <c r="A101" s="242" t="s">
        <v>165</v>
      </c>
      <c r="G101" s="242" t="s">
        <v>166</v>
      </c>
      <c r="H101" s="242" t="s">
        <v>167</v>
      </c>
    </row>
    <row r="103" spans="1:22">
      <c r="A103" s="242" t="s">
        <v>168</v>
      </c>
      <c r="C103" s="242" t="s">
        <v>71</v>
      </c>
      <c r="D103" s="242" t="s">
        <v>169</v>
      </c>
      <c r="G103" s="242" t="s">
        <v>170</v>
      </c>
      <c r="H103" s="242" t="s">
        <v>171</v>
      </c>
      <c r="K103" s="242" t="s">
        <v>127</v>
      </c>
      <c r="L103" s="242" t="s">
        <v>172</v>
      </c>
      <c r="O103" s="242" t="s">
        <v>90</v>
      </c>
      <c r="P103" s="242" t="s">
        <v>172</v>
      </c>
    </row>
    <row r="104" spans="1:22">
      <c r="H104" s="242" t="s">
        <v>173</v>
      </c>
      <c r="L104" s="242" t="s">
        <v>171</v>
      </c>
      <c r="P104" s="242" t="s">
        <v>174</v>
      </c>
    </row>
    <row r="106" spans="1:22">
      <c r="A106" s="242" t="s">
        <v>175</v>
      </c>
      <c r="G106" s="242" t="s">
        <v>176</v>
      </c>
      <c r="H106" s="242" t="s">
        <v>177</v>
      </c>
    </row>
    <row r="107" spans="1:22">
      <c r="H107" s="242" t="s">
        <v>178</v>
      </c>
    </row>
    <row r="109" spans="1:22">
      <c r="A109" s="242" t="s">
        <v>179</v>
      </c>
      <c r="E109" s="242" t="s">
        <v>17</v>
      </c>
      <c r="F109" s="242" t="s">
        <v>180</v>
      </c>
      <c r="G109" s="242" t="s">
        <v>181</v>
      </c>
      <c r="H109" s="242" t="s">
        <v>182</v>
      </c>
      <c r="K109" s="242" t="s">
        <v>134</v>
      </c>
      <c r="L109" s="242" t="s">
        <v>183</v>
      </c>
      <c r="M109" s="242" t="s">
        <v>14</v>
      </c>
      <c r="N109" s="242" t="s">
        <v>184</v>
      </c>
    </row>
    <row r="111" spans="1:22">
      <c r="A111" s="242" t="s">
        <v>185</v>
      </c>
      <c r="G111" s="242" t="s">
        <v>186</v>
      </c>
      <c r="H111" s="242" t="s">
        <v>187</v>
      </c>
      <c r="M111" s="242" t="s">
        <v>17</v>
      </c>
      <c r="N111" s="242" t="s">
        <v>188</v>
      </c>
      <c r="O111" s="242" t="s">
        <v>96</v>
      </c>
      <c r="P111" s="242" t="s">
        <v>188</v>
      </c>
      <c r="U111" s="242" t="s">
        <v>46</v>
      </c>
      <c r="V111" s="242" t="s">
        <v>189</v>
      </c>
    </row>
    <row r="112" spans="1:22">
      <c r="N112" s="242" t="s">
        <v>190</v>
      </c>
      <c r="P112" s="242" t="s">
        <v>190</v>
      </c>
      <c r="V112" s="242" t="s">
        <v>191</v>
      </c>
    </row>
    <row r="114" spans="1:12">
      <c r="A114" s="242" t="s">
        <v>192</v>
      </c>
      <c r="G114" s="242" t="s">
        <v>193</v>
      </c>
      <c r="H114" s="242" t="s">
        <v>194</v>
      </c>
    </row>
    <row r="115" spans="1:12">
      <c r="H115" s="242" t="s">
        <v>195</v>
      </c>
    </row>
    <row r="117" spans="1:12">
      <c r="A117" s="242" t="s">
        <v>196</v>
      </c>
      <c r="K117" s="242" t="s">
        <v>138</v>
      </c>
      <c r="L117" s="242" t="s">
        <v>197</v>
      </c>
    </row>
  </sheetData>
  <sheetProtection algorithmName="SHA-512" hashValue="nWMRce3pZJoCfsZhp2gfsq9lnWgV44cELS75W0/Kcv7nC6WWrEo5LsxqA5PKM/OZqCGFOYPAr3iJBi9xkXDANg==" saltValue="0raxntLByVycn/BYgWuvZA==" spinCount="100000" sheet="1" objects="1" scenarios="1"/>
  <mergeCells count="10">
    <mergeCell ref="C1:D1"/>
    <mergeCell ref="E1:F1"/>
    <mergeCell ref="G1:H1"/>
    <mergeCell ref="I1:J1"/>
    <mergeCell ref="K1:L1"/>
    <mergeCell ref="M1:N1"/>
    <mergeCell ref="O1:P1"/>
    <mergeCell ref="Q1:R1"/>
    <mergeCell ref="S1:T1"/>
    <mergeCell ref="U1:V1"/>
  </mergeCells>
  <phoneticPr fontId="59"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D69"/>
  <sheetViews>
    <sheetView showGridLines="0" topLeftCell="A25" workbookViewId="0">
      <selection activeCell="B49" sqref="B49"/>
    </sheetView>
  </sheetViews>
  <sheetFormatPr defaultColWidth="9" defaultRowHeight="14.25"/>
  <cols>
    <col min="1" max="1" width="2.5" style="478" customWidth="1"/>
    <col min="2" max="2" width="4.125" style="478" customWidth="1"/>
    <col min="3" max="3" width="5" style="478" customWidth="1"/>
    <col min="4" max="4" width="176.75" style="65" customWidth="1"/>
    <col min="5" max="5" width="96.375" style="65" customWidth="1"/>
    <col min="6" max="16384" width="9" style="65"/>
  </cols>
  <sheetData>
    <row r="1" spans="1:4" ht="18">
      <c r="B1" s="479" t="s">
        <v>71</v>
      </c>
      <c r="D1" s="480"/>
    </row>
    <row r="2" spans="1:4" s="477" customFormat="1" ht="18">
      <c r="A2" s="481" t="s">
        <v>198</v>
      </c>
      <c r="B2" s="482"/>
      <c r="C2" s="483"/>
      <c r="D2" s="480"/>
    </row>
    <row r="3" spans="1:4" ht="20.100000000000001" customHeight="1">
      <c r="A3" s="484">
        <v>1</v>
      </c>
      <c r="B3" s="485" t="s">
        <v>199</v>
      </c>
    </row>
    <row r="4" spans="1:4" ht="20.100000000000001" customHeight="1">
      <c r="A4" s="484">
        <v>2</v>
      </c>
      <c r="B4" s="485" t="s">
        <v>200</v>
      </c>
    </row>
    <row r="5" spans="1:4" ht="20.100000000000001" customHeight="1">
      <c r="A5" s="484"/>
      <c r="B5" s="501" t="s">
        <v>201</v>
      </c>
      <c r="C5" s="484" t="s">
        <v>202</v>
      </c>
    </row>
    <row r="6" spans="1:4" ht="20.100000000000001" customHeight="1">
      <c r="A6" s="487"/>
      <c r="B6" s="501" t="s">
        <v>203</v>
      </c>
      <c r="C6" s="502" t="s">
        <v>204</v>
      </c>
      <c r="D6" s="485"/>
    </row>
    <row r="7" spans="1:4" ht="20.100000000000001" customHeight="1">
      <c r="A7" s="487"/>
      <c r="B7" s="486"/>
      <c r="C7" s="502" t="s">
        <v>205</v>
      </c>
      <c r="D7" s="502" t="s">
        <v>206</v>
      </c>
    </row>
    <row r="8" spans="1:4" ht="20.100000000000001" customHeight="1">
      <c r="A8" s="487"/>
      <c r="B8" s="501" t="s">
        <v>207</v>
      </c>
      <c r="C8" s="485" t="s">
        <v>208</v>
      </c>
      <c r="D8" s="485"/>
    </row>
    <row r="9" spans="1:4" ht="20.100000000000001" customHeight="1">
      <c r="A9" s="487"/>
      <c r="B9" s="501" t="s">
        <v>209</v>
      </c>
      <c r="C9" s="485" t="s">
        <v>210</v>
      </c>
      <c r="D9" s="485"/>
    </row>
    <row r="10" spans="1:4" ht="20.100000000000001" customHeight="1">
      <c r="A10" s="487"/>
      <c r="B10" s="486"/>
      <c r="C10" s="503" t="s">
        <v>211</v>
      </c>
      <c r="D10" s="485" t="s">
        <v>212</v>
      </c>
    </row>
    <row r="11" spans="1:4" ht="72.75" customHeight="1">
      <c r="A11" s="487"/>
      <c r="B11" s="486"/>
      <c r="C11" s="503" t="s">
        <v>213</v>
      </c>
      <c r="D11" s="489" t="s">
        <v>214</v>
      </c>
    </row>
    <row r="12" spans="1:4" ht="18" customHeight="1">
      <c r="A12" s="487"/>
      <c r="B12" s="486"/>
      <c r="C12" s="503" t="s">
        <v>215</v>
      </c>
      <c r="D12" s="485" t="s">
        <v>216</v>
      </c>
    </row>
    <row r="13" spans="1:4" ht="20.100000000000001" customHeight="1">
      <c r="A13" s="487"/>
      <c r="B13" s="501" t="s">
        <v>217</v>
      </c>
      <c r="C13" s="485" t="s">
        <v>218</v>
      </c>
      <c r="D13" s="485"/>
    </row>
    <row r="14" spans="1:4" ht="49.5" customHeight="1">
      <c r="A14" s="487"/>
      <c r="B14" s="486"/>
      <c r="C14" s="503" t="s">
        <v>219</v>
      </c>
      <c r="D14" s="489" t="s">
        <v>220</v>
      </c>
    </row>
    <row r="15" spans="1:4" ht="20.100000000000001" customHeight="1">
      <c r="A15" s="488"/>
      <c r="B15" s="488"/>
      <c r="C15" s="503" t="s">
        <v>221</v>
      </c>
      <c r="D15" s="485" t="s">
        <v>222</v>
      </c>
    </row>
    <row r="16" spans="1:4" ht="148.5" customHeight="1">
      <c r="A16" s="488"/>
      <c r="B16" s="488"/>
      <c r="C16" s="503" t="s">
        <v>223</v>
      </c>
      <c r="D16" s="489" t="s">
        <v>224</v>
      </c>
    </row>
    <row r="17" spans="1:4" ht="108" customHeight="1">
      <c r="A17" s="488"/>
      <c r="B17" s="488"/>
      <c r="C17" s="503" t="s">
        <v>225</v>
      </c>
      <c r="D17" s="489" t="s">
        <v>226</v>
      </c>
    </row>
    <row r="18" spans="1:4" ht="26.25" customHeight="1">
      <c r="A18" s="488"/>
      <c r="B18" s="488"/>
      <c r="C18" s="503" t="s">
        <v>227</v>
      </c>
      <c r="D18" s="489" t="s">
        <v>228</v>
      </c>
    </row>
    <row r="19" spans="1:4" ht="20.100000000000001" customHeight="1">
      <c r="B19" s="504" t="s">
        <v>229</v>
      </c>
      <c r="C19" s="535" t="s">
        <v>230</v>
      </c>
      <c r="D19" s="535"/>
    </row>
    <row r="20" spans="1:4" ht="132.75" customHeight="1">
      <c r="B20" s="504" t="s">
        <v>231</v>
      </c>
      <c r="C20" s="536" t="s">
        <v>232</v>
      </c>
      <c r="D20" s="536"/>
    </row>
    <row r="21" spans="1:4" ht="20.100000000000001" customHeight="1">
      <c r="A21" s="484"/>
      <c r="B21" s="504" t="s">
        <v>233</v>
      </c>
      <c r="C21" s="490" t="s">
        <v>234</v>
      </c>
      <c r="D21" s="489"/>
    </row>
    <row r="22" spans="1:4" ht="20.100000000000001" customHeight="1">
      <c r="A22" s="484">
        <v>3</v>
      </c>
      <c r="B22" s="484" t="s">
        <v>235</v>
      </c>
    </row>
    <row r="23" spans="1:4" ht="20.100000000000001" customHeight="1">
      <c r="A23" s="484">
        <v>4</v>
      </c>
      <c r="B23" s="484" t="s">
        <v>236</v>
      </c>
    </row>
    <row r="24" spans="1:4">
      <c r="A24" s="484">
        <v>5</v>
      </c>
      <c r="B24" s="491" t="s">
        <v>237</v>
      </c>
    </row>
    <row r="25" spans="1:4" ht="20.100000000000001" customHeight="1">
      <c r="B25" s="484"/>
    </row>
    <row r="27" spans="1:4" s="477" customFormat="1" ht="18">
      <c r="A27" s="481" t="s">
        <v>238</v>
      </c>
      <c r="B27" s="482"/>
      <c r="C27" s="483"/>
      <c r="D27" s="480"/>
    </row>
    <row r="28" spans="1:4" ht="20.100000000000001" customHeight="1">
      <c r="A28" s="484">
        <v>1</v>
      </c>
      <c r="B28" s="485" t="s">
        <v>199</v>
      </c>
    </row>
    <row r="29" spans="1:4" ht="20.100000000000001" customHeight="1">
      <c r="A29" s="484">
        <v>2</v>
      </c>
      <c r="B29" s="485" t="s">
        <v>200</v>
      </c>
    </row>
    <row r="30" spans="1:4" ht="20.100000000000001" customHeight="1">
      <c r="A30" s="484"/>
      <c r="B30" s="501" t="s">
        <v>201</v>
      </c>
      <c r="C30" s="484" t="s">
        <v>239</v>
      </c>
    </row>
    <row r="31" spans="1:4" ht="20.100000000000001" customHeight="1">
      <c r="A31" s="487"/>
      <c r="B31" s="501" t="s">
        <v>203</v>
      </c>
      <c r="C31" s="502" t="s">
        <v>240</v>
      </c>
      <c r="D31" s="485"/>
    </row>
    <row r="32" spans="1:4" ht="31.5" customHeight="1">
      <c r="A32" s="487"/>
      <c r="B32" s="486"/>
      <c r="C32" s="502" t="s">
        <v>205</v>
      </c>
      <c r="D32" s="505" t="s">
        <v>241</v>
      </c>
    </row>
    <row r="33" spans="1:4" ht="20.100000000000001" customHeight="1">
      <c r="A33" s="487"/>
      <c r="B33" s="501" t="s">
        <v>207</v>
      </c>
      <c r="C33" s="485" t="s">
        <v>208</v>
      </c>
      <c r="D33" s="485"/>
    </row>
    <row r="34" spans="1:4" ht="20.100000000000001" customHeight="1">
      <c r="A34" s="487"/>
      <c r="B34" s="501" t="s">
        <v>209</v>
      </c>
      <c r="C34" s="485" t="s">
        <v>210</v>
      </c>
      <c r="D34" s="485"/>
    </row>
    <row r="35" spans="1:4" ht="20.100000000000001" customHeight="1">
      <c r="A35" s="487"/>
      <c r="B35" s="486"/>
      <c r="C35" s="503" t="s">
        <v>211</v>
      </c>
      <c r="D35" s="485" t="s">
        <v>212</v>
      </c>
    </row>
    <row r="36" spans="1:4" ht="73.5" customHeight="1">
      <c r="A36" s="487"/>
      <c r="B36" s="486"/>
      <c r="C36" s="503" t="s">
        <v>213</v>
      </c>
      <c r="D36" s="489" t="s">
        <v>214</v>
      </c>
    </row>
    <row r="37" spans="1:4" ht="22.5" customHeight="1">
      <c r="A37" s="487"/>
      <c r="B37" s="486"/>
      <c r="C37" s="503" t="s">
        <v>215</v>
      </c>
      <c r="D37" s="485" t="s">
        <v>216</v>
      </c>
    </row>
    <row r="38" spans="1:4" ht="20.100000000000001" customHeight="1">
      <c r="A38" s="487"/>
      <c r="B38" s="501" t="s">
        <v>217</v>
      </c>
      <c r="C38" s="485" t="s">
        <v>218</v>
      </c>
      <c r="D38" s="485"/>
    </row>
    <row r="39" spans="1:4" ht="49.5" customHeight="1">
      <c r="A39" s="487"/>
      <c r="B39" s="486"/>
      <c r="C39" s="503" t="s">
        <v>219</v>
      </c>
      <c r="D39" s="489" t="s">
        <v>220</v>
      </c>
    </row>
    <row r="40" spans="1:4" ht="20.100000000000001" customHeight="1">
      <c r="A40" s="488"/>
      <c r="B40" s="488"/>
      <c r="C40" s="503" t="s">
        <v>221</v>
      </c>
      <c r="D40" s="485" t="s">
        <v>222</v>
      </c>
    </row>
    <row r="41" spans="1:4" ht="148.5" customHeight="1">
      <c r="A41" s="488"/>
      <c r="B41" s="488"/>
      <c r="C41" s="503" t="s">
        <v>223</v>
      </c>
      <c r="D41" s="489" t="s">
        <v>224</v>
      </c>
    </row>
    <row r="42" spans="1:4" ht="108" customHeight="1">
      <c r="A42" s="488"/>
      <c r="B42" s="488"/>
      <c r="C42" s="503" t="s">
        <v>225</v>
      </c>
      <c r="D42" s="489" t="s">
        <v>226</v>
      </c>
    </row>
    <row r="43" spans="1:4" ht="26.25" customHeight="1">
      <c r="A43" s="488"/>
      <c r="B43" s="488"/>
      <c r="C43" s="503" t="s">
        <v>227</v>
      </c>
      <c r="D43" s="489" t="s">
        <v>228</v>
      </c>
    </row>
    <row r="44" spans="1:4" ht="20.100000000000001" customHeight="1">
      <c r="A44" s="484">
        <v>3</v>
      </c>
      <c r="B44" s="484" t="s">
        <v>242</v>
      </c>
    </row>
    <row r="45" spans="1:4" ht="25.5" customHeight="1">
      <c r="A45" s="484">
        <v>4</v>
      </c>
      <c r="B45" s="484" t="s">
        <v>243</v>
      </c>
    </row>
    <row r="46" spans="1:4">
      <c r="A46" s="484">
        <v>5</v>
      </c>
      <c r="B46" s="491" t="s">
        <v>244</v>
      </c>
    </row>
    <row r="47" spans="1:4" ht="18">
      <c r="A47" s="492"/>
      <c r="B47" s="479"/>
      <c r="D47" s="480"/>
    </row>
    <row r="48" spans="1:4" ht="20.100000000000001" customHeight="1">
      <c r="A48" s="484"/>
      <c r="B48" s="485"/>
    </row>
    <row r="49" spans="1:4" ht="20.100000000000001" customHeight="1">
      <c r="A49" s="481" t="s">
        <v>245</v>
      </c>
      <c r="B49" s="485"/>
    </row>
    <row r="50" spans="1:4" ht="20.100000000000001" customHeight="1">
      <c r="A50" s="484">
        <v>1</v>
      </c>
      <c r="B50" s="501" t="s">
        <v>246</v>
      </c>
      <c r="C50" s="484"/>
    </row>
    <row r="51" spans="1:4" ht="20.100000000000001" customHeight="1">
      <c r="A51" s="484">
        <v>2</v>
      </c>
      <c r="B51" s="501" t="s">
        <v>247</v>
      </c>
      <c r="C51" s="485"/>
      <c r="D51" s="485"/>
    </row>
    <row r="52" spans="1:4" ht="20.100000000000001" customHeight="1">
      <c r="A52" s="487"/>
      <c r="B52" s="501" t="s">
        <v>201</v>
      </c>
      <c r="C52" s="502" t="s">
        <v>248</v>
      </c>
      <c r="D52" s="485"/>
    </row>
    <row r="53" spans="1:4" ht="20.100000000000001" customHeight="1">
      <c r="A53" s="487"/>
      <c r="B53" s="501" t="s">
        <v>203</v>
      </c>
      <c r="C53" s="485" t="s">
        <v>249</v>
      </c>
      <c r="D53" s="485"/>
    </row>
    <row r="54" spans="1:4" ht="20.100000000000001" customHeight="1">
      <c r="A54" s="487"/>
      <c r="B54" s="501" t="s">
        <v>209</v>
      </c>
      <c r="C54" s="485" t="s">
        <v>250</v>
      </c>
      <c r="D54" s="485"/>
    </row>
    <row r="55" spans="1:4" ht="20.100000000000001" customHeight="1">
      <c r="A55" s="487"/>
      <c r="B55" s="501" t="s">
        <v>217</v>
      </c>
      <c r="C55" s="504" t="s">
        <v>251</v>
      </c>
      <c r="D55" s="485"/>
    </row>
    <row r="56" spans="1:4" ht="81" customHeight="1">
      <c r="A56" s="487"/>
      <c r="B56" s="486"/>
      <c r="C56" s="488"/>
      <c r="D56" s="489"/>
    </row>
    <row r="57" spans="1:4" ht="20.100000000000001" customHeight="1">
      <c r="A57" s="487"/>
      <c r="B57" s="486"/>
      <c r="C57" s="485"/>
      <c r="D57" s="485"/>
    </row>
    <row r="58" spans="1:4" ht="49.5" customHeight="1">
      <c r="A58" s="487"/>
      <c r="B58" s="486"/>
      <c r="C58" s="488"/>
      <c r="D58" s="489"/>
    </row>
    <row r="59" spans="1:4" ht="20.100000000000001" customHeight="1">
      <c r="A59" s="488"/>
      <c r="B59" s="488"/>
      <c r="C59" s="488"/>
      <c r="D59" s="485"/>
    </row>
    <row r="60" spans="1:4" ht="148.5" customHeight="1">
      <c r="A60" s="488"/>
      <c r="B60" s="488"/>
      <c r="C60" s="488"/>
      <c r="D60" s="489"/>
    </row>
    <row r="61" spans="1:4" ht="108" customHeight="1">
      <c r="A61" s="488"/>
      <c r="B61" s="488"/>
      <c r="C61" s="488"/>
      <c r="D61" s="489"/>
    </row>
    <row r="62" spans="1:4" ht="26.25" customHeight="1">
      <c r="A62" s="488"/>
      <c r="B62" s="488"/>
      <c r="C62" s="488"/>
      <c r="D62" s="489"/>
    </row>
    <row r="63" spans="1:4" ht="20.100000000000001" customHeight="1">
      <c r="B63" s="484"/>
      <c r="C63" s="535"/>
      <c r="D63" s="535"/>
    </row>
    <row r="64" spans="1:4" ht="101.25" customHeight="1">
      <c r="B64" s="484"/>
      <c r="C64" s="536"/>
      <c r="D64" s="536"/>
    </row>
    <row r="65" spans="1:4" ht="20.100000000000001" customHeight="1">
      <c r="A65" s="484"/>
      <c r="B65" s="484"/>
      <c r="C65" s="490"/>
      <c r="D65" s="489"/>
    </row>
    <row r="66" spans="1:4" ht="20.100000000000001" customHeight="1">
      <c r="A66" s="484"/>
      <c r="B66" s="484"/>
    </row>
    <row r="67" spans="1:4" ht="20.100000000000001" customHeight="1">
      <c r="A67" s="484"/>
      <c r="B67" s="484"/>
    </row>
    <row r="68" spans="1:4">
      <c r="A68" s="484"/>
      <c r="B68" s="491"/>
    </row>
    <row r="69" spans="1:4" ht="20.100000000000001" customHeight="1"/>
  </sheetData>
  <sheetProtection algorithmName="SHA-512" hashValue="pDNfhrEZbEvhKTOtA1eASwjH9bqOHyRWd6Q+BR9kydU/QSXzuIFIj2y8cD+H4wTRSmA0oxPxVxJAgtX6fqy6PA==" saltValue="6Gf1pX11+bt/vuG12BHJJw==" spinCount="100000" sheet="1" objects="1" scenarios="1"/>
  <mergeCells count="4">
    <mergeCell ref="C19:D19"/>
    <mergeCell ref="C20:D20"/>
    <mergeCell ref="C63:D63"/>
    <mergeCell ref="C64:D64"/>
  </mergeCells>
  <phoneticPr fontId="59"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249977111117893"/>
  </sheetPr>
  <dimension ref="R1"/>
  <sheetViews>
    <sheetView showGridLines="0" topLeftCell="A4" zoomScale="75" zoomScaleNormal="75" workbookViewId="0">
      <selection activeCell="V8" sqref="V8"/>
    </sheetView>
  </sheetViews>
  <sheetFormatPr defaultColWidth="9" defaultRowHeight="13.5"/>
  <cols>
    <col min="1" max="1" width="4.125" customWidth="1"/>
    <col min="2" max="2" width="9" customWidth="1"/>
  </cols>
  <sheetData>
    <row r="1" spans="18:18" ht="14.25">
      <c r="R1" s="242" t="s">
        <v>17</v>
      </c>
    </row>
  </sheetData>
  <sheetProtection algorithmName="SHA-512" hashValue="wpMuu43iQZ/mowkHIFx/S3h28J4BgZzcdD24uwnO7mhGZhZcAsG26rD9bcxWdiy6TWyhCuJeFGy+H0Q5/o1ZAw==" saltValue="kIN1vgvGXd2pT6QYEp8SlA==" spinCount="100000" sheet="1" objects="1" scenarios="1"/>
  <phoneticPr fontId="59" type="noConversion"/>
  <pageMargins left="0.69930555555555596" right="0.69930555555555596"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12"/>
  </sheetPr>
  <dimension ref="A1:E552"/>
  <sheetViews>
    <sheetView showGridLines="0" tabSelected="1" workbookViewId="0">
      <selection activeCell="H19" sqref="A1:XFD1048576"/>
    </sheetView>
  </sheetViews>
  <sheetFormatPr defaultColWidth="9" defaultRowHeight="14.25"/>
  <cols>
    <col min="1" max="1" width="74.25" style="65" customWidth="1"/>
    <col min="2" max="16384" width="9" style="65"/>
  </cols>
  <sheetData>
    <row r="1" spans="1:5" ht="15">
      <c r="A1" s="65" t="s">
        <v>252</v>
      </c>
      <c r="E1" s="108"/>
    </row>
    <row r="2" spans="1:5">
      <c r="A2" s="65" t="s">
        <v>253</v>
      </c>
    </row>
    <row r="3" spans="1:5">
      <c r="A3" s="65" t="s">
        <v>254</v>
      </c>
    </row>
    <row r="4" spans="1:5">
      <c r="A4" s="65" t="s">
        <v>255</v>
      </c>
    </row>
    <row r="5" spans="1:5">
      <c r="A5" s="65" t="s">
        <v>256</v>
      </c>
    </row>
    <row r="6" spans="1:5">
      <c r="A6" s="65" t="s">
        <v>257</v>
      </c>
    </row>
    <row r="7" spans="1:5">
      <c r="A7" s="65" t="s">
        <v>258</v>
      </c>
    </row>
    <row r="8" spans="1:5">
      <c r="A8" s="65" t="s">
        <v>259</v>
      </c>
    </row>
    <row r="9" spans="1:5">
      <c r="A9" s="65" t="s">
        <v>260</v>
      </c>
    </row>
    <row r="10" spans="1:5">
      <c r="A10" s="65" t="s">
        <v>261</v>
      </c>
    </row>
    <row r="11" spans="1:5">
      <c r="A11" s="65" t="s">
        <v>262</v>
      </c>
    </row>
    <row r="12" spans="1:5">
      <c r="A12" s="65" t="s">
        <v>263</v>
      </c>
    </row>
    <row r="13" spans="1:5">
      <c r="A13" s="65" t="s">
        <v>264</v>
      </c>
    </row>
    <row r="14" spans="1:5">
      <c r="A14" s="65" t="s">
        <v>265</v>
      </c>
    </row>
    <row r="15" spans="1:5">
      <c r="A15" s="65" t="s">
        <v>266</v>
      </c>
    </row>
    <row r="16" spans="1:5">
      <c r="A16" s="65" t="s">
        <v>267</v>
      </c>
    </row>
    <row r="17" spans="1:1">
      <c r="A17" s="65" t="s">
        <v>268</v>
      </c>
    </row>
    <row r="18" spans="1:1">
      <c r="A18" s="65" t="s">
        <v>269</v>
      </c>
    </row>
    <row r="19" spans="1:1">
      <c r="A19" s="65" t="s">
        <v>270</v>
      </c>
    </row>
    <row r="20" spans="1:1">
      <c r="A20" s="65" t="s">
        <v>271</v>
      </c>
    </row>
    <row r="21" spans="1:1">
      <c r="A21" s="65" t="s">
        <v>272</v>
      </c>
    </row>
    <row r="22" spans="1:1">
      <c r="A22" s="65" t="s">
        <v>273</v>
      </c>
    </row>
    <row r="23" spans="1:1">
      <c r="A23" s="65" t="s">
        <v>274</v>
      </c>
    </row>
    <row r="24" spans="1:1">
      <c r="A24" s="65" t="s">
        <v>275</v>
      </c>
    </row>
    <row r="25" spans="1:1">
      <c r="A25" s="65" t="s">
        <v>276</v>
      </c>
    </row>
    <row r="26" spans="1:1">
      <c r="A26" s="65" t="s">
        <v>277</v>
      </c>
    </row>
    <row r="27" spans="1:1">
      <c r="A27" s="65" t="s">
        <v>278</v>
      </c>
    </row>
    <row r="28" spans="1:1">
      <c r="A28" s="65" t="s">
        <v>279</v>
      </c>
    </row>
    <row r="29" spans="1:1">
      <c r="A29" s="65" t="s">
        <v>280</v>
      </c>
    </row>
    <row r="30" spans="1:1">
      <c r="A30" s="65" t="s">
        <v>281</v>
      </c>
    </row>
    <row r="31" spans="1:1">
      <c r="A31" s="65" t="s">
        <v>282</v>
      </c>
    </row>
    <row r="32" spans="1:1">
      <c r="A32" s="65" t="s">
        <v>283</v>
      </c>
    </row>
    <row r="33" spans="1:1">
      <c r="A33" s="65" t="s">
        <v>284</v>
      </c>
    </row>
    <row r="34" spans="1:1">
      <c r="A34" s="65" t="s">
        <v>285</v>
      </c>
    </row>
    <row r="35" spans="1:1">
      <c r="A35" s="65" t="s">
        <v>286</v>
      </c>
    </row>
    <row r="36" spans="1:1">
      <c r="A36" s="65" t="s">
        <v>287</v>
      </c>
    </row>
    <row r="37" spans="1:1">
      <c r="A37" s="65" t="s">
        <v>288</v>
      </c>
    </row>
    <row r="38" spans="1:1">
      <c r="A38" s="65" t="s">
        <v>289</v>
      </c>
    </row>
    <row r="39" spans="1:1">
      <c r="A39" s="65" t="s">
        <v>290</v>
      </c>
    </row>
    <row r="40" spans="1:1">
      <c r="A40" s="65" t="s">
        <v>291</v>
      </c>
    </row>
    <row r="41" spans="1:1">
      <c r="A41" s="65" t="s">
        <v>292</v>
      </c>
    </row>
    <row r="42" spans="1:1">
      <c r="A42" s="65" t="s">
        <v>293</v>
      </c>
    </row>
    <row r="43" spans="1:1">
      <c r="A43" s="65" t="s">
        <v>294</v>
      </c>
    </row>
    <row r="44" spans="1:1">
      <c r="A44" s="65" t="s">
        <v>295</v>
      </c>
    </row>
    <row r="45" spans="1:1">
      <c r="A45" s="65" t="s">
        <v>296</v>
      </c>
    </row>
    <row r="46" spans="1:1">
      <c r="A46" s="65" t="s">
        <v>297</v>
      </c>
    </row>
    <row r="47" spans="1:1">
      <c r="A47" s="65" t="s">
        <v>298</v>
      </c>
    </row>
    <row r="48" spans="1:1">
      <c r="A48" s="65" t="s">
        <v>299</v>
      </c>
    </row>
    <row r="49" spans="1:1">
      <c r="A49" s="65" t="s">
        <v>300</v>
      </c>
    </row>
    <row r="50" spans="1:1">
      <c r="A50" s="65" t="s">
        <v>301</v>
      </c>
    </row>
    <row r="51" spans="1:1">
      <c r="A51" s="65" t="s">
        <v>302</v>
      </c>
    </row>
    <row r="52" spans="1:1">
      <c r="A52" s="65" t="s">
        <v>303</v>
      </c>
    </row>
    <row r="53" spans="1:1">
      <c r="A53" s="65" t="s">
        <v>304</v>
      </c>
    </row>
    <row r="54" spans="1:1">
      <c r="A54" s="65" t="s">
        <v>305</v>
      </c>
    </row>
    <row r="55" spans="1:1">
      <c r="A55" s="65" t="s">
        <v>306</v>
      </c>
    </row>
    <row r="56" spans="1:1">
      <c r="A56" s="65" t="s">
        <v>307</v>
      </c>
    </row>
    <row r="57" spans="1:1">
      <c r="A57" s="65" t="s">
        <v>308</v>
      </c>
    </row>
    <row r="58" spans="1:1">
      <c r="A58" s="65" t="s">
        <v>309</v>
      </c>
    </row>
    <row r="59" spans="1:1">
      <c r="A59" s="65" t="s">
        <v>310</v>
      </c>
    </row>
    <row r="60" spans="1:1">
      <c r="A60" s="65" t="s">
        <v>311</v>
      </c>
    </row>
    <row r="61" spans="1:1">
      <c r="A61" s="65" t="s">
        <v>312</v>
      </c>
    </row>
    <row r="62" spans="1:1">
      <c r="A62" s="65" t="s">
        <v>313</v>
      </c>
    </row>
    <row r="63" spans="1:1">
      <c r="A63" s="65" t="s">
        <v>314</v>
      </c>
    </row>
    <row r="64" spans="1:1">
      <c r="A64" s="65" t="s">
        <v>315</v>
      </c>
    </row>
    <row r="65" spans="1:1">
      <c r="A65" s="65" t="s">
        <v>316</v>
      </c>
    </row>
    <row r="66" spans="1:1">
      <c r="A66" s="65" t="s">
        <v>317</v>
      </c>
    </row>
    <row r="67" spans="1:1">
      <c r="A67" s="65" t="s">
        <v>318</v>
      </c>
    </row>
    <row r="68" spans="1:1">
      <c r="A68" s="65" t="s">
        <v>319</v>
      </c>
    </row>
    <row r="69" spans="1:1">
      <c r="A69" s="65" t="s">
        <v>320</v>
      </c>
    </row>
    <row r="70" spans="1:1">
      <c r="A70" s="65" t="s">
        <v>321</v>
      </c>
    </row>
    <row r="71" spans="1:1">
      <c r="A71" s="65" t="s">
        <v>322</v>
      </c>
    </row>
    <row r="72" spans="1:1">
      <c r="A72" s="65" t="s">
        <v>323</v>
      </c>
    </row>
    <row r="73" spans="1:1">
      <c r="A73" s="65" t="s">
        <v>324</v>
      </c>
    </row>
    <row r="74" spans="1:1">
      <c r="A74" s="65" t="s">
        <v>325</v>
      </c>
    </row>
    <row r="75" spans="1:1">
      <c r="A75" s="65" t="s">
        <v>326</v>
      </c>
    </row>
    <row r="76" spans="1:1">
      <c r="A76" s="65" t="s">
        <v>327</v>
      </c>
    </row>
    <row r="77" spans="1:1">
      <c r="A77" s="65" t="s">
        <v>328</v>
      </c>
    </row>
    <row r="78" spans="1:1">
      <c r="A78" s="65" t="s">
        <v>329</v>
      </c>
    </row>
    <row r="79" spans="1:1">
      <c r="A79" s="65" t="s">
        <v>330</v>
      </c>
    </row>
    <row r="80" spans="1:1">
      <c r="A80" s="65" t="s">
        <v>331</v>
      </c>
    </row>
    <row r="81" spans="1:1">
      <c r="A81" s="65" t="s">
        <v>332</v>
      </c>
    </row>
    <row r="82" spans="1:1">
      <c r="A82" s="65" t="s">
        <v>333</v>
      </c>
    </row>
    <row r="83" spans="1:1">
      <c r="A83" s="65" t="s">
        <v>334</v>
      </c>
    </row>
    <row r="84" spans="1:1">
      <c r="A84" s="65" t="s">
        <v>2393</v>
      </c>
    </row>
    <row r="85" spans="1:1">
      <c r="A85" s="65" t="s">
        <v>2394</v>
      </c>
    </row>
    <row r="86" spans="1:1">
      <c r="A86" s="65" t="s">
        <v>335</v>
      </c>
    </row>
    <row r="87" spans="1:1">
      <c r="A87" s="65" t="s">
        <v>336</v>
      </c>
    </row>
    <row r="88" spans="1:1">
      <c r="A88" s="65" t="s">
        <v>337</v>
      </c>
    </row>
    <row r="89" spans="1:1">
      <c r="A89" s="65" t="s">
        <v>338</v>
      </c>
    </row>
    <row r="90" spans="1:1">
      <c r="A90" s="65" t="s">
        <v>2395</v>
      </c>
    </row>
    <row r="91" spans="1:1">
      <c r="A91" s="65" t="s">
        <v>339</v>
      </c>
    </row>
    <row r="92" spans="1:1">
      <c r="A92" s="65" t="s">
        <v>340</v>
      </c>
    </row>
    <row r="93" spans="1:1">
      <c r="A93" s="65" t="s">
        <v>341</v>
      </c>
    </row>
    <row r="94" spans="1:1">
      <c r="A94" s="65" t="s">
        <v>2396</v>
      </c>
    </row>
    <row r="95" spans="1:1">
      <c r="A95" s="65" t="s">
        <v>342</v>
      </c>
    </row>
    <row r="96" spans="1:1">
      <c r="A96" s="65" t="s">
        <v>343</v>
      </c>
    </row>
    <row r="97" spans="1:1">
      <c r="A97" s="65" t="s">
        <v>344</v>
      </c>
    </row>
    <row r="98" spans="1:1">
      <c r="A98" s="65" t="s">
        <v>345</v>
      </c>
    </row>
    <row r="99" spans="1:1">
      <c r="A99" s="65" t="s">
        <v>346</v>
      </c>
    </row>
    <row r="100" spans="1:1">
      <c r="A100" s="65" t="s">
        <v>347</v>
      </c>
    </row>
    <row r="101" spans="1:1">
      <c r="A101" s="65" t="s">
        <v>2371</v>
      </c>
    </row>
    <row r="102" spans="1:1">
      <c r="A102" s="65" t="s">
        <v>2397</v>
      </c>
    </row>
    <row r="103" spans="1:1">
      <c r="A103" s="65" t="s">
        <v>2398</v>
      </c>
    </row>
    <row r="104" spans="1:1">
      <c r="A104" s="65" t="s">
        <v>348</v>
      </c>
    </row>
    <row r="105" spans="1:1">
      <c r="A105" s="65" t="s">
        <v>349</v>
      </c>
    </row>
    <row r="106" spans="1:1">
      <c r="A106" s="65" t="s">
        <v>350</v>
      </c>
    </row>
    <row r="107" spans="1:1">
      <c r="A107" s="65" t="s">
        <v>351</v>
      </c>
    </row>
    <row r="108" spans="1:1">
      <c r="A108" s="65" t="s">
        <v>2399</v>
      </c>
    </row>
    <row r="109" spans="1:1">
      <c r="A109" s="65" t="s">
        <v>352</v>
      </c>
    </row>
    <row r="110" spans="1:1">
      <c r="A110" s="65" t="s">
        <v>353</v>
      </c>
    </row>
    <row r="111" spans="1:1">
      <c r="A111" s="65" t="s">
        <v>354</v>
      </c>
    </row>
    <row r="112" spans="1:1">
      <c r="A112" s="65" t="s">
        <v>2400</v>
      </c>
    </row>
    <row r="113" spans="1:1">
      <c r="A113" s="65" t="s">
        <v>355</v>
      </c>
    </row>
    <row r="114" spans="1:1">
      <c r="A114" s="65" t="s">
        <v>356</v>
      </c>
    </row>
    <row r="115" spans="1:1">
      <c r="A115" s="65" t="s">
        <v>357</v>
      </c>
    </row>
    <row r="116" spans="1:1">
      <c r="A116" s="65" t="s">
        <v>358</v>
      </c>
    </row>
    <row r="117" spans="1:1">
      <c r="A117" s="65" t="s">
        <v>359</v>
      </c>
    </row>
    <row r="118" spans="1:1">
      <c r="A118" s="65" t="s">
        <v>360</v>
      </c>
    </row>
    <row r="119" spans="1:1">
      <c r="A119" s="65" t="s">
        <v>2372</v>
      </c>
    </row>
    <row r="120" spans="1:1">
      <c r="A120" s="65" t="s">
        <v>361</v>
      </c>
    </row>
    <row r="121" spans="1:1">
      <c r="A121" s="65" t="s">
        <v>362</v>
      </c>
    </row>
    <row r="122" spans="1:1">
      <c r="A122" s="65" t="s">
        <v>363</v>
      </c>
    </row>
    <row r="123" spans="1:1">
      <c r="A123" s="65" t="s">
        <v>364</v>
      </c>
    </row>
    <row r="124" spans="1:1">
      <c r="A124" s="65" t="s">
        <v>365</v>
      </c>
    </row>
    <row r="125" spans="1:1">
      <c r="A125" s="65" t="s">
        <v>366</v>
      </c>
    </row>
    <row r="126" spans="1:1">
      <c r="A126" s="65" t="s">
        <v>367</v>
      </c>
    </row>
    <row r="127" spans="1:1">
      <c r="A127" s="65" t="s">
        <v>368</v>
      </c>
    </row>
    <row r="128" spans="1:1">
      <c r="A128" s="65" t="s">
        <v>369</v>
      </c>
    </row>
    <row r="129" spans="1:1">
      <c r="A129" s="65" t="s">
        <v>370</v>
      </c>
    </row>
    <row r="130" spans="1:1">
      <c r="A130" s="65" t="s">
        <v>371</v>
      </c>
    </row>
    <row r="131" spans="1:1">
      <c r="A131" s="65" t="s">
        <v>372</v>
      </c>
    </row>
    <row r="132" spans="1:1">
      <c r="A132" s="65" t="s">
        <v>373</v>
      </c>
    </row>
    <row r="133" spans="1:1">
      <c r="A133" s="65" t="s">
        <v>374</v>
      </c>
    </row>
    <row r="134" spans="1:1">
      <c r="A134" s="65" t="s">
        <v>375</v>
      </c>
    </row>
    <row r="135" spans="1:1">
      <c r="A135" s="65" t="s">
        <v>376</v>
      </c>
    </row>
    <row r="136" spans="1:1">
      <c r="A136" s="65" t="s">
        <v>377</v>
      </c>
    </row>
    <row r="137" spans="1:1">
      <c r="A137" s="65" t="s">
        <v>378</v>
      </c>
    </row>
    <row r="138" spans="1:1">
      <c r="A138" s="65" t="s">
        <v>379</v>
      </c>
    </row>
    <row r="139" spans="1:1">
      <c r="A139" s="65" t="s">
        <v>380</v>
      </c>
    </row>
    <row r="140" spans="1:1">
      <c r="A140" s="65" t="s">
        <v>381</v>
      </c>
    </row>
    <row r="141" spans="1:1">
      <c r="A141" s="65" t="s">
        <v>382</v>
      </c>
    </row>
    <row r="142" spans="1:1">
      <c r="A142" s="65" t="s">
        <v>383</v>
      </c>
    </row>
    <row r="143" spans="1:1">
      <c r="A143" s="65" t="s">
        <v>384</v>
      </c>
    </row>
    <row r="144" spans="1:1">
      <c r="A144" s="65" t="s">
        <v>385</v>
      </c>
    </row>
    <row r="145" spans="1:1" ht="15" customHeight="1">
      <c r="A145" s="65" t="s">
        <v>386</v>
      </c>
    </row>
    <row r="146" spans="1:1">
      <c r="A146" s="65" t="s">
        <v>387</v>
      </c>
    </row>
    <row r="147" spans="1:1">
      <c r="A147" s="65" t="s">
        <v>388</v>
      </c>
    </row>
    <row r="148" spans="1:1">
      <c r="A148" s="65" t="s">
        <v>389</v>
      </c>
    </row>
    <row r="149" spans="1:1">
      <c r="A149" s="65" t="s">
        <v>390</v>
      </c>
    </row>
    <row r="150" spans="1:1">
      <c r="A150" s="65" t="s">
        <v>391</v>
      </c>
    </row>
    <row r="151" spans="1:1">
      <c r="A151" s="65" t="s">
        <v>392</v>
      </c>
    </row>
    <row r="152" spans="1:1">
      <c r="A152" s="65" t="s">
        <v>393</v>
      </c>
    </row>
    <row r="153" spans="1:1">
      <c r="A153" s="65" t="s">
        <v>394</v>
      </c>
    </row>
    <row r="154" spans="1:1">
      <c r="A154" s="65" t="s">
        <v>395</v>
      </c>
    </row>
    <row r="155" spans="1:1">
      <c r="A155" s="65" t="s">
        <v>396</v>
      </c>
    </row>
    <row r="156" spans="1:1">
      <c r="A156" s="65" t="s">
        <v>2392</v>
      </c>
    </row>
    <row r="157" spans="1:1">
      <c r="A157" s="65" t="s">
        <v>2401</v>
      </c>
    </row>
    <row r="158" spans="1:1">
      <c r="A158" s="65" t="s">
        <v>397</v>
      </c>
    </row>
    <row r="159" spans="1:1">
      <c r="A159" s="65" t="s">
        <v>398</v>
      </c>
    </row>
    <row r="160" spans="1:1">
      <c r="A160" s="65" t="s">
        <v>399</v>
      </c>
    </row>
    <row r="161" spans="1:1">
      <c r="A161" s="65" t="s">
        <v>400</v>
      </c>
    </row>
    <row r="162" spans="1:1">
      <c r="A162" s="65" t="s">
        <v>401</v>
      </c>
    </row>
    <row r="163" spans="1:1">
      <c r="A163" s="65" t="s">
        <v>402</v>
      </c>
    </row>
    <row r="164" spans="1:1">
      <c r="A164" s="65" t="s">
        <v>403</v>
      </c>
    </row>
    <row r="165" spans="1:1">
      <c r="A165" s="65" t="s">
        <v>404</v>
      </c>
    </row>
    <row r="166" spans="1:1">
      <c r="A166" s="65" t="s">
        <v>405</v>
      </c>
    </row>
    <row r="167" spans="1:1">
      <c r="A167" s="65" t="s">
        <v>406</v>
      </c>
    </row>
    <row r="168" spans="1:1">
      <c r="A168" s="65" t="s">
        <v>407</v>
      </c>
    </row>
    <row r="169" spans="1:1">
      <c r="A169" s="65" t="s">
        <v>408</v>
      </c>
    </row>
    <row r="170" spans="1:1">
      <c r="A170" s="65" t="s">
        <v>409</v>
      </c>
    </row>
    <row r="171" spans="1:1">
      <c r="A171" s="65" t="s">
        <v>410</v>
      </c>
    </row>
    <row r="172" spans="1:1">
      <c r="A172" s="65" t="s">
        <v>411</v>
      </c>
    </row>
    <row r="173" spans="1:1">
      <c r="A173" s="65" t="s">
        <v>412</v>
      </c>
    </row>
    <row r="174" spans="1:1">
      <c r="A174" s="65" t="s">
        <v>413</v>
      </c>
    </row>
    <row r="175" spans="1:1">
      <c r="A175" s="65" t="s">
        <v>414</v>
      </c>
    </row>
    <row r="176" spans="1:1">
      <c r="A176" s="65" t="s">
        <v>415</v>
      </c>
    </row>
    <row r="177" spans="1:1">
      <c r="A177" s="65" t="s">
        <v>416</v>
      </c>
    </row>
    <row r="178" spans="1:1">
      <c r="A178" s="65" t="s">
        <v>417</v>
      </c>
    </row>
    <row r="179" spans="1:1">
      <c r="A179" s="65" t="s">
        <v>418</v>
      </c>
    </row>
    <row r="180" spans="1:1">
      <c r="A180" s="65" t="s">
        <v>419</v>
      </c>
    </row>
    <row r="181" spans="1:1">
      <c r="A181" s="65" t="s">
        <v>420</v>
      </c>
    </row>
    <row r="182" spans="1:1">
      <c r="A182" s="65" t="s">
        <v>421</v>
      </c>
    </row>
    <row r="183" spans="1:1">
      <c r="A183" s="65" t="s">
        <v>422</v>
      </c>
    </row>
    <row r="184" spans="1:1">
      <c r="A184" s="65" t="s">
        <v>2402</v>
      </c>
    </row>
    <row r="185" spans="1:1">
      <c r="A185" s="65" t="s">
        <v>2403</v>
      </c>
    </row>
    <row r="186" spans="1:1">
      <c r="A186" s="65" t="s">
        <v>423</v>
      </c>
    </row>
    <row r="187" spans="1:1">
      <c r="A187" s="65" t="s">
        <v>424</v>
      </c>
    </row>
    <row r="188" spans="1:1">
      <c r="A188" s="65" t="s">
        <v>425</v>
      </c>
    </row>
    <row r="189" spans="1:1">
      <c r="A189" s="65" t="s">
        <v>426</v>
      </c>
    </row>
    <row r="190" spans="1:1">
      <c r="A190" s="65" t="s">
        <v>2404</v>
      </c>
    </row>
    <row r="191" spans="1:1">
      <c r="A191" s="65" t="s">
        <v>427</v>
      </c>
    </row>
    <row r="192" spans="1:1">
      <c r="A192" s="65" t="s">
        <v>428</v>
      </c>
    </row>
    <row r="193" spans="1:1">
      <c r="A193" s="65" t="s">
        <v>429</v>
      </c>
    </row>
    <row r="194" spans="1:1">
      <c r="A194" s="65" t="s">
        <v>2405</v>
      </c>
    </row>
    <row r="195" spans="1:1">
      <c r="A195" s="65" t="s">
        <v>430</v>
      </c>
    </row>
    <row r="196" spans="1:1">
      <c r="A196" s="65" t="s">
        <v>431</v>
      </c>
    </row>
    <row r="197" spans="1:1">
      <c r="A197" s="65" t="s">
        <v>432</v>
      </c>
    </row>
    <row r="198" spans="1:1">
      <c r="A198" s="65" t="s">
        <v>433</v>
      </c>
    </row>
    <row r="199" spans="1:1">
      <c r="A199" s="65" t="s">
        <v>434</v>
      </c>
    </row>
    <row r="200" spans="1:1">
      <c r="A200" s="65" t="s">
        <v>435</v>
      </c>
    </row>
    <row r="201" spans="1:1">
      <c r="A201" s="65" t="s">
        <v>2373</v>
      </c>
    </row>
    <row r="202" spans="1:1">
      <c r="A202" s="65" t="s">
        <v>2406</v>
      </c>
    </row>
    <row r="203" spans="1:1">
      <c r="A203" s="65" t="s">
        <v>2407</v>
      </c>
    </row>
    <row r="204" spans="1:1">
      <c r="A204" s="65" t="s">
        <v>436</v>
      </c>
    </row>
    <row r="205" spans="1:1">
      <c r="A205" s="65" t="s">
        <v>437</v>
      </c>
    </row>
    <row r="206" spans="1:1">
      <c r="A206" s="65" t="s">
        <v>438</v>
      </c>
    </row>
    <row r="207" spans="1:1">
      <c r="A207" s="65" t="s">
        <v>439</v>
      </c>
    </row>
    <row r="208" spans="1:1">
      <c r="A208" s="65" t="s">
        <v>2408</v>
      </c>
    </row>
    <row r="209" spans="1:1">
      <c r="A209" s="65" t="s">
        <v>440</v>
      </c>
    </row>
    <row r="210" spans="1:1">
      <c r="A210" s="65" t="s">
        <v>441</v>
      </c>
    </row>
    <row r="211" spans="1:1">
      <c r="A211" s="65" t="s">
        <v>442</v>
      </c>
    </row>
    <row r="212" spans="1:1">
      <c r="A212" s="65" t="s">
        <v>2409</v>
      </c>
    </row>
    <row r="213" spans="1:1">
      <c r="A213" s="65" t="s">
        <v>443</v>
      </c>
    </row>
    <row r="214" spans="1:1">
      <c r="A214" s="65" t="s">
        <v>444</v>
      </c>
    </row>
    <row r="215" spans="1:1">
      <c r="A215" s="65" t="s">
        <v>445</v>
      </c>
    </row>
    <row r="216" spans="1:1">
      <c r="A216" s="65" t="s">
        <v>446</v>
      </c>
    </row>
    <row r="217" spans="1:1">
      <c r="A217" s="65" t="s">
        <v>447</v>
      </c>
    </row>
    <row r="218" spans="1:1">
      <c r="A218" s="65" t="s">
        <v>448</v>
      </c>
    </row>
    <row r="219" spans="1:1">
      <c r="A219" s="65" t="s">
        <v>2374</v>
      </c>
    </row>
    <row r="220" spans="1:1">
      <c r="A220" s="65" t="s">
        <v>2410</v>
      </c>
    </row>
    <row r="221" spans="1:1">
      <c r="A221" s="65" t="s">
        <v>2411</v>
      </c>
    </row>
    <row r="222" spans="1:1">
      <c r="A222" s="65" t="s">
        <v>449</v>
      </c>
    </row>
    <row r="223" spans="1:1">
      <c r="A223" s="65" t="s">
        <v>450</v>
      </c>
    </row>
    <row r="224" spans="1:1">
      <c r="A224" s="65" t="s">
        <v>451</v>
      </c>
    </row>
    <row r="225" spans="1:1">
      <c r="A225" s="65" t="s">
        <v>452</v>
      </c>
    </row>
    <row r="226" spans="1:1">
      <c r="A226" s="65" t="s">
        <v>2412</v>
      </c>
    </row>
    <row r="227" spans="1:1">
      <c r="A227" s="65" t="s">
        <v>453</v>
      </c>
    </row>
    <row r="228" spans="1:1">
      <c r="A228" s="65" t="s">
        <v>454</v>
      </c>
    </row>
    <row r="229" spans="1:1">
      <c r="A229" s="65" t="s">
        <v>455</v>
      </c>
    </row>
    <row r="230" spans="1:1">
      <c r="A230" s="65" t="s">
        <v>2413</v>
      </c>
    </row>
    <row r="231" spans="1:1">
      <c r="A231" s="65" t="s">
        <v>456</v>
      </c>
    </row>
    <row r="232" spans="1:1">
      <c r="A232" s="65" t="s">
        <v>457</v>
      </c>
    </row>
    <row r="233" spans="1:1">
      <c r="A233" s="65" t="s">
        <v>458</v>
      </c>
    </row>
    <row r="234" spans="1:1">
      <c r="A234" s="65" t="s">
        <v>459</v>
      </c>
    </row>
    <row r="235" spans="1:1">
      <c r="A235" s="65" t="s">
        <v>460</v>
      </c>
    </row>
    <row r="236" spans="1:1">
      <c r="A236" s="65" t="s">
        <v>461</v>
      </c>
    </row>
    <row r="237" spans="1:1">
      <c r="A237" s="65" t="s">
        <v>2375</v>
      </c>
    </row>
    <row r="238" spans="1:1">
      <c r="A238" s="65" t="s">
        <v>2414</v>
      </c>
    </row>
    <row r="239" spans="1:1">
      <c r="A239" s="65" t="s">
        <v>2415</v>
      </c>
    </row>
    <row r="240" spans="1:1">
      <c r="A240" s="65" t="s">
        <v>462</v>
      </c>
    </row>
    <row r="241" spans="1:1">
      <c r="A241" s="65" t="s">
        <v>463</v>
      </c>
    </row>
    <row r="242" spans="1:1">
      <c r="A242" s="65" t="s">
        <v>464</v>
      </c>
    </row>
    <row r="243" spans="1:1">
      <c r="A243" s="65" t="s">
        <v>465</v>
      </c>
    </row>
    <row r="244" spans="1:1">
      <c r="A244" s="65" t="s">
        <v>2416</v>
      </c>
    </row>
    <row r="245" spans="1:1">
      <c r="A245" s="65" t="s">
        <v>466</v>
      </c>
    </row>
    <row r="246" spans="1:1">
      <c r="A246" s="65" t="s">
        <v>467</v>
      </c>
    </row>
    <row r="247" spans="1:1">
      <c r="A247" s="65" t="s">
        <v>468</v>
      </c>
    </row>
    <row r="248" spans="1:1">
      <c r="A248" s="65" t="s">
        <v>2417</v>
      </c>
    </row>
    <row r="249" spans="1:1">
      <c r="A249" s="65" t="s">
        <v>469</v>
      </c>
    </row>
    <row r="250" spans="1:1">
      <c r="A250" s="65" t="s">
        <v>470</v>
      </c>
    </row>
    <row r="251" spans="1:1">
      <c r="A251" s="65" t="s">
        <v>471</v>
      </c>
    </row>
    <row r="252" spans="1:1">
      <c r="A252" s="65" t="s">
        <v>472</v>
      </c>
    </row>
    <row r="253" spans="1:1">
      <c r="A253" s="65" t="s">
        <v>473</v>
      </c>
    </row>
    <row r="254" spans="1:1">
      <c r="A254" s="65" t="s">
        <v>474</v>
      </c>
    </row>
    <row r="255" spans="1:1">
      <c r="A255" s="65" t="s">
        <v>2376</v>
      </c>
    </row>
    <row r="256" spans="1:1">
      <c r="A256" s="65" t="s">
        <v>475</v>
      </c>
    </row>
    <row r="257" spans="1:1">
      <c r="A257" s="65" t="s">
        <v>476</v>
      </c>
    </row>
    <row r="258" spans="1:1">
      <c r="A258" s="65" t="s">
        <v>477</v>
      </c>
    </row>
    <row r="259" spans="1:1">
      <c r="A259" s="65" t="s">
        <v>478</v>
      </c>
    </row>
    <row r="260" spans="1:1">
      <c r="A260" s="65" t="s">
        <v>479</v>
      </c>
    </row>
    <row r="261" spans="1:1">
      <c r="A261" s="65" t="s">
        <v>480</v>
      </c>
    </row>
    <row r="262" spans="1:1">
      <c r="A262" s="65" t="s">
        <v>481</v>
      </c>
    </row>
    <row r="263" spans="1:1">
      <c r="A263" s="65" t="s">
        <v>482</v>
      </c>
    </row>
    <row r="264" spans="1:1">
      <c r="A264" s="65" t="s">
        <v>483</v>
      </c>
    </row>
    <row r="265" spans="1:1">
      <c r="A265" s="65" t="s">
        <v>484</v>
      </c>
    </row>
    <row r="266" spans="1:1">
      <c r="A266" s="65" t="s">
        <v>485</v>
      </c>
    </row>
    <row r="267" spans="1:1">
      <c r="A267" s="65" t="s">
        <v>486</v>
      </c>
    </row>
    <row r="268" spans="1:1">
      <c r="A268" s="65" t="s">
        <v>487</v>
      </c>
    </row>
    <row r="269" spans="1:1">
      <c r="A269" s="65" t="s">
        <v>488</v>
      </c>
    </row>
    <row r="270" spans="1:1">
      <c r="A270" s="65" t="s">
        <v>489</v>
      </c>
    </row>
    <row r="271" spans="1:1">
      <c r="A271" s="65" t="s">
        <v>490</v>
      </c>
    </row>
    <row r="272" spans="1:1">
      <c r="A272" s="65" t="s">
        <v>491</v>
      </c>
    </row>
    <row r="273" spans="1:1">
      <c r="A273" s="65" t="s">
        <v>492</v>
      </c>
    </row>
    <row r="274" spans="1:1">
      <c r="A274" s="65" t="s">
        <v>493</v>
      </c>
    </row>
    <row r="275" spans="1:1">
      <c r="A275" s="65" t="s">
        <v>494</v>
      </c>
    </row>
    <row r="276" spans="1:1">
      <c r="A276" s="65" t="s">
        <v>495</v>
      </c>
    </row>
    <row r="277" spans="1:1">
      <c r="A277" s="65" t="s">
        <v>496</v>
      </c>
    </row>
    <row r="278" spans="1:1">
      <c r="A278" s="65" t="s">
        <v>497</v>
      </c>
    </row>
    <row r="279" spans="1:1">
      <c r="A279" s="65" t="s">
        <v>498</v>
      </c>
    </row>
    <row r="280" spans="1:1">
      <c r="A280" s="65" t="s">
        <v>499</v>
      </c>
    </row>
    <row r="281" spans="1:1">
      <c r="A281" s="65" t="s">
        <v>500</v>
      </c>
    </row>
    <row r="282" spans="1:1">
      <c r="A282" s="65" t="s">
        <v>501</v>
      </c>
    </row>
    <row r="283" spans="1:1">
      <c r="A283" s="65" t="s">
        <v>502</v>
      </c>
    </row>
    <row r="284" spans="1:1">
      <c r="A284" s="65" t="s">
        <v>503</v>
      </c>
    </row>
    <row r="285" spans="1:1">
      <c r="A285" s="65" t="s">
        <v>2418</v>
      </c>
    </row>
    <row r="286" spans="1:1">
      <c r="A286" s="65" t="s">
        <v>504</v>
      </c>
    </row>
    <row r="287" spans="1:1">
      <c r="A287" s="65" t="s">
        <v>505</v>
      </c>
    </row>
    <row r="288" spans="1:1">
      <c r="A288" s="65" t="s">
        <v>506</v>
      </c>
    </row>
    <row r="289" spans="1:1">
      <c r="A289" s="65" t="s">
        <v>507</v>
      </c>
    </row>
    <row r="290" spans="1:1">
      <c r="A290" s="65" t="s">
        <v>508</v>
      </c>
    </row>
    <row r="291" spans="1:1">
      <c r="A291" s="65" t="s">
        <v>509</v>
      </c>
    </row>
    <row r="292" spans="1:1">
      <c r="A292" s="65" t="s">
        <v>510</v>
      </c>
    </row>
    <row r="293" spans="1:1">
      <c r="A293" s="65" t="s">
        <v>511</v>
      </c>
    </row>
    <row r="294" spans="1:1">
      <c r="A294" s="65" t="s">
        <v>512</v>
      </c>
    </row>
    <row r="295" spans="1:1">
      <c r="A295" s="65" t="s">
        <v>513</v>
      </c>
    </row>
    <row r="296" spans="1:1">
      <c r="A296" s="65" t="s">
        <v>514</v>
      </c>
    </row>
    <row r="297" spans="1:1">
      <c r="A297" s="65" t="s">
        <v>515</v>
      </c>
    </row>
    <row r="298" spans="1:1">
      <c r="A298" s="65" t="s">
        <v>516</v>
      </c>
    </row>
    <row r="299" spans="1:1">
      <c r="A299" s="65" t="s">
        <v>517</v>
      </c>
    </row>
    <row r="300" spans="1:1">
      <c r="A300" s="65" t="s">
        <v>518</v>
      </c>
    </row>
    <row r="301" spans="1:1">
      <c r="A301" s="65" t="s">
        <v>519</v>
      </c>
    </row>
    <row r="302" spans="1:1">
      <c r="A302" s="65" t="s">
        <v>520</v>
      </c>
    </row>
    <row r="303" spans="1:1">
      <c r="A303" s="65" t="s">
        <v>520</v>
      </c>
    </row>
    <row r="304" spans="1:1">
      <c r="A304" s="65" t="s">
        <v>520</v>
      </c>
    </row>
    <row r="305" spans="1:1">
      <c r="A305" s="65" t="s">
        <v>521</v>
      </c>
    </row>
    <row r="306" spans="1:1">
      <c r="A306" s="65" t="s">
        <v>522</v>
      </c>
    </row>
    <row r="307" spans="1:1">
      <c r="A307" s="65" t="s">
        <v>523</v>
      </c>
    </row>
    <row r="308" spans="1:1">
      <c r="A308" s="65" t="s">
        <v>524</v>
      </c>
    </row>
    <row r="309" spans="1:1">
      <c r="A309" s="65" t="s">
        <v>525</v>
      </c>
    </row>
    <row r="310" spans="1:1">
      <c r="A310" s="65" t="s">
        <v>526</v>
      </c>
    </row>
    <row r="311" spans="1:1">
      <c r="A311" s="65" t="s">
        <v>256</v>
      </c>
    </row>
    <row r="312" spans="1:1">
      <c r="A312" s="65" t="s">
        <v>527</v>
      </c>
    </row>
    <row r="313" spans="1:1">
      <c r="A313" s="65" t="s">
        <v>528</v>
      </c>
    </row>
    <row r="314" spans="1:1">
      <c r="A314" s="65" t="s">
        <v>529</v>
      </c>
    </row>
    <row r="315" spans="1:1">
      <c r="A315" s="65" t="s">
        <v>530</v>
      </c>
    </row>
    <row r="316" spans="1:1">
      <c r="A316" s="65" t="s">
        <v>531</v>
      </c>
    </row>
    <row r="317" spans="1:1">
      <c r="A317" s="65" t="s">
        <v>532</v>
      </c>
    </row>
    <row r="318" spans="1:1">
      <c r="A318" s="65" t="s">
        <v>533</v>
      </c>
    </row>
    <row r="319" spans="1:1">
      <c r="A319" s="65" t="s">
        <v>259</v>
      </c>
    </row>
    <row r="320" spans="1:1">
      <c r="A320" s="65" t="s">
        <v>260</v>
      </c>
    </row>
    <row r="321" spans="1:1">
      <c r="A321" s="65" t="s">
        <v>261</v>
      </c>
    </row>
    <row r="322" spans="1:1">
      <c r="A322" s="65" t="s">
        <v>262</v>
      </c>
    </row>
    <row r="323" spans="1:1">
      <c r="A323" s="65" t="s">
        <v>534</v>
      </c>
    </row>
    <row r="324" spans="1:1">
      <c r="A324" s="65" t="s">
        <v>521</v>
      </c>
    </row>
    <row r="325" spans="1:1">
      <c r="A325" s="65" t="s">
        <v>535</v>
      </c>
    </row>
    <row r="326" spans="1:1">
      <c r="A326" s="65" t="s">
        <v>536</v>
      </c>
    </row>
    <row r="327" spans="1:1">
      <c r="A327" s="65" t="s">
        <v>537</v>
      </c>
    </row>
    <row r="328" spans="1:1">
      <c r="A328" s="65" t="s">
        <v>525</v>
      </c>
    </row>
    <row r="329" spans="1:1">
      <c r="A329" s="65" t="s">
        <v>526</v>
      </c>
    </row>
    <row r="330" spans="1:1">
      <c r="A330" s="65" t="s">
        <v>256</v>
      </c>
    </row>
    <row r="331" spans="1:1">
      <c r="A331" s="65" t="s">
        <v>527</v>
      </c>
    </row>
    <row r="332" spans="1:1">
      <c r="A332" s="65" t="s">
        <v>528</v>
      </c>
    </row>
    <row r="333" spans="1:1">
      <c r="A333" s="65" t="s">
        <v>529</v>
      </c>
    </row>
    <row r="334" spans="1:1">
      <c r="A334" s="65" t="s">
        <v>530</v>
      </c>
    </row>
    <row r="335" spans="1:1">
      <c r="A335" s="65" t="s">
        <v>531</v>
      </c>
    </row>
    <row r="336" spans="1:1">
      <c r="A336" s="65" t="s">
        <v>532</v>
      </c>
    </row>
    <row r="337" spans="1:1">
      <c r="A337" s="65" t="s">
        <v>533</v>
      </c>
    </row>
    <row r="338" spans="1:1">
      <c r="A338" s="65" t="s">
        <v>259</v>
      </c>
    </row>
    <row r="339" spans="1:1">
      <c r="A339" s="65" t="s">
        <v>260</v>
      </c>
    </row>
    <row r="340" spans="1:1">
      <c r="A340" s="65" t="s">
        <v>261</v>
      </c>
    </row>
    <row r="341" spans="1:1">
      <c r="A341" s="65" t="s">
        <v>262</v>
      </c>
    </row>
    <row r="342" spans="1:1">
      <c r="A342" s="65" t="s">
        <v>538</v>
      </c>
    </row>
    <row r="343" spans="1:1">
      <c r="A343" s="65" t="s">
        <v>539</v>
      </c>
    </row>
    <row r="344" spans="1:1">
      <c r="A344" s="65" t="s">
        <v>540</v>
      </c>
    </row>
    <row r="345" spans="1:1">
      <c r="A345" s="65" t="s">
        <v>541</v>
      </c>
    </row>
    <row r="346" spans="1:1">
      <c r="A346" s="65" t="s">
        <v>542</v>
      </c>
    </row>
    <row r="347" spans="1:1">
      <c r="A347" s="65" t="s">
        <v>543</v>
      </c>
    </row>
    <row r="348" spans="1:1">
      <c r="A348" s="65" t="s">
        <v>544</v>
      </c>
    </row>
    <row r="349" spans="1:1">
      <c r="A349" s="65" t="s">
        <v>545</v>
      </c>
    </row>
    <row r="350" spans="1:1">
      <c r="A350" s="65" t="s">
        <v>256</v>
      </c>
    </row>
    <row r="351" spans="1:1">
      <c r="A351" s="65" t="s">
        <v>546</v>
      </c>
    </row>
    <row r="352" spans="1:1">
      <c r="A352" s="65" t="s">
        <v>547</v>
      </c>
    </row>
    <row r="353" spans="1:1">
      <c r="A353" s="65" t="s">
        <v>548</v>
      </c>
    </row>
    <row r="354" spans="1:1">
      <c r="A354" s="65" t="s">
        <v>549</v>
      </c>
    </row>
    <row r="355" spans="1:1">
      <c r="A355" s="65" t="s">
        <v>550</v>
      </c>
    </row>
    <row r="356" spans="1:1">
      <c r="A356" s="65" t="s">
        <v>551</v>
      </c>
    </row>
    <row r="357" spans="1:1">
      <c r="A357" s="65" t="s">
        <v>552</v>
      </c>
    </row>
    <row r="358" spans="1:1">
      <c r="A358" s="65" t="s">
        <v>553</v>
      </c>
    </row>
    <row r="359" spans="1:1">
      <c r="A359" s="65" t="s">
        <v>554</v>
      </c>
    </row>
    <row r="360" spans="1:1">
      <c r="A360" s="65" t="s">
        <v>555</v>
      </c>
    </row>
    <row r="361" spans="1:1">
      <c r="A361" s="65" t="s">
        <v>556</v>
      </c>
    </row>
    <row r="362" spans="1:1">
      <c r="A362" s="65" t="s">
        <v>557</v>
      </c>
    </row>
    <row r="363" spans="1:1">
      <c r="A363" s="65" t="s">
        <v>558</v>
      </c>
    </row>
    <row r="364" spans="1:1">
      <c r="A364" s="65" t="s">
        <v>559</v>
      </c>
    </row>
    <row r="365" spans="1:1">
      <c r="A365" s="65" t="s">
        <v>560</v>
      </c>
    </row>
    <row r="366" spans="1:1">
      <c r="A366" s="65" t="s">
        <v>561</v>
      </c>
    </row>
    <row r="367" spans="1:1">
      <c r="A367" s="65" t="s">
        <v>562</v>
      </c>
    </row>
    <row r="368" spans="1:1">
      <c r="A368" s="65" t="s">
        <v>563</v>
      </c>
    </row>
    <row r="369" spans="1:1">
      <c r="A369" s="65" t="s">
        <v>564</v>
      </c>
    </row>
    <row r="370" spans="1:1">
      <c r="A370" s="65" t="s">
        <v>565</v>
      </c>
    </row>
    <row r="371" spans="1:1">
      <c r="A371" s="65" t="s">
        <v>566</v>
      </c>
    </row>
    <row r="372" spans="1:1">
      <c r="A372" s="65" t="s">
        <v>567</v>
      </c>
    </row>
    <row r="373" spans="1:1">
      <c r="A373" s="65" t="s">
        <v>568</v>
      </c>
    </row>
    <row r="374" spans="1:1">
      <c r="A374" s="65" t="s">
        <v>569</v>
      </c>
    </row>
    <row r="375" spans="1:1">
      <c r="A375" s="65" t="s">
        <v>570</v>
      </c>
    </row>
    <row r="376" spans="1:1">
      <c r="A376" s="65" t="s">
        <v>2419</v>
      </c>
    </row>
    <row r="377" spans="1:1">
      <c r="A377" s="65" t="s">
        <v>571</v>
      </c>
    </row>
    <row r="378" spans="1:1">
      <c r="A378" s="65" t="s">
        <v>2420</v>
      </c>
    </row>
    <row r="379" spans="1:1">
      <c r="A379" s="65" t="s">
        <v>2377</v>
      </c>
    </row>
    <row r="380" spans="1:1">
      <c r="A380" s="65" t="s">
        <v>572</v>
      </c>
    </row>
    <row r="381" spans="1:1">
      <c r="A381" s="65" t="s">
        <v>573</v>
      </c>
    </row>
    <row r="382" spans="1:1">
      <c r="A382" s="65" t="s">
        <v>574</v>
      </c>
    </row>
    <row r="383" spans="1:1">
      <c r="A383" s="65" t="s">
        <v>575</v>
      </c>
    </row>
    <row r="384" spans="1:1">
      <c r="A384" s="65" t="s">
        <v>576</v>
      </c>
    </row>
    <row r="385" spans="1:1">
      <c r="A385" s="65" t="s">
        <v>577</v>
      </c>
    </row>
    <row r="386" spans="1:1">
      <c r="A386" s="65" t="s">
        <v>2378</v>
      </c>
    </row>
    <row r="387" spans="1:1">
      <c r="A387" s="65" t="s">
        <v>2379</v>
      </c>
    </row>
    <row r="388" spans="1:1">
      <c r="A388" s="65" t="s">
        <v>2380</v>
      </c>
    </row>
    <row r="389" spans="1:1">
      <c r="A389" s="65" t="s">
        <v>2381</v>
      </c>
    </row>
    <row r="390" spans="1:1">
      <c r="A390" s="65" t="s">
        <v>2382</v>
      </c>
    </row>
    <row r="391" spans="1:1">
      <c r="A391" s="65" t="s">
        <v>2383</v>
      </c>
    </row>
    <row r="392" spans="1:1">
      <c r="A392" s="65" t="s">
        <v>578</v>
      </c>
    </row>
    <row r="393" spans="1:1">
      <c r="A393" s="65" t="s">
        <v>579</v>
      </c>
    </row>
    <row r="394" spans="1:1">
      <c r="A394" s="65" t="s">
        <v>580</v>
      </c>
    </row>
    <row r="395" spans="1:1">
      <c r="A395" s="65" t="s">
        <v>581</v>
      </c>
    </row>
    <row r="396" spans="1:1">
      <c r="A396" s="65" t="s">
        <v>582</v>
      </c>
    </row>
    <row r="397" spans="1:1">
      <c r="A397" s="65" t="s">
        <v>583</v>
      </c>
    </row>
    <row r="398" spans="1:1">
      <c r="A398" s="65" t="s">
        <v>584</v>
      </c>
    </row>
    <row r="399" spans="1:1">
      <c r="A399" s="65" t="s">
        <v>585</v>
      </c>
    </row>
    <row r="400" spans="1:1">
      <c r="A400" s="65" t="s">
        <v>586</v>
      </c>
    </row>
    <row r="401" spans="1:1">
      <c r="A401" s="65" t="s">
        <v>587</v>
      </c>
    </row>
    <row r="402" spans="1:1">
      <c r="A402" s="65" t="s">
        <v>553</v>
      </c>
    </row>
    <row r="403" spans="1:1">
      <c r="A403" s="65" t="s">
        <v>588</v>
      </c>
    </row>
    <row r="404" spans="1:1">
      <c r="A404" s="65" t="s">
        <v>589</v>
      </c>
    </row>
    <row r="405" spans="1:1">
      <c r="A405" s="65" t="s">
        <v>590</v>
      </c>
    </row>
    <row r="406" spans="1:1">
      <c r="A406" s="65" t="s">
        <v>591</v>
      </c>
    </row>
    <row r="407" spans="1:1">
      <c r="A407" s="65" t="s">
        <v>592</v>
      </c>
    </row>
    <row r="408" spans="1:1">
      <c r="A408" s="65" t="s">
        <v>593</v>
      </c>
    </row>
    <row r="409" spans="1:1">
      <c r="A409" s="65" t="s">
        <v>594</v>
      </c>
    </row>
    <row r="410" spans="1:1">
      <c r="A410" s="65" t="s">
        <v>595</v>
      </c>
    </row>
    <row r="411" spans="1:1">
      <c r="A411" s="65" t="s">
        <v>596</v>
      </c>
    </row>
    <row r="412" spans="1:1">
      <c r="A412" s="65" t="s">
        <v>597</v>
      </c>
    </row>
    <row r="413" spans="1:1">
      <c r="A413" s="65" t="s">
        <v>598</v>
      </c>
    </row>
    <row r="414" spans="1:1">
      <c r="A414" s="65" t="s">
        <v>599</v>
      </c>
    </row>
    <row r="415" spans="1:1">
      <c r="A415" s="65" t="s">
        <v>600</v>
      </c>
    </row>
    <row r="416" spans="1:1">
      <c r="A416" s="65" t="s">
        <v>601</v>
      </c>
    </row>
    <row r="417" spans="1:1">
      <c r="A417" s="65" t="s">
        <v>602</v>
      </c>
    </row>
    <row r="418" spans="1:1">
      <c r="A418" s="65" t="s">
        <v>603</v>
      </c>
    </row>
    <row r="419" spans="1:1">
      <c r="A419" s="65" t="s">
        <v>604</v>
      </c>
    </row>
    <row r="420" spans="1:1">
      <c r="A420" s="65" t="s">
        <v>2421</v>
      </c>
    </row>
    <row r="421" spans="1:1">
      <c r="A421" s="65" t="s">
        <v>605</v>
      </c>
    </row>
    <row r="422" spans="1:1">
      <c r="A422" s="65" t="s">
        <v>606</v>
      </c>
    </row>
    <row r="423" spans="1:1">
      <c r="A423" s="65" t="s">
        <v>607</v>
      </c>
    </row>
    <row r="424" spans="1:1">
      <c r="A424" s="65" t="s">
        <v>608</v>
      </c>
    </row>
    <row r="425" spans="1:1">
      <c r="A425" s="65" t="s">
        <v>609</v>
      </c>
    </row>
    <row r="426" spans="1:1">
      <c r="A426" s="65" t="s">
        <v>610</v>
      </c>
    </row>
    <row r="427" spans="1:1">
      <c r="A427" s="65" t="s">
        <v>611</v>
      </c>
    </row>
    <row r="428" spans="1:1">
      <c r="A428" s="65" t="s">
        <v>612</v>
      </c>
    </row>
    <row r="429" spans="1:1">
      <c r="A429" s="65" t="s">
        <v>613</v>
      </c>
    </row>
    <row r="430" spans="1:1">
      <c r="A430" s="65" t="s">
        <v>2384</v>
      </c>
    </row>
    <row r="431" spans="1:1">
      <c r="A431" s="65" t="s">
        <v>2385</v>
      </c>
    </row>
    <row r="432" spans="1:1">
      <c r="A432" s="65" t="s">
        <v>2386</v>
      </c>
    </row>
    <row r="433" spans="1:1">
      <c r="A433" s="65" t="s">
        <v>2387</v>
      </c>
    </row>
    <row r="434" spans="1:1">
      <c r="A434" s="65" t="s">
        <v>2388</v>
      </c>
    </row>
    <row r="435" spans="1:1">
      <c r="A435" s="65" t="s">
        <v>2389</v>
      </c>
    </row>
    <row r="436" spans="1:1">
      <c r="A436" s="65" t="s">
        <v>614</v>
      </c>
    </row>
    <row r="437" spans="1:1">
      <c r="A437" s="65" t="s">
        <v>615</v>
      </c>
    </row>
    <row r="438" spans="1:1">
      <c r="A438" s="65" t="s">
        <v>616</v>
      </c>
    </row>
    <row r="439" spans="1:1">
      <c r="A439" s="65" t="s">
        <v>617</v>
      </c>
    </row>
    <row r="440" spans="1:1">
      <c r="A440" s="65" t="s">
        <v>618</v>
      </c>
    </row>
    <row r="441" spans="1:1">
      <c r="A441" s="65" t="s">
        <v>619</v>
      </c>
    </row>
    <row r="442" spans="1:1">
      <c r="A442" s="65" t="s">
        <v>620</v>
      </c>
    </row>
    <row r="443" spans="1:1">
      <c r="A443" s="65" t="s">
        <v>621</v>
      </c>
    </row>
    <row r="444" spans="1:1">
      <c r="A444" s="65" t="s">
        <v>622</v>
      </c>
    </row>
    <row r="445" spans="1:1">
      <c r="A445" s="65" t="s">
        <v>623</v>
      </c>
    </row>
    <row r="446" spans="1:1">
      <c r="A446" s="65" t="s">
        <v>624</v>
      </c>
    </row>
    <row r="447" spans="1:1">
      <c r="A447" s="65" t="s">
        <v>625</v>
      </c>
    </row>
    <row r="448" spans="1:1">
      <c r="A448" s="65" t="s">
        <v>626</v>
      </c>
    </row>
    <row r="449" spans="1:1">
      <c r="A449" s="65" t="s">
        <v>627</v>
      </c>
    </row>
    <row r="450" spans="1:1">
      <c r="A450" s="65" t="s">
        <v>628</v>
      </c>
    </row>
    <row r="451" spans="1:1">
      <c r="A451" s="65" t="s">
        <v>629</v>
      </c>
    </row>
    <row r="452" spans="1:1">
      <c r="A452" s="65" t="s">
        <v>630</v>
      </c>
    </row>
    <row r="453" spans="1:1">
      <c r="A453" s="65" t="s">
        <v>631</v>
      </c>
    </row>
    <row r="454" spans="1:1">
      <c r="A454" s="65" t="s">
        <v>632</v>
      </c>
    </row>
    <row r="455" spans="1:1">
      <c r="A455" s="65" t="s">
        <v>633</v>
      </c>
    </row>
    <row r="456" spans="1:1">
      <c r="A456" s="65" t="s">
        <v>625</v>
      </c>
    </row>
    <row r="457" spans="1:1">
      <c r="A457" s="65" t="s">
        <v>634</v>
      </c>
    </row>
    <row r="458" spans="1:1">
      <c r="A458" s="65" t="s">
        <v>635</v>
      </c>
    </row>
    <row r="459" spans="1:1">
      <c r="A459" s="65" t="s">
        <v>636</v>
      </c>
    </row>
    <row r="460" spans="1:1">
      <c r="A460" s="65" t="s">
        <v>631</v>
      </c>
    </row>
    <row r="461" spans="1:1">
      <c r="A461" s="65" t="s">
        <v>637</v>
      </c>
    </row>
    <row r="462" spans="1:1">
      <c r="A462" s="65" t="s">
        <v>633</v>
      </c>
    </row>
    <row r="463" spans="1:1">
      <c r="A463" s="65" t="s">
        <v>625</v>
      </c>
    </row>
    <row r="464" spans="1:1">
      <c r="A464" s="65" t="s">
        <v>638</v>
      </c>
    </row>
    <row r="465" spans="1:1">
      <c r="A465" s="65" t="s">
        <v>639</v>
      </c>
    </row>
    <row r="466" spans="1:1">
      <c r="A466" s="65" t="s">
        <v>640</v>
      </c>
    </row>
    <row r="467" spans="1:1">
      <c r="A467" s="65" t="s">
        <v>631</v>
      </c>
    </row>
    <row r="468" spans="1:1">
      <c r="A468" s="65" t="s">
        <v>641</v>
      </c>
    </row>
    <row r="469" spans="1:1">
      <c r="A469" s="65" t="s">
        <v>629</v>
      </c>
    </row>
    <row r="470" spans="1:1">
      <c r="A470" s="65" t="s">
        <v>642</v>
      </c>
    </row>
    <row r="471" spans="1:1">
      <c r="A471" s="65" t="s">
        <v>631</v>
      </c>
    </row>
    <row r="472" spans="1:1">
      <c r="A472" s="65" t="s">
        <v>643</v>
      </c>
    </row>
    <row r="473" spans="1:1">
      <c r="A473" s="65" t="s">
        <v>633</v>
      </c>
    </row>
    <row r="474" spans="1:1">
      <c r="A474" s="65" t="s">
        <v>644</v>
      </c>
    </row>
    <row r="475" spans="1:1">
      <c r="A475" s="65" t="s">
        <v>645</v>
      </c>
    </row>
    <row r="476" spans="1:1">
      <c r="A476" s="65" t="s">
        <v>646</v>
      </c>
    </row>
    <row r="477" spans="1:1">
      <c r="A477" s="65" t="s">
        <v>631</v>
      </c>
    </row>
    <row r="478" spans="1:1">
      <c r="A478" s="65" t="s">
        <v>647</v>
      </c>
    </row>
    <row r="479" spans="1:1">
      <c r="A479" s="65" t="s">
        <v>629</v>
      </c>
    </row>
    <row r="480" spans="1:1">
      <c r="A480" s="65" t="s">
        <v>648</v>
      </c>
    </row>
    <row r="481" spans="1:1">
      <c r="A481" s="65" t="s">
        <v>631</v>
      </c>
    </row>
    <row r="482" spans="1:1">
      <c r="A482" s="65" t="s">
        <v>649</v>
      </c>
    </row>
    <row r="483" spans="1:1">
      <c r="A483" s="65" t="s">
        <v>629</v>
      </c>
    </row>
    <row r="484" spans="1:1">
      <c r="A484" s="65" t="s">
        <v>650</v>
      </c>
    </row>
    <row r="485" spans="1:1">
      <c r="A485" s="65" t="s">
        <v>631</v>
      </c>
    </row>
    <row r="486" spans="1:1">
      <c r="A486" s="65" t="s">
        <v>651</v>
      </c>
    </row>
    <row r="487" spans="1:1">
      <c r="A487" s="65" t="s">
        <v>629</v>
      </c>
    </row>
    <row r="488" spans="1:1">
      <c r="A488" s="65" t="s">
        <v>652</v>
      </c>
    </row>
    <row r="489" spans="1:1">
      <c r="A489" s="65" t="s">
        <v>631</v>
      </c>
    </row>
    <row r="490" spans="1:1">
      <c r="A490" s="65" t="s">
        <v>653</v>
      </c>
    </row>
    <row r="491" spans="1:1">
      <c r="A491" s="65" t="s">
        <v>625</v>
      </c>
    </row>
    <row r="492" spans="1:1">
      <c r="A492" s="65" t="s">
        <v>654</v>
      </c>
    </row>
    <row r="493" spans="1:1">
      <c r="A493" s="65" t="s">
        <v>655</v>
      </c>
    </row>
    <row r="494" spans="1:1">
      <c r="A494" s="65" t="s">
        <v>656</v>
      </c>
    </row>
    <row r="495" spans="1:1">
      <c r="A495" s="65" t="s">
        <v>657</v>
      </c>
    </row>
    <row r="496" spans="1:1">
      <c r="A496" s="65" t="s">
        <v>658</v>
      </c>
    </row>
    <row r="497" spans="1:1">
      <c r="A497" s="65" t="s">
        <v>631</v>
      </c>
    </row>
    <row r="498" spans="1:1">
      <c r="A498" s="65" t="s">
        <v>659</v>
      </c>
    </row>
    <row r="499" spans="1:1">
      <c r="A499" s="65" t="s">
        <v>660</v>
      </c>
    </row>
    <row r="500" spans="1:1">
      <c r="A500" s="65" t="s">
        <v>661</v>
      </c>
    </row>
    <row r="501" spans="1:1">
      <c r="A501" s="65" t="s">
        <v>662</v>
      </c>
    </row>
    <row r="502" spans="1:1">
      <c r="A502" s="65" t="s">
        <v>663</v>
      </c>
    </row>
    <row r="503" spans="1:1">
      <c r="A503" s="65" t="s">
        <v>664</v>
      </c>
    </row>
    <row r="504" spans="1:1">
      <c r="A504" s="65" t="s">
        <v>665</v>
      </c>
    </row>
    <row r="505" spans="1:1">
      <c r="A505" s="65" t="s">
        <v>666</v>
      </c>
    </row>
    <row r="506" spans="1:1">
      <c r="A506" s="65" t="s">
        <v>667</v>
      </c>
    </row>
    <row r="507" spans="1:1">
      <c r="A507" s="65" t="s">
        <v>668</v>
      </c>
    </row>
    <row r="508" spans="1:1">
      <c r="A508" s="65" t="s">
        <v>669</v>
      </c>
    </row>
    <row r="509" spans="1:1">
      <c r="A509" s="65" t="s">
        <v>670</v>
      </c>
    </row>
    <row r="510" spans="1:1">
      <c r="A510" s="65" t="s">
        <v>671</v>
      </c>
    </row>
    <row r="511" spans="1:1">
      <c r="A511" s="65" t="s">
        <v>672</v>
      </c>
    </row>
    <row r="512" spans="1:1">
      <c r="A512" s="65" t="s">
        <v>673</v>
      </c>
    </row>
    <row r="513" spans="1:1">
      <c r="A513" s="65" t="s">
        <v>674</v>
      </c>
    </row>
    <row r="514" spans="1:1">
      <c r="A514" s="65" t="s">
        <v>2390</v>
      </c>
    </row>
    <row r="515" spans="1:1">
      <c r="A515" s="65" t="s">
        <v>675</v>
      </c>
    </row>
    <row r="516" spans="1:1">
      <c r="A516" s="65" t="s">
        <v>2391</v>
      </c>
    </row>
    <row r="517" spans="1:1">
      <c r="A517" s="65" t="s">
        <v>676</v>
      </c>
    </row>
    <row r="518" spans="1:1">
      <c r="A518" s="65" t="s">
        <v>677</v>
      </c>
    </row>
    <row r="519" spans="1:1">
      <c r="A519" s="65" t="s">
        <v>678</v>
      </c>
    </row>
    <row r="520" spans="1:1">
      <c r="A520" s="65" t="s">
        <v>679</v>
      </c>
    </row>
    <row r="521" spans="1:1">
      <c r="A521" s="65" t="s">
        <v>521</v>
      </c>
    </row>
    <row r="522" spans="1:1">
      <c r="A522" s="65" t="s">
        <v>260</v>
      </c>
    </row>
    <row r="523" spans="1:1">
      <c r="A523" s="65" t="s">
        <v>680</v>
      </c>
    </row>
    <row r="524" spans="1:1">
      <c r="A524" s="65" t="s">
        <v>681</v>
      </c>
    </row>
    <row r="525" spans="1:1">
      <c r="A525" s="65" t="s">
        <v>682</v>
      </c>
    </row>
    <row r="526" spans="1:1">
      <c r="A526" s="65" t="s">
        <v>683</v>
      </c>
    </row>
    <row r="527" spans="1:1">
      <c r="A527" s="65" t="s">
        <v>261</v>
      </c>
    </row>
    <row r="528" spans="1:1">
      <c r="A528" s="65" t="s">
        <v>262</v>
      </c>
    </row>
    <row r="529" spans="1:1">
      <c r="A529" s="65" t="s">
        <v>535</v>
      </c>
    </row>
    <row r="530" spans="1:1">
      <c r="A530" s="65" t="s">
        <v>684</v>
      </c>
    </row>
    <row r="531" spans="1:1">
      <c r="A531" s="65" t="s">
        <v>685</v>
      </c>
    </row>
    <row r="532" spans="1:1">
      <c r="A532" s="65" t="s">
        <v>257</v>
      </c>
    </row>
    <row r="533" spans="1:1">
      <c r="A533" s="65" t="s">
        <v>686</v>
      </c>
    </row>
    <row r="534" spans="1:1">
      <c r="A534" s="65" t="s">
        <v>687</v>
      </c>
    </row>
    <row r="535" spans="1:1">
      <c r="A535" s="65" t="s">
        <v>688</v>
      </c>
    </row>
    <row r="536" spans="1:1">
      <c r="A536" s="65" t="s">
        <v>689</v>
      </c>
    </row>
    <row r="537" spans="1:1">
      <c r="A537" s="65" t="s">
        <v>656</v>
      </c>
    </row>
    <row r="538" spans="1:1">
      <c r="A538" s="65" t="s">
        <v>657</v>
      </c>
    </row>
    <row r="539" spans="1:1">
      <c r="A539" s="65" t="s">
        <v>658</v>
      </c>
    </row>
    <row r="540" spans="1:1">
      <c r="A540" s="65" t="s">
        <v>689</v>
      </c>
    </row>
    <row r="541" spans="1:1">
      <c r="A541" s="65" t="s">
        <v>690</v>
      </c>
    </row>
    <row r="542" spans="1:1">
      <c r="A542" s="65" t="s">
        <v>657</v>
      </c>
    </row>
    <row r="543" spans="1:1">
      <c r="A543" s="65" t="s">
        <v>691</v>
      </c>
    </row>
    <row r="544" spans="1:1">
      <c r="A544" s="65" t="s">
        <v>689</v>
      </c>
    </row>
    <row r="545" spans="1:1">
      <c r="A545" s="65" t="s">
        <v>656</v>
      </c>
    </row>
    <row r="546" spans="1:1">
      <c r="A546" s="65" t="s">
        <v>657</v>
      </c>
    </row>
    <row r="547" spans="1:1">
      <c r="A547" s="65" t="s">
        <v>692</v>
      </c>
    </row>
    <row r="548" spans="1:1">
      <c r="A548" s="65" t="s">
        <v>689</v>
      </c>
    </row>
    <row r="549" spans="1:1">
      <c r="A549" s="65" t="s">
        <v>693</v>
      </c>
    </row>
    <row r="550" spans="1:1">
      <c r="A550" s="65" t="s">
        <v>625</v>
      </c>
    </row>
    <row r="551" spans="1:1">
      <c r="A551" s="65" t="s">
        <v>694</v>
      </c>
    </row>
    <row r="552" spans="1:1">
      <c r="A552" s="65" t="s">
        <v>689</v>
      </c>
    </row>
  </sheetData>
  <phoneticPr fontId="59" type="noConversion"/>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941" r:id="rId4" name="Button 269">
              <controlPr defaultSize="0" print="0" autoPict="0" macro="[0]!LoadForm">
                <anchor moveWithCells="1" sizeWithCells="1">
                  <from>
                    <xdr:col>1</xdr:col>
                    <xdr:colOff>19050</xdr:colOff>
                    <xdr:row>0</xdr:row>
                    <xdr:rowOff>85725</xdr:rowOff>
                  </from>
                  <to>
                    <xdr:col>2</xdr:col>
                    <xdr:colOff>638175</xdr:colOff>
                    <xdr:row>1</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JF299"/>
  <sheetViews>
    <sheetView showGridLines="0" zoomScale="70" zoomScaleNormal="70" workbookViewId="0">
      <selection activeCell="C24" sqref="C24"/>
    </sheetView>
  </sheetViews>
  <sheetFormatPr defaultColWidth="9" defaultRowHeight="14.25"/>
  <cols>
    <col min="1" max="1" width="2.875" style="285" customWidth="1"/>
    <col min="2" max="2" width="24.625" style="285" customWidth="1"/>
    <col min="3" max="3" width="18.125" style="285" customWidth="1"/>
    <col min="4" max="4" width="12.875" style="285" customWidth="1"/>
    <col min="5" max="5" width="13.625" style="285" customWidth="1"/>
    <col min="6" max="6" width="13" style="285" customWidth="1"/>
    <col min="7" max="7" width="13.125" style="285" customWidth="1"/>
    <col min="8" max="8" width="12" style="285" customWidth="1"/>
    <col min="9" max="9" width="12.75" style="285" customWidth="1"/>
    <col min="10" max="11" width="14.625" style="285" customWidth="1"/>
    <col min="12" max="12" width="14.875" style="285" customWidth="1"/>
    <col min="13" max="13" width="11.375" style="285" customWidth="1"/>
    <col min="14" max="14" width="12.625" style="285" customWidth="1"/>
    <col min="15" max="15" width="13.875" style="285" customWidth="1"/>
    <col min="16" max="16" width="13.5" style="285" customWidth="1"/>
    <col min="17" max="17" width="11.625" style="285" customWidth="1"/>
    <col min="18" max="18" width="9.875" style="285" customWidth="1"/>
    <col min="19" max="19" width="11.125" style="285" customWidth="1"/>
    <col min="20" max="20" width="10.125" style="285" customWidth="1"/>
    <col min="21" max="21" width="11.75" style="285" customWidth="1"/>
    <col min="22" max="22" width="11.125" style="285" customWidth="1"/>
    <col min="23" max="23" width="12.125" style="285" customWidth="1"/>
    <col min="24" max="24" width="4.75" style="285" customWidth="1"/>
    <col min="25" max="25" width="2" style="285" customWidth="1"/>
    <col min="26" max="26" width="4.625" style="285" customWidth="1"/>
    <col min="27" max="27" width="1.375" style="285" customWidth="1"/>
    <col min="28" max="28" width="5" style="285" customWidth="1"/>
    <col min="29" max="29" width="2.125" style="285" customWidth="1"/>
    <col min="30" max="30" width="4.75" style="285" customWidth="1"/>
    <col min="31" max="31" width="1.5" style="285" customWidth="1"/>
    <col min="32" max="32" width="4.25" style="285" customWidth="1"/>
    <col min="33" max="33" width="2" style="285" customWidth="1"/>
    <col min="34" max="34" width="5" style="285" customWidth="1"/>
    <col min="35" max="35" width="2.375" style="285" customWidth="1"/>
    <col min="36" max="36" width="5" style="285" customWidth="1"/>
    <col min="37" max="52" width="9" style="285" customWidth="1"/>
    <col min="53" max="54" width="11.375" style="285" hidden="1" customWidth="1"/>
    <col min="55" max="55" width="10.75" style="285" hidden="1" customWidth="1"/>
    <col min="56" max="56" width="10.5" style="285" hidden="1" customWidth="1"/>
    <col min="57" max="65" width="9" style="285" hidden="1" customWidth="1"/>
    <col min="66" max="78" width="9" style="285" customWidth="1"/>
    <col min="79" max="16384" width="9" style="285"/>
  </cols>
  <sheetData>
    <row r="1" spans="1:65" ht="15" customHeight="1">
      <c r="A1" s="286" t="s">
        <v>695</v>
      </c>
      <c r="C1" s="285" t="s">
        <v>193</v>
      </c>
      <c r="D1" s="287" t="s">
        <v>696</v>
      </c>
      <c r="E1" s="288" t="s">
        <v>697</v>
      </c>
      <c r="S1" s="380"/>
    </row>
    <row r="2" spans="1:65" ht="15" customHeight="1">
      <c r="A2" s="286"/>
      <c r="B2" s="289"/>
      <c r="M2" s="578" t="s">
        <v>698</v>
      </c>
      <c r="N2" s="578"/>
      <c r="O2" s="578"/>
      <c r="Q2" s="579" t="s">
        <v>699</v>
      </c>
      <c r="R2" s="579"/>
      <c r="S2" s="579"/>
      <c r="T2" s="579"/>
      <c r="U2" s="381" t="s">
        <v>700</v>
      </c>
      <c r="V2" s="381" t="s">
        <v>701</v>
      </c>
      <c r="W2" s="580" t="s">
        <v>702</v>
      </c>
      <c r="X2" s="581"/>
      <c r="Y2" s="581"/>
      <c r="Z2" s="581"/>
      <c r="AA2" s="581"/>
      <c r="AB2" s="581"/>
      <c r="AC2" s="581"/>
      <c r="AD2" s="581"/>
      <c r="AE2" s="581"/>
      <c r="AF2" s="581"/>
      <c r="AG2" s="581"/>
      <c r="AH2" s="581"/>
      <c r="AI2" s="581"/>
      <c r="AJ2" s="582"/>
      <c r="BA2" s="391" t="s">
        <v>703</v>
      </c>
      <c r="BB2" s="391" t="s">
        <v>704</v>
      </c>
      <c r="BC2" s="391" t="s">
        <v>705</v>
      </c>
      <c r="BE2" s="398" t="s">
        <v>706</v>
      </c>
    </row>
    <row r="3" spans="1:65" ht="15" customHeight="1">
      <c r="A3" s="286"/>
      <c r="B3" s="290" t="s">
        <v>707</v>
      </c>
      <c r="C3" s="291"/>
      <c r="D3" s="291"/>
      <c r="E3" s="291"/>
      <c r="F3" s="291"/>
      <c r="G3" s="291"/>
      <c r="H3" s="291"/>
      <c r="I3" s="291"/>
      <c r="J3" s="291"/>
      <c r="K3" s="350"/>
      <c r="L3" s="293"/>
      <c r="M3" s="351" t="s">
        <v>708</v>
      </c>
      <c r="N3" s="351" t="s">
        <v>709</v>
      </c>
      <c r="O3" s="351" t="s">
        <v>710</v>
      </c>
      <c r="Q3" s="574" t="s">
        <v>711</v>
      </c>
      <c r="R3" s="575"/>
      <c r="S3" s="576" t="s">
        <v>712</v>
      </c>
      <c r="T3" s="576"/>
      <c r="U3" s="270" t="s">
        <v>713</v>
      </c>
      <c r="V3" s="376">
        <v>70</v>
      </c>
      <c r="Z3" s="383" t="str">
        <f>IF(Z4="Yes","FLH","")</f>
        <v/>
      </c>
      <c r="AA3" s="385"/>
      <c r="AB3" s="385"/>
      <c r="AC3" s="385"/>
      <c r="AD3" s="383" t="str">
        <f>IF(AD4="Yes","FCH","")</f>
        <v/>
      </c>
      <c r="AE3" s="385"/>
      <c r="AF3" s="385"/>
      <c r="AG3" s="385"/>
      <c r="AH3" s="383" t="str">
        <f>IF(AH4="Yes","FRH","")</f>
        <v/>
      </c>
      <c r="BA3" s="392">
        <f t="shared" ref="BA3:BA10" si="0">IF(S3="Original",1,0)</f>
        <v>1</v>
      </c>
      <c r="BB3" s="392">
        <f t="shared" ref="BB3:BB10" si="1">IF(S3="Original",1,IF(S3="New",1,0))</f>
        <v>1</v>
      </c>
      <c r="BC3" s="392">
        <f t="shared" ref="BC3:BC10" si="2">IF(S3="New",1,0)</f>
        <v>0</v>
      </c>
      <c r="BE3" s="392">
        <f>BF3*2^7+BG3*2^6+BH3*2^5+BI3*2^4+BJ3*2^3+BK3*2^2+BL3*2^1+BM3*2^0</f>
        <v>1</v>
      </c>
      <c r="BF3" s="392">
        <f>IF(X6="Yes",1,0)</f>
        <v>0</v>
      </c>
      <c r="BG3" s="392">
        <f>IF(AB10="Yes",1,0)</f>
        <v>0</v>
      </c>
      <c r="BH3" s="392">
        <f>IF(AB6="Yes",1,0)</f>
        <v>0</v>
      </c>
      <c r="BI3" s="392">
        <f>IF(AD10="Yes",1,0)</f>
        <v>0</v>
      </c>
      <c r="BJ3" s="392">
        <f>IF(Z10="Yes",1,0)</f>
        <v>0</v>
      </c>
      <c r="BK3" s="392">
        <f>IF(AD6="Yes",1,0)</f>
        <v>0</v>
      </c>
      <c r="BL3" s="392">
        <f>IF(AJ8="Yes",1,0)</f>
        <v>0</v>
      </c>
      <c r="BM3" s="392">
        <f>IF(Z6="Yes",1,0)</f>
        <v>1</v>
      </c>
    </row>
    <row r="4" spans="1:65" ht="15" customHeight="1">
      <c r="A4" s="286"/>
      <c r="B4" s="292" t="str">
        <f>IF(G63="NG","ERROR: DSI-TX0 cannot output all the data within 1line. Try faster DSI clock, more lanes, shorter HSW+HBPR(DSI side), shorter LP&lt;-&gt;HS transition","")</f>
        <v/>
      </c>
      <c r="C4" s="293"/>
      <c r="D4" s="293"/>
      <c r="E4" s="293"/>
      <c r="F4" s="293"/>
      <c r="G4" s="293"/>
      <c r="H4" s="293"/>
      <c r="I4" s="293"/>
      <c r="J4" s="293"/>
      <c r="K4" s="352"/>
      <c r="L4" s="293"/>
      <c r="M4" s="270" t="s">
        <v>714</v>
      </c>
      <c r="N4" s="270" t="s">
        <v>715</v>
      </c>
      <c r="O4" s="270">
        <v>2</v>
      </c>
      <c r="Q4" s="574" t="s">
        <v>716</v>
      </c>
      <c r="R4" s="575"/>
      <c r="S4" s="576" t="s">
        <v>712</v>
      </c>
      <c r="T4" s="576"/>
      <c r="U4" s="270" t="s">
        <v>717</v>
      </c>
      <c r="V4" s="376">
        <v>70</v>
      </c>
      <c r="Z4" s="270" t="s">
        <v>717</v>
      </c>
      <c r="AD4" s="270" t="s">
        <v>717</v>
      </c>
      <c r="AH4" s="390" t="str">
        <f>IF(Z4="Yes","Yes","No")</f>
        <v>No</v>
      </c>
      <c r="BA4" s="392">
        <f t="shared" si="0"/>
        <v>1</v>
      </c>
      <c r="BB4" s="392">
        <f t="shared" si="1"/>
        <v>1</v>
      </c>
      <c r="BC4" s="392">
        <f t="shared" si="2"/>
        <v>0</v>
      </c>
      <c r="BE4" s="392">
        <f>BF4*2^7+BG4*2^6+BH4*2^5+BI4*2^4+BJ4*2^3+BK4*2^2+BL4*2^1+BM4*2^0</f>
        <v>0</v>
      </c>
      <c r="BF4" s="393">
        <v>0</v>
      </c>
      <c r="BG4" s="393">
        <v>0</v>
      </c>
      <c r="BH4" s="393">
        <v>0</v>
      </c>
      <c r="BI4" s="393">
        <v>0</v>
      </c>
      <c r="BJ4" s="393">
        <v>0</v>
      </c>
      <c r="BK4" s="392">
        <f>IF(AD4="Yes",1,0)</f>
        <v>0</v>
      </c>
      <c r="BL4" s="392">
        <f>IF(AD8="Yes",1,0)</f>
        <v>0</v>
      </c>
      <c r="BM4" s="392">
        <f>IF(Z4="Yes",1,0)</f>
        <v>0</v>
      </c>
    </row>
    <row r="5" spans="1:65" ht="15" customHeight="1">
      <c r="A5" s="286"/>
      <c r="B5" s="292" t="str">
        <f>IF(S63="NG","ERROR: DSI-TX1 cannot output all the data within 1line. Try faster DSI clock, more lanes, shorter HSW+HBPR(DSI side), shorter LP&lt;-&gt;HS transition","")</f>
        <v/>
      </c>
      <c r="C5" s="293"/>
      <c r="D5" s="293"/>
      <c r="E5" s="293"/>
      <c r="F5" s="293"/>
      <c r="G5" s="293"/>
      <c r="H5" s="293"/>
      <c r="I5" s="293"/>
      <c r="J5" s="293"/>
      <c r="K5" s="352"/>
      <c r="L5" s="293"/>
      <c r="N5" s="353" t="s">
        <v>718</v>
      </c>
      <c r="O5" s="353" t="s">
        <v>719</v>
      </c>
      <c r="Q5" s="382" t="s">
        <v>720</v>
      </c>
      <c r="R5" s="270" t="s">
        <v>721</v>
      </c>
      <c r="S5" s="209" t="str">
        <f>IF(AND(M4&lt;&gt;"Disable",R5="Disable"),"NG","OK")</f>
        <v>OK</v>
      </c>
      <c r="T5"/>
      <c r="U5" s="297"/>
      <c r="X5" s="383" t="str">
        <f>IF(X6="Yes","FLW","")</f>
        <v/>
      </c>
      <c r="Y5" s="385"/>
      <c r="Z5" s="383" t="str">
        <f>IF(Z6="Yes","FL","")</f>
        <v>FL</v>
      </c>
      <c r="AA5" s="385"/>
      <c r="AB5" s="383" t="str">
        <f>IF(AB6="Yes","FLC","")</f>
        <v/>
      </c>
      <c r="AC5" s="385"/>
      <c r="AD5" s="383" t="str">
        <f>IF(AD6="Yes","FC","")</f>
        <v/>
      </c>
      <c r="AE5" s="385"/>
      <c r="AF5" s="383" t="str">
        <f>IF(AF6="Yes","FRC","")</f>
        <v/>
      </c>
      <c r="AG5" s="385"/>
      <c r="AH5" s="383" t="str">
        <f>IF(AH6="Yes","FR","")</f>
        <v>FR</v>
      </c>
      <c r="AI5" s="385"/>
      <c r="AJ5" s="383" t="str">
        <f>IF(AJ6="Yes","FRW","")</f>
        <v/>
      </c>
      <c r="BA5" s="393"/>
      <c r="BB5" s="393"/>
      <c r="BC5" s="394"/>
    </row>
    <row r="6" spans="1:65" ht="15" customHeight="1">
      <c r="A6" s="286"/>
      <c r="B6" s="292" t="str">
        <f>IF(AND(C29&lt;&gt;"Color Bar",B20&lt;&gt;"Original",BA11&lt;&gt;0),"ERROR: Selected Timing is not 'Original' but EDID includes 'Original' Timing. Select 'Original' Timing if EDID includes 'Original'.","")</f>
        <v/>
      </c>
      <c r="C6" s="293"/>
      <c r="D6" s="293"/>
      <c r="E6" s="293"/>
      <c r="F6" s="293"/>
      <c r="G6" s="293"/>
      <c r="H6" s="293"/>
      <c r="I6" s="293"/>
      <c r="J6" s="293"/>
      <c r="K6" s="352"/>
      <c r="L6" s="293"/>
      <c r="M6" s="293"/>
      <c r="N6" s="255" t="s">
        <v>722</v>
      </c>
      <c r="O6" s="354" t="s">
        <v>723</v>
      </c>
      <c r="Q6" s="574" t="s">
        <v>724</v>
      </c>
      <c r="R6" s="575"/>
      <c r="S6" s="576" t="s">
        <v>712</v>
      </c>
      <c r="T6" s="576"/>
      <c r="U6" s="270" t="s">
        <v>717</v>
      </c>
      <c r="V6" s="376">
        <v>70</v>
      </c>
      <c r="W6" s="384" t="s">
        <v>725</v>
      </c>
      <c r="X6" s="270" t="s">
        <v>717</v>
      </c>
      <c r="Z6" s="270" t="s">
        <v>713</v>
      </c>
      <c r="AB6" s="270" t="s">
        <v>717</v>
      </c>
      <c r="AD6" s="270" t="s">
        <v>717</v>
      </c>
      <c r="AF6" s="390" t="str">
        <f>IF(AB6="Yes","Yes","No")</f>
        <v>No</v>
      </c>
      <c r="AH6" s="390" t="str">
        <f>IF(Z6="Yes","Yes","No")</f>
        <v>Yes</v>
      </c>
      <c r="AJ6" s="390" t="str">
        <f>IF(X6="Yes","Yes","No")</f>
        <v>No</v>
      </c>
      <c r="BA6" s="392">
        <f t="shared" si="0"/>
        <v>1</v>
      </c>
      <c r="BB6" s="392">
        <f t="shared" si="1"/>
        <v>1</v>
      </c>
      <c r="BC6" s="392">
        <f t="shared" si="2"/>
        <v>0</v>
      </c>
    </row>
    <row r="7" spans="1:65" ht="15" customHeight="1">
      <c r="A7" s="286"/>
      <c r="B7" s="294"/>
      <c r="C7" s="293"/>
      <c r="D7" s="293"/>
      <c r="E7" s="293"/>
      <c r="F7" s="293"/>
      <c r="G7" s="293"/>
      <c r="H7" s="293"/>
      <c r="I7" s="293"/>
      <c r="J7" s="293"/>
      <c r="K7" s="352"/>
      <c r="L7" s="293"/>
      <c r="M7" s="293"/>
      <c r="N7" s="293"/>
      <c r="O7" s="293"/>
      <c r="Q7" s="574" t="s">
        <v>726</v>
      </c>
      <c r="R7" s="575"/>
      <c r="S7" s="576" t="s">
        <v>712</v>
      </c>
      <c r="T7" s="576"/>
      <c r="U7" s="270" t="s">
        <v>717</v>
      </c>
      <c r="V7" s="376">
        <v>70</v>
      </c>
      <c r="W7" s="385"/>
      <c r="AD7" s="383" t="str">
        <f>IF(AD8="Yes","TC","")</f>
        <v/>
      </c>
      <c r="AJ7" s="383" t="str">
        <f>IF(AJ8="Yes","LFE","")</f>
        <v/>
      </c>
      <c r="BA7" s="392">
        <f t="shared" si="0"/>
        <v>1</v>
      </c>
      <c r="BB7" s="392">
        <f t="shared" si="1"/>
        <v>1</v>
      </c>
      <c r="BC7" s="392">
        <f t="shared" si="2"/>
        <v>0</v>
      </c>
    </row>
    <row r="8" spans="1:65" ht="15">
      <c r="B8" s="294"/>
      <c r="C8" s="293"/>
      <c r="D8" s="293"/>
      <c r="E8" s="293"/>
      <c r="F8" s="293"/>
      <c r="G8" s="293"/>
      <c r="H8" s="293"/>
      <c r="I8" s="293"/>
      <c r="J8" s="293"/>
      <c r="K8" s="352"/>
      <c r="L8" s="293"/>
      <c r="M8" s="293"/>
      <c r="N8" s="355" t="s">
        <v>727</v>
      </c>
      <c r="O8" s="270" t="s">
        <v>728</v>
      </c>
      <c r="Q8" s="574" t="s">
        <v>729</v>
      </c>
      <c r="R8" s="575"/>
      <c r="S8" s="576" t="s">
        <v>712</v>
      </c>
      <c r="T8" s="576"/>
      <c r="U8" s="270" t="s">
        <v>717</v>
      </c>
      <c r="V8" s="376">
        <v>70</v>
      </c>
      <c r="W8" s="385"/>
      <c r="AD8" s="270" t="s">
        <v>717</v>
      </c>
      <c r="AJ8" s="270" t="s">
        <v>717</v>
      </c>
      <c r="BA8" s="392">
        <f t="shared" si="0"/>
        <v>1</v>
      </c>
      <c r="BB8" s="392">
        <f t="shared" si="1"/>
        <v>1</v>
      </c>
      <c r="BC8" s="392">
        <f t="shared" si="2"/>
        <v>0</v>
      </c>
    </row>
    <row r="9" spans="1:65" ht="15">
      <c r="B9" s="295"/>
      <c r="C9" s="296"/>
      <c r="D9" s="296"/>
      <c r="E9" s="296"/>
      <c r="F9" s="296"/>
      <c r="G9" s="296"/>
      <c r="H9" s="296"/>
      <c r="I9" s="296"/>
      <c r="J9" s="296"/>
      <c r="K9" s="356"/>
      <c r="L9" s="293"/>
      <c r="M9" s="293"/>
      <c r="N9" s="293"/>
      <c r="O9" s="293"/>
      <c r="Q9" s="574" t="s">
        <v>730</v>
      </c>
      <c r="R9" s="575"/>
      <c r="S9" s="576" t="s">
        <v>712</v>
      </c>
      <c r="T9" s="576"/>
      <c r="U9" s="270" t="s">
        <v>717</v>
      </c>
      <c r="V9" s="376">
        <v>70</v>
      </c>
      <c r="W9" s="385"/>
      <c r="Z9" s="383" t="str">
        <f>IF(Z10="Yes","RL","")</f>
        <v/>
      </c>
      <c r="AA9" s="385"/>
      <c r="AB9" s="383" t="str">
        <f>IF(AB10="Yes","RLC","")</f>
        <v/>
      </c>
      <c r="AC9" s="385"/>
      <c r="AD9" s="383" t="str">
        <f>IF(AD10="Yes","RC","")</f>
        <v/>
      </c>
      <c r="AE9" s="385"/>
      <c r="AF9" s="383" t="str">
        <f>IF(AF10="Yes","RRC","")</f>
        <v/>
      </c>
      <c r="AG9" s="385"/>
      <c r="AH9" s="383" t="str">
        <f>IF(AH10="Yes","RR","")</f>
        <v/>
      </c>
      <c r="BA9" s="392">
        <f t="shared" si="0"/>
        <v>1</v>
      </c>
      <c r="BB9" s="392">
        <f t="shared" si="1"/>
        <v>1</v>
      </c>
      <c r="BC9" s="392">
        <f t="shared" si="2"/>
        <v>0</v>
      </c>
    </row>
    <row r="10" spans="1:65" ht="15">
      <c r="C10" s="297">
        <f>IF($B$20="640x480p60Hz (1)",EDID!$P100,IF($B$20="720x480p60Hz (2)",EDID!$Q100,IF($B$20="1280x720p60Hz (4)",EDID!$R100,IF($B$20="1920x1080p60Hz (16)",EDID!$S100,IF($B$20="1920x1200p60Hz (68)",EDID!$V100,IF($B$20="2560x1600p60Hz (76)",EDID!$W100,C19))))))</f>
        <v>154</v>
      </c>
      <c r="D10" s="297">
        <f>IF($B$20="640x480p60Hz (1)",EDID!$P101,IF($B$20="720x480p60Hz (2)",EDID!$Q101,IF($B$20="1280x720p60Hz (4)",EDID!$R101,IF($B$20="1920x1080p60Hz (16)",EDID!$S101,IF($B$20="1920x1200p60Hz (68)",EDID!$V101,IF($B$20="2560x1600p60Hz (76)",EDID!$W101,D19))))))</f>
        <v>50</v>
      </c>
      <c r="E10" s="297">
        <f>IF($B$20="640x480p60Hz (1)",EDID!$P102,IF($B$20="720x480p60Hz (2)",EDID!$Q102,IF($B$20="1280x720p60Hz (4)",EDID!$R102,IF($B$20="1920x1080p60Hz (16)",EDID!$S102,IF($B$20="1920x1200p60Hz (68)",EDID!$V102,IF($B$20="2560x1600p60Hz (76)",EDID!$W102,E19))))))</f>
        <v>100</v>
      </c>
      <c r="F10" s="297">
        <f>IF($B$20="640x480p60Hz (1)",EDID!$P103,IF($B$20="720x480p60Hz (2)",EDID!$Q103,IF($B$20="1280x720p60Hz (4)",EDID!$R103,IF($B$20="1920x1080p60Hz (16)",EDID!$S103,IF($B$20="1920x1200p60Hz (68)",EDID!$V103,IF($B$20="2560x1600p60Hz (76)",EDID!$W103,F19))))))</f>
        <v>1080</v>
      </c>
      <c r="G10" s="297">
        <f>IF($B$20="640x480p60Hz (1)",EDID!$P104,IF($B$20="720x480p60Hz (2)",EDID!$Q104,IF($B$20="1280x720p60Hz (4)",EDID!$R104,IF($B$20="1920x1080p60Hz (16)",EDID!$S104,IF($B$20="1920x1200p60Hz (68)",EDID!$V104,IF($B$20="2560x1600p60Hz (76)",EDID!$W104,G19))))))</f>
        <v>100</v>
      </c>
      <c r="H10" s="297">
        <f>IF($B$20="640x480p60Hz (1)",EDID!$P105,IF($B$20="720x480p60Hz (2)",EDID!$Q105,IF($B$20="1280x720p60Hz (4)",EDID!$R105,IF($B$20="1920x1080p60Hz (16)",EDID!$S105,IF($B$20="1920x1200p60Hz (68)",EDID!$V105,IF($B$20="2560x1600p60Hz (76)",EDID!$W105,H19))))))</f>
        <v>4</v>
      </c>
      <c r="I10" s="297">
        <f>IF($B$20="640x480p60Hz (1)",EDID!$P106,IF($B$20="720x480p60Hz (2)",EDID!$Q106,IF($B$20="1280x720p60Hz (4)",EDID!$R106,IF($B$20="1920x1080p60Hz (16)",EDID!$S106,IF($B$20="1920x1200p60Hz (68)",EDID!$V106,IF($B$20="2560x1600p60Hz (76)",EDID!$W106,I19))))))</f>
        <v>4</v>
      </c>
      <c r="J10" s="297">
        <f>IF($B$20="640x480p60Hz (1)",EDID!$P107,IF($B$20="720x480p60Hz (2)",EDID!$Q107,IF($B$20="1280x720p60Hz (4)",EDID!$R107,IF($B$20="1920x1080p60Hz (16)",EDID!$S107,IF($B$20="1920x1200p60Hz (68)",EDID!$V107,IF($B$20="2560x1600p60Hz (76)",EDID!$W107,J19))))))</f>
        <v>1920</v>
      </c>
      <c r="K10" s="297">
        <f>IF($B$20="640x480p60Hz (1)",EDID!$P108,IF($B$20="720x480p60Hz (2)",EDID!$Q108,IF($B$20="1280x720p60Hz (4)",EDID!$R108,IF($B$20="1920x1080p60Hz (16)",EDID!$S108,IF($B$20="1920x1200p60Hz (68)",EDID!$V108,IF($B$20="2560x1600p60Hz (76)",EDID!$W108,K19))))))</f>
        <v>4</v>
      </c>
      <c r="Q10" s="574" t="s">
        <v>731</v>
      </c>
      <c r="R10" s="575"/>
      <c r="S10" s="576" t="s">
        <v>712</v>
      </c>
      <c r="T10" s="576"/>
      <c r="U10" s="270" t="s">
        <v>717</v>
      </c>
      <c r="V10" s="376">
        <v>70</v>
      </c>
      <c r="W10" s="384" t="s">
        <v>732</v>
      </c>
      <c r="Z10" s="270" t="s">
        <v>717</v>
      </c>
      <c r="AB10" s="270" t="s">
        <v>717</v>
      </c>
      <c r="AD10" s="270" t="s">
        <v>717</v>
      </c>
      <c r="AF10" s="390" t="str">
        <f>IF(AB10="Yes","Yes","No")</f>
        <v>No</v>
      </c>
      <c r="AH10" s="390" t="str">
        <f>IF(Z10="Yes","Yes","No")</f>
        <v>No</v>
      </c>
      <c r="BA10" s="392">
        <f t="shared" si="0"/>
        <v>1</v>
      </c>
      <c r="BB10" s="392">
        <f t="shared" si="1"/>
        <v>1</v>
      </c>
      <c r="BC10" s="392">
        <f t="shared" si="2"/>
        <v>0</v>
      </c>
    </row>
    <row r="11" spans="1:65" ht="15" hidden="1">
      <c r="C11" s="297"/>
      <c r="D11" s="297"/>
      <c r="E11" s="297"/>
      <c r="F11" s="297"/>
      <c r="G11" s="297"/>
      <c r="H11" s="297"/>
      <c r="I11" s="297"/>
      <c r="J11" s="297"/>
      <c r="K11" s="297"/>
      <c r="Q11" s="386"/>
      <c r="R11" s="387"/>
      <c r="S11" s="387"/>
      <c r="T11" s="387"/>
      <c r="BA11" s="392">
        <f>SUM(BA3:BA10)</f>
        <v>7</v>
      </c>
    </row>
    <row r="12" spans="1:65" ht="15" hidden="1">
      <c r="C12" s="297"/>
      <c r="D12" s="297"/>
      <c r="E12" s="297"/>
      <c r="F12" s="297"/>
      <c r="G12" s="297"/>
      <c r="H12" s="297"/>
      <c r="I12" s="297"/>
      <c r="J12" s="297"/>
      <c r="K12" s="297"/>
      <c r="Q12" s="386"/>
      <c r="R12" s="387"/>
      <c r="S12" s="387"/>
      <c r="T12" s="387"/>
    </row>
    <row r="13" spans="1:65" ht="15" hidden="1">
      <c r="C13" s="297"/>
      <c r="D13" s="297"/>
      <c r="E13" s="297"/>
      <c r="F13" s="297"/>
      <c r="G13" s="297"/>
      <c r="H13" s="297"/>
      <c r="I13" s="297"/>
      <c r="J13" s="297"/>
      <c r="K13" s="297"/>
      <c r="Q13" s="386"/>
      <c r="R13" s="387"/>
      <c r="S13" s="387"/>
      <c r="T13" s="387"/>
    </row>
    <row r="14" spans="1:65" ht="15" hidden="1">
      <c r="C14" s="297"/>
      <c r="D14" s="297"/>
      <c r="E14" s="297"/>
      <c r="F14" s="297"/>
      <c r="G14" s="297"/>
      <c r="H14" s="297"/>
      <c r="I14" s="297"/>
      <c r="J14" s="297"/>
      <c r="K14" s="297"/>
      <c r="Q14" s="386"/>
      <c r="R14" s="387"/>
      <c r="S14" s="387"/>
      <c r="T14" s="387"/>
    </row>
    <row r="15" spans="1:65">
      <c r="C15" s="297"/>
      <c r="D15" s="297"/>
      <c r="E15" s="297"/>
      <c r="F15" s="297"/>
      <c r="G15" s="297"/>
      <c r="H15" s="297"/>
      <c r="I15" s="297"/>
      <c r="J15" s="297"/>
      <c r="K15" s="297"/>
    </row>
    <row r="16" spans="1:65" ht="15.75" customHeight="1">
      <c r="B16" s="577" t="s">
        <v>733</v>
      </c>
      <c r="C16" s="577"/>
      <c r="D16" s="577"/>
      <c r="E16" s="577"/>
      <c r="F16" s="577"/>
      <c r="G16" s="577"/>
      <c r="H16" s="577"/>
      <c r="I16" s="577"/>
      <c r="J16" s="577"/>
      <c r="K16" s="577"/>
      <c r="L16" s="577"/>
      <c r="Q16" s="578" t="s">
        <v>734</v>
      </c>
      <c r="R16" s="578"/>
      <c r="S16" s="578"/>
      <c r="T16" s="578"/>
      <c r="BA16"/>
    </row>
    <row r="17" spans="2:56" ht="15">
      <c r="B17" s="298"/>
      <c r="C17" s="299" t="s">
        <v>735</v>
      </c>
      <c r="D17" s="299" t="s">
        <v>736</v>
      </c>
      <c r="E17" s="299" t="s">
        <v>737</v>
      </c>
      <c r="F17" s="299" t="s">
        <v>738</v>
      </c>
      <c r="G17" s="299" t="s">
        <v>739</v>
      </c>
      <c r="H17" s="299" t="s">
        <v>740</v>
      </c>
      <c r="I17" s="299" t="s">
        <v>741</v>
      </c>
      <c r="J17" s="299" t="s">
        <v>742</v>
      </c>
      <c r="K17" s="357" t="s">
        <v>743</v>
      </c>
      <c r="L17" s="358"/>
      <c r="M17" s="564" t="s">
        <v>744</v>
      </c>
      <c r="N17" s="564"/>
      <c r="O17" s="565"/>
      <c r="Q17" s="388" t="s">
        <v>710</v>
      </c>
      <c r="R17" s="389">
        <v>2</v>
      </c>
      <c r="S17"/>
      <c r="T17"/>
    </row>
    <row r="18" spans="2:56" ht="15" customHeight="1">
      <c r="B18" s="300" t="s">
        <v>745</v>
      </c>
      <c r="C18" s="301" t="s">
        <v>746</v>
      </c>
      <c r="D18" s="301" t="s">
        <v>747</v>
      </c>
      <c r="E18" s="301" t="s">
        <v>747</v>
      </c>
      <c r="F18" s="301" t="s">
        <v>747</v>
      </c>
      <c r="G18" s="301" t="s">
        <v>747</v>
      </c>
      <c r="H18" s="301" t="s">
        <v>748</v>
      </c>
      <c r="I18" s="301" t="s">
        <v>748</v>
      </c>
      <c r="J18" s="301" t="s">
        <v>748</v>
      </c>
      <c r="K18" s="359" t="s">
        <v>748</v>
      </c>
      <c r="L18" s="360" t="s">
        <v>749</v>
      </c>
      <c r="M18" s="315"/>
      <c r="N18" s="361" t="s">
        <v>750</v>
      </c>
      <c r="O18" s="361" t="s">
        <v>751</v>
      </c>
      <c r="P18" s="242"/>
      <c r="Q18" s="242"/>
      <c r="S18"/>
      <c r="T18"/>
    </row>
    <row r="19" spans="2:56" ht="15">
      <c r="B19" s="302" t="s">
        <v>752</v>
      </c>
      <c r="C19" s="303">
        <v>154</v>
      </c>
      <c r="D19" s="304">
        <v>50</v>
      </c>
      <c r="E19" s="304">
        <v>100</v>
      </c>
      <c r="F19" s="304">
        <v>1080</v>
      </c>
      <c r="G19" s="270">
        <v>100</v>
      </c>
      <c r="H19" s="270">
        <v>4</v>
      </c>
      <c r="I19" s="270">
        <v>4</v>
      </c>
      <c r="J19" s="304">
        <v>1920</v>
      </c>
      <c r="K19" s="362">
        <v>4</v>
      </c>
      <c r="L19" s="363"/>
      <c r="M19" s="364" t="s">
        <v>753</v>
      </c>
      <c r="N19" s="365" t="s">
        <v>754</v>
      </c>
      <c r="O19" s="365" t="s">
        <v>755</v>
      </c>
      <c r="P19" s="242"/>
      <c r="Q19" s="242"/>
      <c r="BA19" s="393" t="s">
        <v>756</v>
      </c>
      <c r="BB19" s="393" t="s">
        <v>757</v>
      </c>
      <c r="BC19" s="393" t="s">
        <v>758</v>
      </c>
      <c r="BD19" s="393" t="s">
        <v>759</v>
      </c>
    </row>
    <row r="20" spans="2:56" ht="15">
      <c r="B20" s="270" t="s">
        <v>712</v>
      </c>
      <c r="C20" s="305">
        <f t="shared" ref="C20:K20" si="3">C10</f>
        <v>154</v>
      </c>
      <c r="D20" s="305">
        <f t="shared" si="3"/>
        <v>50</v>
      </c>
      <c r="E20" s="305">
        <f t="shared" si="3"/>
        <v>100</v>
      </c>
      <c r="F20" s="305">
        <f t="shared" si="3"/>
        <v>1080</v>
      </c>
      <c r="G20" s="305">
        <f t="shared" si="3"/>
        <v>100</v>
      </c>
      <c r="H20" s="305">
        <f t="shared" si="3"/>
        <v>4</v>
      </c>
      <c r="I20" s="305">
        <f t="shared" si="3"/>
        <v>4</v>
      </c>
      <c r="J20" s="305">
        <f t="shared" si="3"/>
        <v>1920</v>
      </c>
      <c r="K20" s="305">
        <f t="shared" si="3"/>
        <v>4</v>
      </c>
      <c r="L20" s="255" t="s">
        <v>760</v>
      </c>
      <c r="M20" s="366">
        <f>C20*10^6/((D20+E20+F20+G20)*(H20+I20+J20+K20))</f>
        <v>59.932439795140027</v>
      </c>
      <c r="N20" s="367">
        <f>(D20+E20+F20+G20)*1/C20</f>
        <v>8.6363636363636367</v>
      </c>
      <c r="O20" s="367">
        <f>(H20+I20+J20+K20)*N20/10^3</f>
        <v>16.685454545454547</v>
      </c>
      <c r="P20" s="242"/>
      <c r="Q20" s="242"/>
      <c r="BA20" s="395">
        <v>80</v>
      </c>
      <c r="BB20" s="393">
        <v>32</v>
      </c>
      <c r="BC20" s="392">
        <f>$BA$20/2</f>
        <v>40</v>
      </c>
      <c r="BD20" s="392">
        <f>$BA$20-$BB$20-$BC$20</f>
        <v>8</v>
      </c>
    </row>
    <row r="21" spans="2:56" ht="15">
      <c r="B21" s="179"/>
      <c r="C21" s="306" t="s">
        <v>761</v>
      </c>
      <c r="D21" s="307" t="s">
        <v>762</v>
      </c>
      <c r="E21" s="307" t="s">
        <v>763</v>
      </c>
      <c r="F21" s="307" t="s">
        <v>764</v>
      </c>
      <c r="G21" s="307" t="s">
        <v>765</v>
      </c>
      <c r="H21" s="307" t="s">
        <v>766</v>
      </c>
      <c r="I21" s="307" t="s">
        <v>767</v>
      </c>
      <c r="J21" s="307" t="s">
        <v>764</v>
      </c>
      <c r="K21" s="195"/>
      <c r="L21" s="255" t="s">
        <v>768</v>
      </c>
      <c r="M21" s="331" t="str">
        <f>IF(B20="Original",L21,"Progressive")</f>
        <v>Progressive</v>
      </c>
      <c r="O21"/>
      <c r="P21" s="242"/>
      <c r="Q21" s="242"/>
      <c r="BA21" s="396" t="s">
        <v>769</v>
      </c>
      <c r="BB21" s="396" t="s">
        <v>770</v>
      </c>
    </row>
    <row r="22" spans="2:56" ht="15">
      <c r="B22"/>
      <c r="C22" s="308" t="s">
        <v>771</v>
      </c>
      <c r="D22" s="209" t="str">
        <f>IF(D20&lt;BB20,"NG",IF(BA22=1,IF(D20+E20+G20&lt;106,"NG","OK"),"OK"))</f>
        <v>OK</v>
      </c>
      <c r="E22" s="209" t="str">
        <f>IF(E20&lt;BC20,"NG",IF(BA22=1,IF(D20+E20+G20&lt;106,"NG","OK"),"OK"))</f>
        <v>OK</v>
      </c>
      <c r="F22" s="209" t="str">
        <f>IF(F20&gt;4096,"NG",IF(F20&lt;1,"NG","OK"))</f>
        <v>OK</v>
      </c>
      <c r="G22" s="209" t="str">
        <f>IF(G20&lt;BD20,"NG",IF(BA22=1,IF(D20+E20+G20&lt;106,"NG","OK"),"OK"))</f>
        <v>OK</v>
      </c>
      <c r="H22" s="209" t="str">
        <f>IF(H20&gt;1023,"NG",IF(H20&lt;2,"NG","OK"))</f>
        <v>OK</v>
      </c>
      <c r="I22" s="209" t="str">
        <f>IF(I20&gt;1023,"NG",IF(I20&lt;1,"NG","OK"))</f>
        <v>OK</v>
      </c>
      <c r="J22" s="209" t="str">
        <f>IF(J20&gt;4096,"NG",IF(J20&lt;1,"NG","OK"))</f>
        <v>OK</v>
      </c>
      <c r="K22"/>
      <c r="L22" s="255" t="s">
        <v>772</v>
      </c>
      <c r="O22"/>
      <c r="P22" s="242"/>
      <c r="Q22" s="242"/>
      <c r="BA22" s="397">
        <f>IF(L22="HDCP chip",1,0)</f>
        <v>0</v>
      </c>
      <c r="BB22" s="397">
        <f>IF(M4="Disable",0,1)</f>
        <v>1</v>
      </c>
    </row>
    <row r="23" spans="2:56" ht="15">
      <c r="B23"/>
      <c r="C23" s="209" t="str">
        <f>IF(C20&lt;1,"NG",IF(C20&gt;297,"NG",IF(C29="Color Bar",IF(C20&gt;C82*2,"NG","OK"),"OK")))</f>
        <v>OK</v>
      </c>
      <c r="D23" s="309">
        <f>D20/C20*1000</f>
        <v>324.67532467532465</v>
      </c>
      <c r="E23" s="309">
        <f>E20/C20*1000</f>
        <v>649.35064935064929</v>
      </c>
      <c r="F23" s="309">
        <f>F20/C20</f>
        <v>7.0129870129870131</v>
      </c>
      <c r="G23" s="309">
        <f>G20/C20*1000</f>
        <v>649.35064935064929</v>
      </c>
      <c r="H23" s="310"/>
      <c r="I23" s="310"/>
      <c r="J23" s="310"/>
      <c r="K23" s="310"/>
      <c r="L23" s="368" t="s">
        <v>773</v>
      </c>
      <c r="M23" s="270" t="s">
        <v>1305</v>
      </c>
      <c r="N23" s="368" t="s">
        <v>775</v>
      </c>
      <c r="O23" s="322">
        <v>192</v>
      </c>
      <c r="P23" s="242"/>
      <c r="Q23" s="242"/>
      <c r="S23" s="242"/>
      <c r="BA23"/>
      <c r="BB23"/>
    </row>
    <row r="24" spans="2:56" ht="15">
      <c r="B24" s="311" t="s">
        <v>776</v>
      </c>
      <c r="C24" s="303">
        <v>150</v>
      </c>
      <c r="D24" s="55" t="s">
        <v>777</v>
      </c>
      <c r="E24" s="55" t="s">
        <v>777</v>
      </c>
      <c r="F24" s="55" t="s">
        <v>778</v>
      </c>
      <c r="G24" s="55" t="s">
        <v>777</v>
      </c>
      <c r="H24" s="310"/>
      <c r="I24" s="369" t="s">
        <v>779</v>
      </c>
      <c r="J24" s="370" t="s">
        <v>780</v>
      </c>
      <c r="K24" s="310"/>
      <c r="L24" s="368" t="s">
        <v>781</v>
      </c>
      <c r="M24" s="270" t="s">
        <v>1305</v>
      </c>
      <c r="N24" s="368" t="s">
        <v>782</v>
      </c>
      <c r="O24" s="322">
        <v>120</v>
      </c>
      <c r="P24" s="242"/>
      <c r="Q24" s="242"/>
      <c r="BA24"/>
      <c r="BB24"/>
    </row>
    <row r="25" spans="2:56" ht="15" hidden="1">
      <c r="B25"/>
      <c r="C25" s="310"/>
      <c r="D25" s="312"/>
      <c r="E25" s="312"/>
      <c r="F25" s="312"/>
      <c r="G25" s="312"/>
      <c r="H25" s="310"/>
      <c r="I25" s="310"/>
      <c r="J25" s="310"/>
      <c r="K25" s="310"/>
      <c r="L25"/>
      <c r="M25"/>
      <c r="N25" s="194">
        <f>IF(M25="L Active",1,0)</f>
        <v>0</v>
      </c>
      <c r="O25" s="371"/>
      <c r="P25" s="242"/>
      <c r="Q25" s="242"/>
    </row>
    <row r="26" spans="2:56" ht="15" hidden="1">
      <c r="B26"/>
      <c r="C26" s="310"/>
      <c r="D26" s="312"/>
      <c r="E26" s="312"/>
      <c r="F26" s="312"/>
      <c r="G26" s="312"/>
      <c r="H26" s="310"/>
      <c r="I26" s="310"/>
      <c r="J26" s="310"/>
      <c r="K26" s="310"/>
      <c r="L26"/>
      <c r="M26"/>
      <c r="N26" s="371"/>
      <c r="O26" s="371"/>
      <c r="P26" s="242"/>
      <c r="Q26" s="242"/>
    </row>
    <row r="27" spans="2:56">
      <c r="L27"/>
      <c r="M27"/>
    </row>
    <row r="28" spans="2:56" ht="15">
      <c r="E28" s="49" t="s">
        <v>783</v>
      </c>
      <c r="F28" s="313" t="s">
        <v>784</v>
      </c>
      <c r="G28" s="314" t="s">
        <v>785</v>
      </c>
      <c r="L28"/>
      <c r="M28"/>
    </row>
    <row r="29" spans="2:56" ht="15">
      <c r="B29" s="315" t="s">
        <v>786</v>
      </c>
      <c r="C29" s="270" t="s">
        <v>787</v>
      </c>
      <c r="D29" s="270" t="s">
        <v>788</v>
      </c>
      <c r="E29" s="303">
        <v>0</v>
      </c>
      <c r="F29" s="303">
        <v>0</v>
      </c>
      <c r="G29" s="303">
        <v>255</v>
      </c>
      <c r="H29" s="310"/>
      <c r="I29" s="310"/>
      <c r="J29" s="310"/>
      <c r="K29" s="310"/>
      <c r="L29"/>
      <c r="M29"/>
      <c r="N29" s="371"/>
      <c r="O29" s="371"/>
      <c r="P29" s="242"/>
      <c r="Q29" s="242"/>
    </row>
    <row r="30" spans="2:56" ht="15">
      <c r="B30"/>
      <c r="C30"/>
      <c r="D30" s="310"/>
      <c r="E30" s="310"/>
      <c r="F30" s="310"/>
      <c r="G30" s="310"/>
      <c r="H30" s="310"/>
      <c r="I30" s="310"/>
      <c r="J30" s="310"/>
      <c r="K30" s="310"/>
      <c r="L30"/>
      <c r="M30"/>
      <c r="N30" s="371"/>
      <c r="O30" s="371"/>
      <c r="P30" s="242"/>
      <c r="Q30" s="242"/>
    </row>
    <row r="31" spans="2:56" ht="15" hidden="1">
      <c r="B31"/>
      <c r="C31"/>
      <c r="D31" s="310"/>
      <c r="E31" s="310"/>
      <c r="F31" s="310"/>
      <c r="G31" s="310"/>
      <c r="H31" s="310"/>
      <c r="I31" s="310"/>
      <c r="J31" s="310"/>
      <c r="K31" s="310"/>
      <c r="L31"/>
      <c r="M31"/>
      <c r="N31" s="371"/>
      <c r="O31" s="371"/>
      <c r="P31" s="242"/>
      <c r="Q31" s="242"/>
    </row>
    <row r="32" spans="2:56" hidden="1">
      <c r="B32"/>
      <c r="C32"/>
      <c r="D32"/>
      <c r="E32"/>
      <c r="F32"/>
      <c r="G32"/>
      <c r="H32"/>
      <c r="I32"/>
      <c r="J32"/>
      <c r="K32"/>
      <c r="L32"/>
      <c r="M32"/>
      <c r="N32"/>
      <c r="O32"/>
      <c r="P32"/>
      <c r="Q32"/>
    </row>
    <row r="33" spans="2:18" hidden="1">
      <c r="B33"/>
      <c r="C33"/>
      <c r="D33"/>
      <c r="E33"/>
      <c r="F33"/>
      <c r="G33"/>
      <c r="H33"/>
      <c r="I33"/>
      <c r="J33"/>
      <c r="K33"/>
      <c r="L33"/>
      <c r="M33"/>
      <c r="N33"/>
      <c r="O33"/>
      <c r="P33"/>
      <c r="Q33"/>
    </row>
    <row r="34" spans="2:18" hidden="1">
      <c r="B34"/>
      <c r="C34"/>
      <c r="D34"/>
      <c r="E34"/>
      <c r="F34"/>
      <c r="G34"/>
      <c r="H34"/>
      <c r="I34"/>
      <c r="J34"/>
      <c r="K34"/>
      <c r="L34"/>
      <c r="M34"/>
      <c r="N34"/>
      <c r="O34"/>
      <c r="P34"/>
      <c r="Q34"/>
    </row>
    <row r="35" spans="2:18" hidden="1">
      <c r="B35"/>
      <c r="C35"/>
      <c r="D35"/>
      <c r="E35"/>
      <c r="F35"/>
      <c r="G35"/>
      <c r="H35"/>
      <c r="I35"/>
      <c r="J35"/>
      <c r="K35"/>
      <c r="L35"/>
      <c r="M35"/>
      <c r="N35"/>
      <c r="O35"/>
      <c r="P35"/>
      <c r="Q35"/>
    </row>
    <row r="36" spans="2:18" hidden="1">
      <c r="B36"/>
      <c r="C36"/>
      <c r="D36"/>
      <c r="E36"/>
      <c r="F36"/>
      <c r="G36"/>
      <c r="H36"/>
      <c r="I36"/>
      <c r="J36"/>
      <c r="K36"/>
      <c r="L36"/>
      <c r="M36"/>
      <c r="N36"/>
      <c r="O36"/>
      <c r="P36"/>
      <c r="Q36"/>
    </row>
    <row r="37" spans="2:18" hidden="1">
      <c r="B37"/>
      <c r="C37"/>
      <c r="D37"/>
      <c r="E37"/>
      <c r="F37"/>
      <c r="G37"/>
      <c r="H37"/>
      <c r="I37"/>
      <c r="J37"/>
      <c r="K37"/>
      <c r="L37"/>
      <c r="M37"/>
      <c r="N37"/>
      <c r="O37"/>
      <c r="P37"/>
      <c r="Q37"/>
    </row>
    <row r="38" spans="2:18" hidden="1">
      <c r="B38"/>
      <c r="C38"/>
      <c r="D38"/>
      <c r="E38"/>
      <c r="F38"/>
      <c r="G38"/>
      <c r="H38"/>
      <c r="I38"/>
      <c r="J38"/>
      <c r="K38"/>
      <c r="L38"/>
      <c r="M38"/>
      <c r="N38"/>
      <c r="O38"/>
      <c r="P38"/>
      <c r="Q38"/>
    </row>
    <row r="39" spans="2:18" hidden="1">
      <c r="B39" s="316"/>
      <c r="C39"/>
      <c r="D39"/>
      <c r="E39"/>
      <c r="F39"/>
      <c r="G39"/>
      <c r="H39"/>
      <c r="I39"/>
      <c r="J39"/>
      <c r="K39"/>
      <c r="L39"/>
      <c r="M39"/>
      <c r="N39"/>
      <c r="O39"/>
      <c r="P39"/>
      <c r="Q39"/>
      <c r="R39"/>
    </row>
    <row r="40" spans="2:18" ht="15">
      <c r="B40" s="317"/>
      <c r="C40" s="317"/>
      <c r="D40" s="317"/>
      <c r="E40" s="318" t="s">
        <v>789</v>
      </c>
      <c r="F40" s="270" t="s">
        <v>790</v>
      </c>
      <c r="G40" s="318" t="s">
        <v>791</v>
      </c>
      <c r="H40" s="270" t="s">
        <v>790</v>
      </c>
      <c r="I40" s="372" t="s">
        <v>792</v>
      </c>
      <c r="J40" s="372" t="s">
        <v>792</v>
      </c>
      <c r="K40"/>
      <c r="L40"/>
      <c r="M40"/>
      <c r="N40"/>
      <c r="O40"/>
      <c r="P40"/>
      <c r="Q40"/>
      <c r="R40"/>
    </row>
    <row r="41" spans="2:18" ht="30">
      <c r="B41" s="319" t="s">
        <v>793</v>
      </c>
      <c r="C41" s="320" t="s">
        <v>794</v>
      </c>
      <c r="D41" s="320" t="s">
        <v>795</v>
      </c>
      <c r="E41" s="318" t="s">
        <v>796</v>
      </c>
      <c r="F41" s="318" t="s">
        <v>797</v>
      </c>
      <c r="G41" s="318" t="s">
        <v>798</v>
      </c>
      <c r="H41" s="318" t="s">
        <v>799</v>
      </c>
      <c r="I41" s="373" t="s">
        <v>800</v>
      </c>
      <c r="J41" s="373" t="s">
        <v>801</v>
      </c>
      <c r="K41"/>
      <c r="L41"/>
      <c r="M41"/>
      <c r="P41"/>
      <c r="Q41"/>
      <c r="R41"/>
    </row>
    <row r="42" spans="2:18" ht="15" customHeight="1">
      <c r="B42" s="321" t="s">
        <v>749</v>
      </c>
      <c r="C42" s="270" t="s">
        <v>2370</v>
      </c>
      <c r="D42" s="255" t="s">
        <v>802</v>
      </c>
      <c r="E42" s="322">
        <v>1</v>
      </c>
      <c r="F42" s="255">
        <v>0</v>
      </c>
      <c r="G42" s="322">
        <v>1</v>
      </c>
      <c r="H42" s="255">
        <v>0</v>
      </c>
      <c r="I42" s="322">
        <v>10</v>
      </c>
      <c r="J42" s="322" t="s">
        <v>803</v>
      </c>
      <c r="K42"/>
      <c r="L42"/>
      <c r="M42"/>
      <c r="P42"/>
      <c r="Q42"/>
      <c r="R42"/>
    </row>
    <row r="43" spans="2:18" ht="15" customHeight="1">
      <c r="B43" s="321" t="s">
        <v>804</v>
      </c>
      <c r="C43" s="270" t="s">
        <v>805</v>
      </c>
      <c r="D43" s="323"/>
      <c r="E43" s="324" t="str">
        <f>IF(C42&lt;&gt;"Manual","Don't Care",IF(E42&lt;1,"NG",IF(E42&gt;4096,"NG",IF(E42&gt;F20,"NG","OK"))))</f>
        <v>Don't Care</v>
      </c>
      <c r="F43" s="325"/>
      <c r="G43" s="324" t="str">
        <f>IF(C42&lt;&gt;"Manual","Don't Care",IF(G42&lt;1,"NG",IF(G42&gt;4096,"NG",IF(G42&gt;F20,"NG","OK"))))</f>
        <v>Don't Care</v>
      </c>
      <c r="H43" s="325"/>
      <c r="I43" s="324" t="str">
        <f>IFERROR(DEC2HEX(HEX2DEC(I42),2),"NG")</f>
        <v>10</v>
      </c>
      <c r="J43" s="324" t="str">
        <f>IFERROR(DEC2HEX(HEX2DEC(J42),2),"NG")</f>
        <v>A0</v>
      </c>
      <c r="K43"/>
      <c r="L43"/>
      <c r="M43"/>
      <c r="P43"/>
      <c r="Q43"/>
      <c r="R43"/>
    </row>
    <row r="44" spans="2:18" ht="30">
      <c r="B44" s="326"/>
      <c r="C44" s="327" t="s">
        <v>806</v>
      </c>
      <c r="D44" s="327" t="s">
        <v>807</v>
      </c>
      <c r="E44" s="318" t="s">
        <v>808</v>
      </c>
      <c r="F44" s="318" t="s">
        <v>809</v>
      </c>
      <c r="G44" s="318" t="s">
        <v>810</v>
      </c>
      <c r="H44" s="318" t="s">
        <v>811</v>
      </c>
      <c r="K44"/>
      <c r="L44"/>
      <c r="M44"/>
      <c r="P44"/>
      <c r="Q44"/>
      <c r="R44"/>
    </row>
    <row r="45" spans="2:18" ht="15">
      <c r="B45" s="326"/>
      <c r="C45" s="255" t="s">
        <v>760</v>
      </c>
      <c r="D45" s="270" t="s">
        <v>812</v>
      </c>
      <c r="E45" s="322">
        <v>1080</v>
      </c>
      <c r="F45" s="255">
        <v>0</v>
      </c>
      <c r="G45" s="322">
        <v>1080</v>
      </c>
      <c r="H45" s="255">
        <v>0</v>
      </c>
      <c r="J45" s="374" t="s">
        <v>813</v>
      </c>
      <c r="K45" s="374" t="s">
        <v>814</v>
      </c>
      <c r="L45"/>
      <c r="M45"/>
      <c r="P45"/>
      <c r="Q45"/>
      <c r="R45"/>
    </row>
    <row r="46" spans="2:18" ht="15">
      <c r="B46" s="328">
        <f>IF(C45="YCbCr422-16bit",16,IF(C45="pRGB666",18,24))</f>
        <v>24</v>
      </c>
      <c r="C46" s="329"/>
      <c r="D46" s="318" t="s">
        <v>815</v>
      </c>
      <c r="E46" s="324" t="str">
        <f>IF(C42&lt;&gt;"Manual","Don't Care",IF(E45&lt;1,"NG",IF(E45&gt;4096,"NG",IF(E45&lt;E42,"NG",IF(E45&gt;F20,"NG","OK")))))</f>
        <v>Don't Care</v>
      </c>
      <c r="F46" s="330" t="s">
        <v>816</v>
      </c>
      <c r="G46" s="324" t="str">
        <f>IF(C42&lt;&gt;"Manual","Don't Care",IF(G45&lt;1,"NG",IF(G45&gt;4096,"NG",IF(G45&lt;G42,"NG",IF(G45&gt;F20,"NG","OK")))))</f>
        <v>Don't Care</v>
      </c>
      <c r="H46" s="330" t="s">
        <v>817</v>
      </c>
      <c r="I46" s="375" t="s">
        <v>818</v>
      </c>
      <c r="J46" s="376">
        <v>255</v>
      </c>
      <c r="K46" s="252">
        <v>0</v>
      </c>
      <c r="L46"/>
      <c r="M46"/>
      <c r="P46"/>
      <c r="Q46"/>
      <c r="R46"/>
    </row>
    <row r="47" spans="2:18" ht="15">
      <c r="B47" s="328">
        <f>IF(L20="RGB888",IF(MID(C45,1,8)="YCbCr422",1,0),0)</f>
        <v>0</v>
      </c>
      <c r="C47" s="326"/>
      <c r="D47" s="255" t="s">
        <v>780</v>
      </c>
      <c r="E47" s="331">
        <f>IF(OR(C42="Half(Auto)",C42="Half(Manual)"),F20/2,E45-E42+1)</f>
        <v>540</v>
      </c>
      <c r="F47" s="332">
        <f>IF(F40="Bypass",F20+F42+F45,IF(OR(C42="Half(Auto)",C42="Half(Manual)"),F20/2+F42+F45,E47+F42+F45))</f>
        <v>1080</v>
      </c>
      <c r="G47" s="331">
        <f>IF(OR(C42="Half(Auto)",C42="Half(Manual)"),F20/2,G45-G42+1)</f>
        <v>540</v>
      </c>
      <c r="H47" s="332">
        <f>IF(H40="Bypass",F20+H42+H45,IF(OR(C42="Half(Auto)",C42="Half(Manual)"),F20/2+H42+H45,G47+H42+H45))</f>
        <v>1080</v>
      </c>
      <c r="I47" s="377" t="s">
        <v>819</v>
      </c>
      <c r="J47" s="376">
        <v>0</v>
      </c>
      <c r="K47" s="252">
        <v>0</v>
      </c>
      <c r="L47"/>
      <c r="M47"/>
      <c r="P47"/>
      <c r="Q47"/>
      <c r="R47"/>
    </row>
    <row r="48" spans="2:18" ht="15">
      <c r="B48" s="245">
        <f>IF(L20="RGB888",IF(C45="YCbCr444",2,0),0)</f>
        <v>0</v>
      </c>
      <c r="C48" s="327" t="s">
        <v>820</v>
      </c>
      <c r="D48" s="255" t="s">
        <v>721</v>
      </c>
      <c r="E48" s="333"/>
      <c r="F48" s="333"/>
      <c r="G48" s="333"/>
      <c r="H48" s="333"/>
      <c r="I48" s="378" t="s">
        <v>821</v>
      </c>
      <c r="J48" s="252">
        <v>0</v>
      </c>
      <c r="K48" s="252">
        <v>255</v>
      </c>
      <c r="L48"/>
      <c r="M48"/>
      <c r="N48"/>
      <c r="O48"/>
      <c r="P48"/>
      <c r="Q48"/>
      <c r="R48"/>
    </row>
    <row r="49" spans="2:21">
      <c r="B49" s="194">
        <f>IF(L20="YCbCr444",IF(MID(C45,1,8)="YCbCr422",3,0),0)</f>
        <v>0</v>
      </c>
      <c r="E49" s="333"/>
      <c r="F49" s="333"/>
      <c r="G49" s="333"/>
      <c r="H49" s="333"/>
      <c r="I49"/>
      <c r="J49"/>
      <c r="K49"/>
      <c r="L49"/>
      <c r="M49"/>
      <c r="N49"/>
      <c r="O49"/>
      <c r="P49"/>
      <c r="Q49"/>
      <c r="R49"/>
    </row>
    <row r="50" spans="2:21" hidden="1">
      <c r="B50" s="194">
        <f>IF(L20="YCbCr422",IF(C45="YCbCr444",4,0),0)</f>
        <v>0</v>
      </c>
      <c r="E50" s="333"/>
      <c r="F50" s="333"/>
      <c r="G50" s="333"/>
      <c r="H50" s="333"/>
      <c r="I50"/>
      <c r="J50"/>
      <c r="K50"/>
      <c r="L50"/>
      <c r="M50"/>
      <c r="N50"/>
      <c r="O50"/>
      <c r="P50"/>
      <c r="Q50"/>
      <c r="R50"/>
    </row>
    <row r="51" spans="2:21" hidden="1">
      <c r="B51" s="194">
        <f>IF(L20="YCbCr444",IF(MID(C45,1,1)&lt;&gt;"Y",5,0),0)</f>
        <v>0</v>
      </c>
      <c r="E51" s="333"/>
      <c r="F51" s="333"/>
      <c r="G51" s="333"/>
      <c r="H51" s="333"/>
      <c r="I51"/>
      <c r="J51"/>
      <c r="K51"/>
      <c r="L51"/>
      <c r="M51"/>
      <c r="N51"/>
      <c r="O51"/>
      <c r="P51"/>
      <c r="Q51"/>
      <c r="R51"/>
    </row>
    <row r="52" spans="2:21" hidden="1">
      <c r="B52" s="194">
        <f>IF(L20="YCbCr422",IF(MID(C45,1,1)&lt;&gt;"Y",6,0),0)</f>
        <v>0</v>
      </c>
      <c r="E52" s="333"/>
      <c r="F52" s="333"/>
      <c r="G52" s="333"/>
      <c r="H52" s="333"/>
      <c r="I52"/>
      <c r="J52"/>
      <c r="K52"/>
      <c r="L52"/>
      <c r="M52"/>
      <c r="N52"/>
      <c r="O52"/>
      <c r="P52"/>
      <c r="Q52"/>
      <c r="R52"/>
    </row>
    <row r="53" spans="2:21" hidden="1">
      <c r="B53" s="194">
        <f>SUM(B47:B52)</f>
        <v>0</v>
      </c>
      <c r="E53" s="333"/>
      <c r="F53" s="333"/>
      <c r="G53" s="333"/>
      <c r="H53" s="333"/>
      <c r="I53"/>
      <c r="J53"/>
      <c r="K53"/>
      <c r="L53"/>
      <c r="M53"/>
      <c r="N53"/>
      <c r="O53"/>
      <c r="P53"/>
      <c r="Q53"/>
      <c r="R53"/>
    </row>
    <row r="54" spans="2:21" hidden="1">
      <c r="C54"/>
      <c r="E54" s="333"/>
      <c r="F54" s="333"/>
      <c r="G54" s="333"/>
      <c r="H54" s="333"/>
      <c r="I54"/>
      <c r="J54"/>
      <c r="K54"/>
      <c r="L54"/>
      <c r="M54"/>
      <c r="N54"/>
      <c r="O54"/>
      <c r="P54"/>
      <c r="Q54"/>
      <c r="R54"/>
    </row>
    <row r="55" spans="2:21" hidden="1">
      <c r="C55"/>
      <c r="E55" s="293"/>
      <c r="F55" s="293"/>
      <c r="G55" s="293"/>
      <c r="H55" s="293"/>
      <c r="I55"/>
      <c r="J55"/>
      <c r="K55"/>
      <c r="L55"/>
      <c r="M55"/>
      <c r="N55"/>
      <c r="O55"/>
      <c r="P55"/>
      <c r="Q55"/>
      <c r="R55"/>
    </row>
    <row r="56" spans="2:21" hidden="1">
      <c r="B56"/>
      <c r="C56"/>
      <c r="D56"/>
      <c r="E56"/>
      <c r="F56"/>
      <c r="G56"/>
      <c r="H56"/>
      <c r="P56"/>
      <c r="Q56"/>
      <c r="R56"/>
    </row>
    <row r="57" spans="2:21" hidden="1">
      <c r="B57"/>
      <c r="C57"/>
      <c r="D57"/>
      <c r="E57"/>
      <c r="F57"/>
      <c r="G57"/>
      <c r="H57"/>
      <c r="J57"/>
      <c r="K57"/>
      <c r="L57"/>
      <c r="M57"/>
      <c r="O57"/>
      <c r="P57"/>
      <c r="Q57"/>
      <c r="R57"/>
    </row>
    <row r="58" spans="2:21" ht="17.25" customHeight="1">
      <c r="B58" s="566" t="s">
        <v>822</v>
      </c>
      <c r="C58" s="566"/>
      <c r="D58" s="566"/>
      <c r="E58" s="566"/>
      <c r="F58" s="566"/>
      <c r="G58" s="566"/>
      <c r="H58" s="566"/>
      <c r="I58" s="566"/>
      <c r="J58"/>
      <c r="K58"/>
      <c r="L58"/>
      <c r="M58" s="567" t="s">
        <v>823</v>
      </c>
      <c r="N58" s="568"/>
      <c r="O58" s="270" t="s">
        <v>824</v>
      </c>
      <c r="P58" s="569" t="s">
        <v>825</v>
      </c>
      <c r="Q58" s="570"/>
      <c r="R58" s="570"/>
      <c r="S58" s="570"/>
      <c r="T58" s="570"/>
      <c r="U58" s="570"/>
    </row>
    <row r="59" spans="2:21" ht="15" customHeight="1">
      <c r="B59" s="551" t="s">
        <v>826</v>
      </c>
      <c r="C59" s="320" t="s">
        <v>827</v>
      </c>
      <c r="D59" s="320" t="str">
        <f>IF(D45="SyncEvent","-","HPW")</f>
        <v>-</v>
      </c>
      <c r="E59" s="334" t="str">
        <f>IF(D45="SyncEvent","HPW+HBP","HBP")</f>
        <v>HPW+HBP</v>
      </c>
      <c r="F59" s="335"/>
      <c r="G59" s="336"/>
      <c r="H59" s="335"/>
      <c r="I59" s="335"/>
      <c r="M59" s="551" t="s">
        <v>826</v>
      </c>
      <c r="N59" s="557"/>
      <c r="O59" s="320" t="s">
        <v>827</v>
      </c>
      <c r="P59" s="320" t="str">
        <f>IF(D45="SyncEvent","-","HPW")</f>
        <v>-</v>
      </c>
      <c r="Q59" s="334" t="str">
        <f>IF(D45="SyncEvent","HPW+HBP","HBP")</f>
        <v>HPW+HBP</v>
      </c>
      <c r="R59" s="335"/>
      <c r="S59" s="336"/>
      <c r="T59" s="335"/>
      <c r="U59" s="335"/>
    </row>
    <row r="60" spans="2:21" ht="15" customHeight="1">
      <c r="B60" s="551"/>
      <c r="C60" s="337" t="s">
        <v>828</v>
      </c>
      <c r="D60" s="338" t="s">
        <v>829</v>
      </c>
      <c r="E60" s="339" t="s">
        <v>833</v>
      </c>
      <c r="F60" s="340" t="s">
        <v>774</v>
      </c>
      <c r="G60" s="341" t="s">
        <v>830</v>
      </c>
      <c r="H60" s="340" t="s">
        <v>831</v>
      </c>
      <c r="I60" s="340" t="s">
        <v>832</v>
      </c>
      <c r="M60" s="551"/>
      <c r="N60" s="557"/>
      <c r="O60" s="337" t="s">
        <v>828</v>
      </c>
      <c r="P60" s="379" t="s">
        <v>833</v>
      </c>
      <c r="Q60" s="339" t="s">
        <v>833</v>
      </c>
      <c r="R60" s="340" t="s">
        <v>774</v>
      </c>
      <c r="S60" s="341" t="s">
        <v>830</v>
      </c>
      <c r="T60" s="340" t="s">
        <v>831</v>
      </c>
      <c r="U60" s="340" t="s">
        <v>832</v>
      </c>
    </row>
    <row r="61" spans="2:21" ht="15" customHeight="1">
      <c r="B61" s="551"/>
      <c r="C61" s="330" t="s">
        <v>834</v>
      </c>
      <c r="D61" s="54">
        <v>1</v>
      </c>
      <c r="E61" s="154">
        <v>260</v>
      </c>
      <c r="F61" s="342" t="s">
        <v>754</v>
      </c>
      <c r="G61" s="343" t="s">
        <v>754</v>
      </c>
      <c r="H61" s="342" t="s">
        <v>755</v>
      </c>
      <c r="I61" s="342" t="s">
        <v>755</v>
      </c>
      <c r="M61" s="551"/>
      <c r="N61" s="557"/>
      <c r="O61" s="343" t="s">
        <v>834</v>
      </c>
      <c r="P61" s="54">
        <v>1</v>
      </c>
      <c r="Q61" s="154">
        <v>260</v>
      </c>
      <c r="R61" s="342" t="s">
        <v>754</v>
      </c>
      <c r="S61" s="343" t="s">
        <v>754</v>
      </c>
      <c r="T61" s="342" t="s">
        <v>755</v>
      </c>
      <c r="U61" s="342" t="s">
        <v>755</v>
      </c>
    </row>
    <row r="62" spans="2:21" ht="15" customHeight="1">
      <c r="B62" s="551"/>
      <c r="C62" s="344">
        <f>C77</f>
        <v>998.4</v>
      </c>
      <c r="D62" s="331">
        <f>IF(D60="Set",D61,IF(C60="LP",IF((D20/C20-B115/1000)*C82&lt;2,1,INT((D20/C20-B115/1000)*C82/2)+1),INT(D20/C20*C82*C78)+1))</f>
        <v>163</v>
      </c>
      <c r="E62" s="331">
        <f>IF(E60="Set",E61,IF(C60="LP",IF(D45="SyncPulse",INT(E20/C20*C82/2)+1,IF(((D20+E20)/C20-B115/1000)*C82&lt;2,1,INT((D20+E20)/C20*C82/2)+1)),IF(D45="SyncPulse",INT(E20/C20*C82*C78)+1,INT((D20+E20)/C20*1000*C82*C78/1000)+1)))</f>
        <v>260</v>
      </c>
      <c r="F62" s="345">
        <f>1/(C77*C78)*B46*F47</f>
        <v>6.4903846153846168</v>
      </c>
      <c r="G62" s="345">
        <f>IF(D45="SyncPulse",N20-D63/1000-E63/1000-F62,N20-E63/1000-F62)</f>
        <v>1.625145687645686</v>
      </c>
      <c r="H62" s="345">
        <f>J20*N20/10^3</f>
        <v>16.581818181818186</v>
      </c>
      <c r="I62" s="345">
        <f>O20-H62</f>
        <v>0.10363636363636175</v>
      </c>
      <c r="M62" s="551"/>
      <c r="N62" s="557"/>
      <c r="O62" s="344">
        <f>O77</f>
        <v>998.4</v>
      </c>
      <c r="P62" s="331">
        <f>IF(P60="Set",P61,IF(O60="LP",IF((D20/C20-M115/1000)*C82&lt;2,1,INT((D20/C20-M115/1000)*O82/2)+1),INT(D20/C20*O82*L78)+1))</f>
        <v>1</v>
      </c>
      <c r="Q62" s="331">
        <f>IF(Q60="Set",Q61,IF(O60="LP",IF(D45="SyncPulse",INT(E20/C20*O82/2)+1,IF(((D20+E20)/C20-M115/1000)*O82&lt;2,1,INT(((D20+E20)/C20-M115/1000)*O82/2)+1)),IF(D45="SyncPulse",INT(E20/C20*O82*L78)+1,INT((D20+E20)/C20*O82*L78)+1)))</f>
        <v>260</v>
      </c>
      <c r="R62" s="345">
        <f>1/(O77*L78)*B46*H47</f>
        <v>6.4903846153846168</v>
      </c>
      <c r="S62" s="345">
        <f>IF(D45="SyncPulse",N20-P63/1000-Q63/1000-R62,N20-Q63/1000-R62)</f>
        <v>1.625145687645686</v>
      </c>
      <c r="T62" s="345">
        <f>J20*N20/10^3</f>
        <v>16.581818181818186</v>
      </c>
      <c r="U62" s="345">
        <f>O20-H62</f>
        <v>0.10363636363636175</v>
      </c>
    </row>
    <row r="63" spans="2:21" ht="15" customHeight="1">
      <c r="B63" s="551"/>
      <c r="C63" s="346" t="s">
        <v>835</v>
      </c>
      <c r="D63" s="347" t="str">
        <f>IF(D45="SyncEvent","-",IF(C60="LP",1/C82*1000*D62/2+B115,1/C82/C78*1000*D62))</f>
        <v>-</v>
      </c>
      <c r="E63" s="347">
        <f>IF(C60="LP",IF(D45="SyncEvent",1/C82*1000*E62/2+B115,1/C82*1000*E62/2),1/C82/C78*1000*E62)</f>
        <v>520.83333333333348</v>
      </c>
      <c r="G63" s="324" t="str">
        <f>IF(G62&lt;B114/1000,"NG","OK")</f>
        <v>OK</v>
      </c>
      <c r="M63" s="551"/>
      <c r="N63" s="557"/>
      <c r="O63" s="346" t="s">
        <v>835</v>
      </c>
      <c r="P63" s="347" t="str">
        <f>IF(D45="SyncEvent","-",IF(O60="LP",1/O82*1000*P62/2+M115,1/O82/L78*1000*P62))</f>
        <v>-</v>
      </c>
      <c r="Q63" s="347">
        <f>IF(O60="LP",IF(D45="SyncEvent",1/O82*1000*Q62/2+M115,1/O82*1000*Q62/2),1/O82/L78*1000*Q62)</f>
        <v>520.83333333333348</v>
      </c>
      <c r="S63" s="324" t="str">
        <f>IF(S62&lt;M114/1000,"NG","OK")</f>
        <v>OK</v>
      </c>
    </row>
    <row r="64" spans="2:21" ht="14.25" customHeight="1">
      <c r="B64" s="551"/>
      <c r="C64" s="348" t="s">
        <v>836</v>
      </c>
      <c r="D64" s="332" t="str">
        <f>IF(D45="SyncEvent","-",D63*C82/1000)</f>
        <v>-</v>
      </c>
      <c r="E64" s="332">
        <f>E63*C82/1000</f>
        <v>65.000000000000014</v>
      </c>
      <c r="G64" s="349">
        <f>G62*C82</f>
        <v>202.81818181818161</v>
      </c>
      <c r="L64" s="297"/>
      <c r="M64" s="551"/>
      <c r="N64" s="557"/>
      <c r="O64" s="348" t="s">
        <v>836</v>
      </c>
      <c r="P64" s="332" t="str">
        <f>IF(D45="SyncEvent","-",P63*O82/1000)</f>
        <v>-</v>
      </c>
      <c r="Q64" s="332">
        <f>Q63*O82/1000</f>
        <v>65.000000000000014</v>
      </c>
      <c r="S64" s="349">
        <f>S62*O82</f>
        <v>202.81818181818161</v>
      </c>
    </row>
    <row r="65" spans="1:266">
      <c r="A65"/>
      <c r="B65"/>
      <c r="C65"/>
      <c r="D65"/>
      <c r="E65"/>
      <c r="F65"/>
      <c r="G65"/>
      <c r="H65"/>
      <c r="I65"/>
      <c r="J65"/>
      <c r="K65"/>
      <c r="L65"/>
      <c r="M65"/>
      <c r="N65"/>
      <c r="O65"/>
      <c r="P65"/>
      <c r="Q65"/>
      <c r="R65"/>
      <c r="S65"/>
      <c r="T65"/>
      <c r="U65"/>
    </row>
    <row r="66" spans="1:266" hidden="1">
      <c r="A66"/>
      <c r="B66"/>
      <c r="C66"/>
      <c r="D66"/>
      <c r="E66"/>
      <c r="F66"/>
      <c r="G66"/>
      <c r="H66"/>
      <c r="I66"/>
      <c r="J66"/>
      <c r="K66"/>
      <c r="L66"/>
      <c r="M66"/>
      <c r="N66"/>
      <c r="O66"/>
      <c r="P66"/>
      <c r="Q66"/>
      <c r="R66"/>
      <c r="S66"/>
      <c r="T66"/>
      <c r="U66"/>
    </row>
    <row r="67" spans="1:266" hidden="1">
      <c r="A67"/>
      <c r="B67"/>
      <c r="C67"/>
      <c r="D67"/>
      <c r="E67"/>
      <c r="F67"/>
      <c r="G67"/>
      <c r="H67"/>
      <c r="I67"/>
      <c r="J67"/>
      <c r="K67"/>
      <c r="L67"/>
      <c r="M67"/>
      <c r="N67"/>
      <c r="O67"/>
      <c r="P67"/>
      <c r="Q67"/>
      <c r="R67"/>
      <c r="S67"/>
      <c r="T67"/>
      <c r="U67"/>
      <c r="JF67" s="242"/>
    </row>
    <row r="68" spans="1:266" hidden="1">
      <c r="A68"/>
      <c r="B68"/>
      <c r="C68"/>
      <c r="D68"/>
      <c r="E68"/>
      <c r="F68"/>
      <c r="G68"/>
      <c r="H68"/>
      <c r="I68"/>
      <c r="J68"/>
      <c r="K68"/>
      <c r="L68"/>
      <c r="M68"/>
      <c r="N68"/>
      <c r="O68"/>
      <c r="P68"/>
      <c r="Q68"/>
      <c r="R68"/>
      <c r="S68"/>
      <c r="T68"/>
      <c r="U68"/>
    </row>
    <row r="69" spans="1:266" hidden="1">
      <c r="A69"/>
      <c r="B69"/>
      <c r="C69"/>
      <c r="D69"/>
      <c r="E69"/>
      <c r="F69"/>
      <c r="G69"/>
      <c r="H69"/>
      <c r="I69"/>
      <c r="J69"/>
      <c r="K69"/>
      <c r="L69"/>
      <c r="M69"/>
      <c r="N69"/>
      <c r="O69"/>
      <c r="P69"/>
      <c r="Q69"/>
      <c r="R69"/>
      <c r="S69"/>
      <c r="T69"/>
      <c r="U69"/>
    </row>
    <row r="70" spans="1:266" hidden="1">
      <c r="J70" s="297">
        <f>(D23/1000+E23/1000+F23)-(D65/1000+F62)</f>
        <v>1.4966283716283701</v>
      </c>
    </row>
    <row r="71" spans="1:266" ht="15.75">
      <c r="B71" s="571" t="s">
        <v>837</v>
      </c>
      <c r="C71" s="572"/>
      <c r="D71" s="572"/>
      <c r="E71" s="572"/>
      <c r="F71" s="572"/>
      <c r="G71" s="572"/>
      <c r="H71" s="573"/>
      <c r="I71" s="461" t="s">
        <v>838</v>
      </c>
      <c r="J71" s="461" t="s">
        <v>839</v>
      </c>
      <c r="K71" s="461" t="s">
        <v>840</v>
      </c>
      <c r="U71" s="461" t="s">
        <v>838</v>
      </c>
      <c r="V71" s="461" t="s">
        <v>839</v>
      </c>
      <c r="W71" s="461" t="s">
        <v>840</v>
      </c>
    </row>
    <row r="72" spans="1:266" ht="15">
      <c r="B72" s="399" t="s">
        <v>841</v>
      </c>
      <c r="C72" s="400">
        <v>48</v>
      </c>
      <c r="D72" s="401" t="s">
        <v>842</v>
      </c>
      <c r="E72" s="402" t="str">
        <f>IF(J72&lt;=I72,IF(I72&lt;=K72,"OK","NG"),"NG")</f>
        <v>OK</v>
      </c>
      <c r="F72" s="540" t="s">
        <v>843</v>
      </c>
      <c r="G72" s="541"/>
      <c r="H72" s="542"/>
      <c r="I72" s="331">
        <f>C72</f>
        <v>48</v>
      </c>
      <c r="J72" s="462">
        <v>40</v>
      </c>
      <c r="K72" s="409">
        <v>50</v>
      </c>
      <c r="M72" s="559" t="s">
        <v>841</v>
      </c>
      <c r="N72" s="559"/>
      <c r="O72" s="344">
        <f>C72</f>
        <v>48</v>
      </c>
      <c r="P72" s="394" t="s">
        <v>842</v>
      </c>
      <c r="Q72" s="411" t="str">
        <f>IF(V72&lt;=U72,IF(U72&lt;=W72,"OK","NG"),"NG")</f>
        <v>OK</v>
      </c>
      <c r="R72" s="560" t="s">
        <v>843</v>
      </c>
      <c r="S72" s="561"/>
      <c r="T72" s="562"/>
      <c r="U72" s="331">
        <f>O72</f>
        <v>48</v>
      </c>
      <c r="V72" s="462">
        <v>40</v>
      </c>
      <c r="W72" s="409">
        <v>50</v>
      </c>
    </row>
    <row r="73" spans="1:266" ht="15">
      <c r="B73" s="403" t="s">
        <v>844</v>
      </c>
      <c r="C73" s="400">
        <v>10</v>
      </c>
      <c r="D73" s="506" t="s">
        <v>845</v>
      </c>
      <c r="E73" s="402" t="str">
        <f>IF(J73&lt;=I73,IF(I73&lt;=K73,"OK","NG"),"NG")</f>
        <v>OK</v>
      </c>
      <c r="F73" s="560" t="s">
        <v>846</v>
      </c>
      <c r="G73" s="561"/>
      <c r="H73" s="562"/>
      <c r="I73" s="331">
        <f>C72/C73</f>
        <v>4.8</v>
      </c>
      <c r="J73" s="462">
        <v>4</v>
      </c>
      <c r="K73" s="409">
        <v>40</v>
      </c>
      <c r="M73" s="559" t="s">
        <v>844</v>
      </c>
      <c r="N73" s="559"/>
      <c r="O73" s="400">
        <v>10</v>
      </c>
      <c r="P73" s="506" t="s">
        <v>845</v>
      </c>
      <c r="Q73" s="402" t="str">
        <f>IF(V73&lt;=U73,IF(U73&lt;=W73,"OK","NG"),"NG")</f>
        <v>OK</v>
      </c>
      <c r="R73" s="560" t="s">
        <v>846</v>
      </c>
      <c r="S73" s="561"/>
      <c r="T73" s="562"/>
      <c r="U73" s="331">
        <f>IF(O58="Same as TX0",I73,O72/O73)</f>
        <v>4.8</v>
      </c>
      <c r="V73" s="462">
        <v>4</v>
      </c>
      <c r="W73" s="409">
        <v>40</v>
      </c>
    </row>
    <row r="74" spans="1:266" ht="15">
      <c r="B74" s="403" t="s">
        <v>847</v>
      </c>
      <c r="C74" s="404" t="s">
        <v>848</v>
      </c>
      <c r="D74" s="405" t="s">
        <v>849</v>
      </c>
      <c r="E74" s="406">
        <f>IF(C74="500M-1G",I73/1,IF(C74="250M-500M",I73/2,IF(C74="125M-250M",I73/4,I73/8)))</f>
        <v>4.8</v>
      </c>
      <c r="F74" s="407" t="s">
        <v>842</v>
      </c>
      <c r="G74" s="408"/>
      <c r="H74" s="408"/>
      <c r="M74" s="559" t="s">
        <v>847</v>
      </c>
      <c r="N74" s="559"/>
      <c r="O74" s="404" t="s">
        <v>848</v>
      </c>
      <c r="P74" s="405" t="s">
        <v>849</v>
      </c>
      <c r="Q74" s="406">
        <f>IF(O58="Same as TX0",E74,IF(O74="500M-1G",U73/1,IF(O74="250M-500M",U73/2,IF(O74="125M-250M",U73/4,U73/8))))</f>
        <v>4.8</v>
      </c>
      <c r="R74" s="407" t="s">
        <v>842</v>
      </c>
      <c r="S74" s="408"/>
      <c r="T74" s="408"/>
    </row>
    <row r="75" spans="1:266" ht="14.25" customHeight="1">
      <c r="B75" s="552" t="s">
        <v>850</v>
      </c>
      <c r="C75" s="554">
        <v>208</v>
      </c>
      <c r="D75" s="556" t="s">
        <v>851</v>
      </c>
      <c r="E75" s="385"/>
      <c r="F75" s="560" t="s">
        <v>852</v>
      </c>
      <c r="G75" s="561"/>
      <c r="H75" s="562"/>
      <c r="I75" s="462"/>
      <c r="J75" s="462">
        <f>IF(ROUNDUP(J78/E74,0)&gt;511,"N/A",ROUNDUP(J78/E74,0))</f>
        <v>0</v>
      </c>
      <c r="K75" s="462">
        <v>511</v>
      </c>
      <c r="M75" s="558" t="s">
        <v>850</v>
      </c>
      <c r="N75" s="558"/>
      <c r="O75" s="554">
        <v>190</v>
      </c>
      <c r="P75" s="556" t="s">
        <v>851</v>
      </c>
      <c r="Q75" s="385"/>
      <c r="R75" s="560" t="s">
        <v>852</v>
      </c>
      <c r="S75" s="561"/>
      <c r="T75" s="562"/>
      <c r="U75" s="462"/>
      <c r="V75" s="462">
        <f>IF(ROUNDUP(V78/Q74,0)&gt;511,"N/A",ROUNDUP(V78/Q74,0))</f>
        <v>0</v>
      </c>
      <c r="W75" s="462">
        <v>511</v>
      </c>
    </row>
    <row r="76" spans="1:266" ht="14.25" customHeight="1">
      <c r="B76" s="553"/>
      <c r="C76" s="555"/>
      <c r="D76" s="556"/>
      <c r="E76" s="385"/>
      <c r="F76" s="560" t="s">
        <v>853</v>
      </c>
      <c r="G76" s="561"/>
      <c r="H76" s="562"/>
      <c r="I76" s="331">
        <f>IF(C77&gt;=500,0,IF(C77&gt;=250,1,IF(C77&gt;=125,2,3)))</f>
        <v>0</v>
      </c>
      <c r="J76" s="331">
        <f>C73-1</f>
        <v>9</v>
      </c>
      <c r="K76" s="331">
        <f>C77*2^I76/I73-1</f>
        <v>207</v>
      </c>
      <c r="M76" s="558"/>
      <c r="N76" s="558"/>
      <c r="O76" s="555"/>
      <c r="P76" s="556"/>
      <c r="Q76" s="385"/>
      <c r="R76" s="560" t="s">
        <v>853</v>
      </c>
      <c r="S76" s="561"/>
      <c r="T76" s="562"/>
      <c r="U76" s="331">
        <f>IF(O58="Same as TX0",I76,IF(O77&gt;=500,0,IF(O77&gt;=250,1,IF(O77&gt;=125,2,3))))</f>
        <v>0</v>
      </c>
      <c r="V76" s="331">
        <f>IF(O58="Same as TX0",J76,O73-1)</f>
        <v>9</v>
      </c>
      <c r="W76" s="331">
        <f>IF(O58="Same as TX0",K76,O77*2^U76/U73-1)</f>
        <v>207</v>
      </c>
    </row>
    <row r="77" spans="1:266" ht="15">
      <c r="B77" s="403" t="s">
        <v>854</v>
      </c>
      <c r="C77" s="410">
        <f>I77</f>
        <v>998.4</v>
      </c>
      <c r="D77" s="401" t="s">
        <v>834</v>
      </c>
      <c r="E77" s="411" t="str">
        <f>IF(J77="N/A","NG",IF(J77&lt;=C77,IF(C77&lt;=K77,"OK","NG"),"NG"))</f>
        <v>OK</v>
      </c>
      <c r="F77" s="560" t="s">
        <v>855</v>
      </c>
      <c r="G77" s="561"/>
      <c r="H77" s="562"/>
      <c r="I77" s="331">
        <f>E74*C75</f>
        <v>998.4</v>
      </c>
      <c r="J77" s="463">
        <v>75</v>
      </c>
      <c r="K77" s="409">
        <f>IF(C74="62.5M-125M",125,IF(C74="125M-250M",250,IF(C74="250M-500M",500,1000)))</f>
        <v>1000</v>
      </c>
      <c r="L77" s="464"/>
      <c r="M77" s="559" t="s">
        <v>854</v>
      </c>
      <c r="N77" s="559"/>
      <c r="O77" s="410">
        <f>U77</f>
        <v>998.4</v>
      </c>
      <c r="P77" s="401" t="s">
        <v>834</v>
      </c>
      <c r="Q77" s="411" t="str">
        <f>IF(V77="N/A","NG",IF(V77&lt;=O77,IF(O77&lt;=W77,"OK","NG"),"NG"))</f>
        <v>OK</v>
      </c>
      <c r="R77" s="560" t="s">
        <v>855</v>
      </c>
      <c r="S77" s="561"/>
      <c r="T77" s="562"/>
      <c r="U77" s="331">
        <f>IF(O58="Same as TX0",I77,Q74*O75)</f>
        <v>998.4</v>
      </c>
      <c r="V77" s="463">
        <v>75</v>
      </c>
      <c r="W77" s="409">
        <f>IF(O58="Same as TX0",K77,IF(O74="62.5M-125M",125,IF(O74="125M-250M",250,IF(O74="250M-500M",500,1000))))</f>
        <v>1000</v>
      </c>
    </row>
    <row r="78" spans="1:266" ht="15">
      <c r="B78" s="403" t="s">
        <v>856</v>
      </c>
      <c r="C78" s="400">
        <v>4</v>
      </c>
      <c r="D78" s="394" t="s">
        <v>857</v>
      </c>
      <c r="E78" s="285">
        <f>IF(C78=1,1,IF(C78=2,2,IF(C78=3,3,4)))</f>
        <v>4</v>
      </c>
      <c r="F78" s="412" t="s">
        <v>858</v>
      </c>
      <c r="G78" s="413"/>
      <c r="H78" s="414"/>
      <c r="I78"/>
      <c r="J78"/>
      <c r="K78"/>
      <c r="L78" s="297">
        <f>IF(O58="Same as TX0",C78,O78)</f>
        <v>4</v>
      </c>
      <c r="M78" s="559" t="s">
        <v>856</v>
      </c>
      <c r="N78" s="559"/>
      <c r="O78" s="400">
        <v>4</v>
      </c>
      <c r="P78" s="394" t="s">
        <v>857</v>
      </c>
      <c r="Q78" s="297">
        <f>IF(O58="Same as TX0",E78,IF(O78=1,1,IF(O78=2,2,IF(O78=3,3,4))))</f>
        <v>4</v>
      </c>
      <c r="R78" s="412" t="s">
        <v>858</v>
      </c>
      <c r="S78" s="413"/>
      <c r="T78" s="414"/>
      <c r="U78"/>
      <c r="V78"/>
      <c r="W78"/>
    </row>
    <row r="79" spans="1:266" ht="15">
      <c r="B79" s="403" t="s">
        <v>859</v>
      </c>
      <c r="C79" s="415" t="s">
        <v>713</v>
      </c>
      <c r="D79" s="416">
        <f>IF(C79="Yes",0,1)</f>
        <v>0</v>
      </c>
      <c r="E79" s="417"/>
      <c r="F79" s="418"/>
      <c r="G79" s="419"/>
      <c r="H79" s="420"/>
      <c r="I79" s="465" t="s">
        <v>860</v>
      </c>
      <c r="J79" s="466">
        <f>IF(K79&gt;1000,"N/A",K79)</f>
        <v>920.80276816608989</v>
      </c>
      <c r="K79" s="467">
        <f>1/((F23+G23/1000-B114/1000)*C78/B46/F47)</f>
        <v>920.80276816608989</v>
      </c>
      <c r="L79" s="241"/>
      <c r="M79" s="559" t="s">
        <v>859</v>
      </c>
      <c r="N79" s="559"/>
      <c r="O79" s="415" t="s">
        <v>713</v>
      </c>
      <c r="P79" s="416">
        <f>IF(O58="Same as TX0",D79,IF(O79="Yes",0,1))</f>
        <v>0</v>
      </c>
      <c r="Q79" s="417"/>
      <c r="R79" s="418"/>
      <c r="S79" s="419"/>
      <c r="T79" s="420"/>
      <c r="U79" s="465" t="s">
        <v>860</v>
      </c>
      <c r="V79" s="466">
        <f>IF(W79&gt;1000,"N/A",W79)</f>
        <v>920.80276816608989</v>
      </c>
      <c r="W79" s="474">
        <f>1/((F23+G23/1000-M114/1000)*L78/B46/H47)</f>
        <v>920.80276816608989</v>
      </c>
    </row>
    <row r="80" spans="1:266" ht="15">
      <c r="B80" s="421" t="s">
        <v>861</v>
      </c>
      <c r="C80" s="415" t="s">
        <v>721</v>
      </c>
      <c r="E80" s="385"/>
      <c r="F80" s="422"/>
      <c r="G80" s="423"/>
      <c r="H80" s="424"/>
      <c r="I80" s="465" t="s">
        <v>862</v>
      </c>
      <c r="J80" s="468">
        <f>IF(K80&gt;1000,"N/A",K80)</f>
        <v>812.1000547745117</v>
      </c>
      <c r="K80" s="467">
        <f>1/((N20-B114/1000-1/(C77*C78)*16*8)*C78/B46/F47)</f>
        <v>812.1000547745117</v>
      </c>
      <c r="L80" s="297"/>
      <c r="M80" s="559" t="s">
        <v>861</v>
      </c>
      <c r="N80" s="559"/>
      <c r="O80" s="415" t="s">
        <v>721</v>
      </c>
      <c r="P80" s="297" t="str">
        <f>IF(O58="Same as TX0",C80,O80)</f>
        <v>Enable</v>
      </c>
      <c r="Q80" s="385"/>
      <c r="R80" s="422"/>
      <c r="S80" s="423"/>
      <c r="T80" s="424"/>
      <c r="U80" s="465" t="s">
        <v>862</v>
      </c>
      <c r="V80" s="468">
        <f>IF(W80&gt;1000,"N/A",W80)</f>
        <v>812.1000547745117</v>
      </c>
      <c r="W80" s="474">
        <f>1/((N20-M114/1000-1/(O77*L78)*16*8)*L78/B46/H47)</f>
        <v>812.1000547745117</v>
      </c>
    </row>
    <row r="81" spans="2:23" ht="15">
      <c r="B81" s="403"/>
      <c r="C81" s="425"/>
      <c r="I81" s="461" t="s">
        <v>838</v>
      </c>
      <c r="J81" s="461" t="s">
        <v>839</v>
      </c>
      <c r="K81" s="461" t="s">
        <v>840</v>
      </c>
      <c r="M81" s="559"/>
      <c r="N81" s="559"/>
      <c r="O81" s="469"/>
      <c r="U81" s="461" t="s">
        <v>838</v>
      </c>
      <c r="V81" s="461" t="s">
        <v>839</v>
      </c>
      <c r="W81" s="461" t="s">
        <v>840</v>
      </c>
    </row>
    <row r="82" spans="2:23" ht="15">
      <c r="B82" s="403" t="s">
        <v>863</v>
      </c>
      <c r="C82" s="426">
        <f>C77/8</f>
        <v>124.8</v>
      </c>
      <c r="D82" s="394" t="s">
        <v>842</v>
      </c>
      <c r="E82" s="427" t="str">
        <f>IF(C82&lt;=K82,"OK","NG")</f>
        <v>OK</v>
      </c>
      <c r="F82" s="560" t="s">
        <v>864</v>
      </c>
      <c r="G82" s="561"/>
      <c r="H82" s="562"/>
      <c r="I82" s="331">
        <f>C82</f>
        <v>124.8</v>
      </c>
      <c r="J82" s="462"/>
      <c r="K82" s="462">
        <v>125</v>
      </c>
      <c r="M82" s="559" t="s">
        <v>863</v>
      </c>
      <c r="N82" s="559"/>
      <c r="O82" s="426">
        <f>O77/8</f>
        <v>124.8</v>
      </c>
      <c r="P82" s="394" t="s">
        <v>842</v>
      </c>
      <c r="Q82" s="427" t="str">
        <f>IF(O82&lt;=W82,"OK","NG")</f>
        <v>OK</v>
      </c>
      <c r="R82" s="560" t="s">
        <v>864</v>
      </c>
      <c r="S82" s="561"/>
      <c r="T82" s="562"/>
      <c r="U82" s="331">
        <f>O82</f>
        <v>124.8</v>
      </c>
      <c r="V82" s="462"/>
      <c r="W82" s="462">
        <v>125</v>
      </c>
    </row>
    <row r="83" spans="2:23" ht="15">
      <c r="B83" s="428" t="s">
        <v>865</v>
      </c>
      <c r="C83" s="429">
        <v>50</v>
      </c>
      <c r="D83" s="394" t="s">
        <v>777</v>
      </c>
      <c r="E83" s="430" t="str">
        <f t="shared" ref="E83:E87" si="4">IF(J83&lt;=I83,"OK","NG")</f>
        <v>OK</v>
      </c>
      <c r="F83" s="560"/>
      <c r="G83" s="561"/>
      <c r="H83" s="562"/>
      <c r="I83" s="331">
        <f>C83</f>
        <v>50</v>
      </c>
      <c r="J83" s="409">
        <v>50</v>
      </c>
      <c r="K83" s="409"/>
      <c r="M83" s="563" t="s">
        <v>865</v>
      </c>
      <c r="N83" s="563"/>
      <c r="O83" s="470">
        <f>C83</f>
        <v>50</v>
      </c>
      <c r="P83" s="394" t="s">
        <v>777</v>
      </c>
      <c r="Q83" s="430" t="str">
        <f t="shared" ref="Q83:Q87" si="5">IF(V83&lt;=U83,"OK","NG")</f>
        <v>OK</v>
      </c>
      <c r="R83" s="560"/>
      <c r="S83" s="561"/>
      <c r="T83" s="562"/>
      <c r="U83" s="331">
        <f>O83</f>
        <v>50</v>
      </c>
      <c r="V83" s="409">
        <v>50</v>
      </c>
      <c r="W83" s="409"/>
    </row>
    <row r="84" spans="2:23" ht="15">
      <c r="B84" s="431" t="s">
        <v>866</v>
      </c>
      <c r="C84" s="432"/>
      <c r="D84" s="291"/>
      <c r="E84" s="433"/>
      <c r="F84" s="537" t="s">
        <v>867</v>
      </c>
      <c r="G84" s="538"/>
      <c r="H84" s="539"/>
      <c r="I84" s="461" t="s">
        <v>838</v>
      </c>
      <c r="J84" s="461" t="s">
        <v>839</v>
      </c>
      <c r="K84" s="461" t="s">
        <v>840</v>
      </c>
      <c r="M84" s="543" t="s">
        <v>866</v>
      </c>
      <c r="N84" s="544"/>
      <c r="O84" s="432"/>
      <c r="P84" s="291"/>
      <c r="Q84" s="433"/>
      <c r="R84" s="537" t="s">
        <v>867</v>
      </c>
      <c r="S84" s="538"/>
      <c r="T84" s="539"/>
      <c r="U84" s="461" t="s">
        <v>838</v>
      </c>
      <c r="V84" s="461" t="s">
        <v>839</v>
      </c>
      <c r="W84" s="461" t="s">
        <v>840</v>
      </c>
    </row>
    <row r="85" spans="2:23" ht="15" customHeight="1">
      <c r="B85" s="434" t="s">
        <v>868</v>
      </c>
      <c r="C85" s="429">
        <v>6000</v>
      </c>
      <c r="D85" s="296" t="s">
        <v>869</v>
      </c>
      <c r="E85" s="402" t="str">
        <f t="shared" si="4"/>
        <v>OK</v>
      </c>
      <c r="F85" s="540"/>
      <c r="G85" s="541"/>
      <c r="H85" s="542"/>
      <c r="I85" s="344">
        <f>1/C$82+(2+C85+1)/C$72</f>
        <v>125.07051282051282</v>
      </c>
      <c r="J85" s="471">
        <v>100</v>
      </c>
      <c r="K85" s="471"/>
      <c r="M85" s="545" t="s">
        <v>870</v>
      </c>
      <c r="N85" s="546"/>
      <c r="O85" s="429">
        <v>6000</v>
      </c>
      <c r="P85" s="296" t="s">
        <v>869</v>
      </c>
      <c r="Q85" s="402" t="str">
        <f t="shared" si="5"/>
        <v>OK</v>
      </c>
      <c r="R85" s="540"/>
      <c r="S85" s="541"/>
      <c r="T85" s="542"/>
      <c r="U85" s="344">
        <f>IF(O58="Same as TX0",I85,1/O$82+(2+O85+1)/O$72)</f>
        <v>125.07051282051282</v>
      </c>
      <c r="V85" s="471">
        <v>100</v>
      </c>
      <c r="W85" s="471"/>
    </row>
    <row r="86" spans="2:23" ht="15">
      <c r="B86" s="435" t="s">
        <v>871</v>
      </c>
      <c r="C86" s="432"/>
      <c r="D86" s="432"/>
      <c r="E86" s="436" t="str">
        <f>IF(I87/C83&gt;=2/3,IF(I87/C83&lt;=3/2,"OK","NG"),"NG")</f>
        <v>OK</v>
      </c>
      <c r="F86" s="537" t="s">
        <v>872</v>
      </c>
      <c r="G86" s="538"/>
      <c r="H86" s="539"/>
      <c r="I86" s="461" t="s">
        <v>838</v>
      </c>
      <c r="J86" s="461" t="s">
        <v>839</v>
      </c>
      <c r="K86" s="461" t="s">
        <v>840</v>
      </c>
      <c r="M86" s="543" t="s">
        <v>873</v>
      </c>
      <c r="N86" s="544"/>
      <c r="O86" s="432"/>
      <c r="P86" s="432"/>
      <c r="Q86" s="436" t="str">
        <f>IF(U87/O83&gt;=2/3,IF(U87/O83&lt;=3/2,"OK","NG"),"NG")</f>
        <v>OK</v>
      </c>
      <c r="R86" s="537" t="s">
        <v>872</v>
      </c>
      <c r="S86" s="538"/>
      <c r="T86" s="539"/>
      <c r="U86" s="461" t="s">
        <v>838</v>
      </c>
      <c r="V86" s="461" t="s">
        <v>839</v>
      </c>
      <c r="W86" s="461" t="s">
        <v>840</v>
      </c>
    </row>
    <row r="87" spans="2:23" ht="15" customHeight="1">
      <c r="B87" s="437" t="s">
        <v>874</v>
      </c>
      <c r="C87" s="429">
        <v>6</v>
      </c>
      <c r="D87" s="401" t="s">
        <v>875</v>
      </c>
      <c r="E87" s="402" t="str">
        <f t="shared" si="4"/>
        <v>OK</v>
      </c>
      <c r="F87" s="540" t="s">
        <v>876</v>
      </c>
      <c r="G87" s="541"/>
      <c r="H87" s="542"/>
      <c r="I87" s="344">
        <f>1/C82*(C87+1)*1000</f>
        <v>56.089743589743598</v>
      </c>
      <c r="J87" s="471">
        <v>50</v>
      </c>
      <c r="K87" s="471"/>
      <c r="M87" s="545" t="s">
        <v>877</v>
      </c>
      <c r="N87" s="546"/>
      <c r="O87" s="429">
        <v>6</v>
      </c>
      <c r="P87" s="401" t="s">
        <v>875</v>
      </c>
      <c r="Q87" s="402" t="str">
        <f t="shared" si="5"/>
        <v>OK</v>
      </c>
      <c r="R87" s="540" t="s">
        <v>876</v>
      </c>
      <c r="S87" s="541"/>
      <c r="T87" s="542"/>
      <c r="U87" s="344">
        <f>IF(O58="Same as TX0",I87,1/O82*(O87+1)*1000)</f>
        <v>56.089743589743598</v>
      </c>
      <c r="V87" s="471">
        <v>50</v>
      </c>
      <c r="W87" s="471"/>
    </row>
    <row r="88" spans="2:23" ht="15">
      <c r="B88" s="435" t="s">
        <v>878</v>
      </c>
      <c r="C88" s="432"/>
      <c r="D88" s="432"/>
      <c r="E88" s="433"/>
      <c r="F88" s="537" t="s">
        <v>879</v>
      </c>
      <c r="G88" s="538"/>
      <c r="H88" s="539"/>
      <c r="I88" s="461" t="s">
        <v>838</v>
      </c>
      <c r="J88" s="461" t="s">
        <v>839</v>
      </c>
      <c r="K88" s="461" t="s">
        <v>840</v>
      </c>
      <c r="M88" s="543" t="s">
        <v>878</v>
      </c>
      <c r="N88" s="544"/>
      <c r="O88" s="432"/>
      <c r="P88" s="432"/>
      <c r="Q88" s="433"/>
      <c r="R88" s="537" t="s">
        <v>879</v>
      </c>
      <c r="S88" s="538"/>
      <c r="T88" s="539"/>
      <c r="U88" s="461" t="s">
        <v>838</v>
      </c>
      <c r="V88" s="461" t="s">
        <v>839</v>
      </c>
      <c r="W88" s="461" t="s">
        <v>840</v>
      </c>
    </row>
    <row r="89" spans="2:23" ht="15" customHeight="1">
      <c r="B89" s="437" t="s">
        <v>880</v>
      </c>
      <c r="C89" s="429">
        <v>4</v>
      </c>
      <c r="D89" s="401" t="s">
        <v>881</v>
      </c>
      <c r="E89" s="402" t="str">
        <f>IF(J89&lt;=I89-5,IF(I89+5&lt;=K89,"OK","NG"),"NG")</f>
        <v>NG</v>
      </c>
      <c r="F89" s="540"/>
      <c r="G89" s="541"/>
      <c r="H89" s="542"/>
      <c r="I89" s="344">
        <f>1/C82*(C89+1)*1000</f>
        <v>40.064102564102569</v>
      </c>
      <c r="J89" s="471">
        <v>38</v>
      </c>
      <c r="K89" s="471">
        <v>95</v>
      </c>
      <c r="M89" s="545" t="s">
        <v>882</v>
      </c>
      <c r="N89" s="546"/>
      <c r="O89" s="429">
        <v>4</v>
      </c>
      <c r="P89" s="401" t="s">
        <v>881</v>
      </c>
      <c r="Q89" s="402" t="str">
        <f>IF(V89&lt;=U89-5,IF(U89+5&lt;=W89,"OK","NG"),"NG")</f>
        <v>NG</v>
      </c>
      <c r="R89" s="540"/>
      <c r="S89" s="541"/>
      <c r="T89" s="542"/>
      <c r="U89" s="344">
        <f>IF(O58="Same as TX0",I89,1/O82*(O89+1)*1000)</f>
        <v>40.064102564102569</v>
      </c>
      <c r="V89" s="471">
        <v>38</v>
      </c>
      <c r="W89" s="471">
        <v>95</v>
      </c>
    </row>
    <row r="90" spans="2:23" ht="15">
      <c r="B90" s="435" t="s">
        <v>878</v>
      </c>
      <c r="C90" s="432"/>
      <c r="D90" s="432"/>
      <c r="E90" s="438"/>
      <c r="F90" s="537" t="s">
        <v>883</v>
      </c>
      <c r="G90" s="538"/>
      <c r="H90" s="539"/>
      <c r="I90" s="344">
        <f>(C91+1)/C$82*1000+3/C$77*1000</f>
        <v>299.47916666666663</v>
      </c>
      <c r="J90" s="461" t="s">
        <v>839</v>
      </c>
      <c r="K90" s="461" t="s">
        <v>840</v>
      </c>
      <c r="M90" s="543" t="s">
        <v>878</v>
      </c>
      <c r="N90" s="544"/>
      <c r="O90" s="432"/>
      <c r="P90" s="432"/>
      <c r="Q90" s="438"/>
      <c r="R90" s="537" t="s">
        <v>883</v>
      </c>
      <c r="S90" s="538"/>
      <c r="T90" s="539"/>
      <c r="U90" s="344">
        <f>IF(O58="Same as TX0",I90,(O91+1)/O$82*1000+3/O$77*1000)</f>
        <v>299.47916666666663</v>
      </c>
      <c r="V90" s="461" t="s">
        <v>839</v>
      </c>
      <c r="W90" s="461" t="s">
        <v>840</v>
      </c>
    </row>
    <row r="91" spans="2:23" ht="15" customHeight="1">
      <c r="B91" s="437" t="s">
        <v>884</v>
      </c>
      <c r="C91" s="429">
        <v>36</v>
      </c>
      <c r="D91" s="401" t="s">
        <v>885</v>
      </c>
      <c r="E91" s="439" t="str">
        <f>IF(J91&lt;=I90-5,"OK","NG")</f>
        <v>NG</v>
      </c>
      <c r="F91" s="540" t="s">
        <v>886</v>
      </c>
      <c r="G91" s="541"/>
      <c r="H91" s="542"/>
      <c r="I91" s="344">
        <f>(C91+1)/C$82*1000+4/C$77*1000</f>
        <v>300.48076923076923</v>
      </c>
      <c r="J91" s="471">
        <v>300</v>
      </c>
      <c r="K91" s="471"/>
      <c r="M91" s="545" t="s">
        <v>887</v>
      </c>
      <c r="N91" s="546"/>
      <c r="O91" s="429">
        <v>36</v>
      </c>
      <c r="P91" s="401" t="s">
        <v>885</v>
      </c>
      <c r="Q91" s="439" t="str">
        <f>IF(V91&lt;=U90-5,"OK","NG")</f>
        <v>NG</v>
      </c>
      <c r="R91" s="540" t="s">
        <v>886</v>
      </c>
      <c r="S91" s="541"/>
      <c r="T91" s="542"/>
      <c r="U91" s="344">
        <f>IF(O58="Same as TX0",I91,(O91+1)/O$82*1000+4/O$77*1000)</f>
        <v>300.48076923076923</v>
      </c>
      <c r="V91" s="471">
        <v>300</v>
      </c>
      <c r="W91" s="471"/>
    </row>
    <row r="92" spans="2:23" ht="15">
      <c r="B92" s="435" t="s">
        <v>878</v>
      </c>
      <c r="C92" s="432"/>
      <c r="D92" s="432"/>
      <c r="E92" s="440"/>
      <c r="F92" s="537" t="s">
        <v>888</v>
      </c>
      <c r="G92" s="538"/>
      <c r="H92" s="539"/>
      <c r="I92" s="344">
        <f>(2+1+C93+1)/C$82*1000-4/C$77*1000</f>
        <v>44.070512820512825</v>
      </c>
      <c r="J92" s="461" t="s">
        <v>839</v>
      </c>
      <c r="K92" s="461" t="s">
        <v>840</v>
      </c>
      <c r="M92" s="543" t="s">
        <v>878</v>
      </c>
      <c r="N92" s="544"/>
      <c r="O92" s="432"/>
      <c r="P92" s="432"/>
      <c r="Q92" s="440"/>
      <c r="R92" s="537" t="s">
        <v>888</v>
      </c>
      <c r="S92" s="538"/>
      <c r="T92" s="539"/>
      <c r="U92" s="344">
        <f>IF(O58="Same as TX0",I92,(2+1+O93+1)/O$82*1000-4/O$77*1000)</f>
        <v>44.070512820512825</v>
      </c>
      <c r="V92" s="461" t="s">
        <v>839</v>
      </c>
      <c r="W92" s="461" t="s">
        <v>840</v>
      </c>
    </row>
    <row r="93" spans="2:23" ht="15" customHeight="1">
      <c r="B93" s="437" t="s">
        <v>889</v>
      </c>
      <c r="C93" s="429">
        <v>2</v>
      </c>
      <c r="D93" s="401" t="s">
        <v>890</v>
      </c>
      <c r="E93" s="441" t="str">
        <f>IF(C80="Enable","Don't care",IF(I92-5&gt;J93,"OK","NG"))</f>
        <v>Don't care</v>
      </c>
      <c r="F93" s="540"/>
      <c r="G93" s="541"/>
      <c r="H93" s="542"/>
      <c r="I93" s="344">
        <f>(2+1+C93+1)/C$82*1000-3.5/C$77*1000</f>
        <v>44.571314102564102</v>
      </c>
      <c r="J93" s="344">
        <f>1/C77*1000*8</f>
        <v>8.0128205128205146</v>
      </c>
      <c r="K93" s="472"/>
      <c r="M93" s="545" t="s">
        <v>891</v>
      </c>
      <c r="N93" s="546"/>
      <c r="O93" s="429">
        <v>2</v>
      </c>
      <c r="P93" s="401" t="s">
        <v>890</v>
      </c>
      <c r="Q93" s="441" t="str">
        <f>IF(P80="Enable","Don't care",IF(V93&lt;=U92-5,"OK","NG"))</f>
        <v>Don't care</v>
      </c>
      <c r="R93" s="540"/>
      <c r="S93" s="541"/>
      <c r="T93" s="542"/>
      <c r="U93" s="344">
        <f>IF(O58="Same as TX0",I93,(2+1+O93+1)/O$82*1000-3.5/O$77*1000)</f>
        <v>44.571314102564102</v>
      </c>
      <c r="V93" s="344">
        <f>1/O77*1000*8</f>
        <v>8.0128205128205146</v>
      </c>
      <c r="W93" s="472"/>
    </row>
    <row r="94" spans="2:23" ht="15">
      <c r="B94" s="435" t="s">
        <v>892</v>
      </c>
      <c r="C94" s="432"/>
      <c r="D94" s="432"/>
      <c r="E94" s="440"/>
      <c r="F94" s="537" t="s">
        <v>893</v>
      </c>
      <c r="G94" s="538"/>
      <c r="H94" s="539"/>
      <c r="I94" s="344">
        <f>(C95+3)/C$82*1000-3/C$77*1000</f>
        <v>85.136217948717956</v>
      </c>
      <c r="J94" s="461" t="s">
        <v>839</v>
      </c>
      <c r="K94" s="461" t="s">
        <v>840</v>
      </c>
      <c r="M94" s="543" t="s">
        <v>892</v>
      </c>
      <c r="N94" s="544"/>
      <c r="O94" s="432"/>
      <c r="P94" s="432"/>
      <c r="Q94" s="440"/>
      <c r="R94" s="537" t="s">
        <v>893</v>
      </c>
      <c r="S94" s="538"/>
      <c r="T94" s="539"/>
      <c r="U94" s="344">
        <f>IF(O58="Same as TX0",I94,(O95+3)/O$82*1000-3/O$77*1000)</f>
        <v>85.136217948717956</v>
      </c>
      <c r="V94" s="461" t="s">
        <v>839</v>
      </c>
      <c r="W94" s="461" t="s">
        <v>840</v>
      </c>
    </row>
    <row r="95" spans="2:23" ht="15" customHeight="1">
      <c r="B95" s="437" t="s">
        <v>894</v>
      </c>
      <c r="C95" s="429">
        <v>8</v>
      </c>
      <c r="D95" s="401" t="s">
        <v>885</v>
      </c>
      <c r="E95" s="441" t="str">
        <f>IF(C80="Enable","Don't care",IF(J95&lt;=I94-5,IF(I95+5&lt;=K95,"OK","NG"),"NG"))</f>
        <v>Don't care</v>
      </c>
      <c r="F95" s="540"/>
      <c r="G95" s="541"/>
      <c r="H95" s="542"/>
      <c r="I95" s="344">
        <f>(C95+3)/C$82*1000-2/C$77*1000</f>
        <v>86.137820512820525</v>
      </c>
      <c r="J95" s="471">
        <v>60</v>
      </c>
      <c r="K95" s="344">
        <f>105+1/C77*1000*12</f>
        <v>117.01923076923077</v>
      </c>
      <c r="M95" s="545" t="s">
        <v>895</v>
      </c>
      <c r="N95" s="546"/>
      <c r="O95" s="429">
        <v>8</v>
      </c>
      <c r="P95" s="401" t="s">
        <v>885</v>
      </c>
      <c r="Q95" s="441" t="str">
        <f>IF(P80="Enable","Don't care",IF(V95&lt;=U94-5,IF(U95+5&lt;=W95,"OK","NG"),"NG"))</f>
        <v>Don't care</v>
      </c>
      <c r="R95" s="540"/>
      <c r="S95" s="541"/>
      <c r="T95" s="542"/>
      <c r="U95" s="344">
        <f>IF(O58="Same as TX0",I95,(O95+3)/O$82*1000-2/O$77*1000)</f>
        <v>86.137820512820525</v>
      </c>
      <c r="V95" s="471">
        <v>60</v>
      </c>
      <c r="W95" s="344">
        <f>IF(O58="Same as TX0",K95,105+1/O77*1000*12-30)</f>
        <v>117.01923076923077</v>
      </c>
    </row>
    <row r="96" spans="2:23" ht="15">
      <c r="B96" s="435" t="s">
        <v>892</v>
      </c>
      <c r="C96" s="432"/>
      <c r="D96" s="432"/>
      <c r="E96" s="440"/>
      <c r="F96" s="537" t="s">
        <v>896</v>
      </c>
      <c r="G96" s="538"/>
      <c r="H96" s="539"/>
      <c r="I96" s="461" t="s">
        <v>838</v>
      </c>
      <c r="J96" s="461" t="s">
        <v>839</v>
      </c>
      <c r="K96" s="461" t="s">
        <v>840</v>
      </c>
      <c r="M96" s="543" t="s">
        <v>892</v>
      </c>
      <c r="N96" s="544"/>
      <c r="O96" s="432"/>
      <c r="P96" s="432"/>
      <c r="Q96" s="440"/>
      <c r="R96" s="537" t="s">
        <v>896</v>
      </c>
      <c r="S96" s="538"/>
      <c r="T96" s="539"/>
      <c r="U96" s="461" t="s">
        <v>838</v>
      </c>
      <c r="V96" s="461" t="s">
        <v>839</v>
      </c>
      <c r="W96" s="461" t="s">
        <v>840</v>
      </c>
    </row>
    <row r="97" spans="2:23" ht="15" customHeight="1">
      <c r="B97" s="437" t="s">
        <v>897</v>
      </c>
      <c r="C97" s="429">
        <v>13</v>
      </c>
      <c r="D97" s="401" t="s">
        <v>885</v>
      </c>
      <c r="E97" s="441" t="str">
        <f>IF(C80="Enable","Don't care",IF(J97&lt;=I97-5,"OK","NG"))</f>
        <v>Don't care</v>
      </c>
      <c r="F97" s="540"/>
      <c r="G97" s="541"/>
      <c r="H97" s="542"/>
      <c r="I97" s="344">
        <f>1/C82*(C97+1)*1000</f>
        <v>112.1794871794872</v>
      </c>
      <c r="J97" s="471">
        <v>100</v>
      </c>
      <c r="K97" s="472"/>
      <c r="M97" s="545" t="s">
        <v>898</v>
      </c>
      <c r="N97" s="546"/>
      <c r="O97" s="429">
        <v>13</v>
      </c>
      <c r="P97" s="401" t="s">
        <v>885</v>
      </c>
      <c r="Q97" s="441" t="str">
        <f>IF(P80="Enable","Don't care",IF(V97&lt;=U97-5,"OK","NG"))</f>
        <v>Don't care</v>
      </c>
      <c r="R97" s="540"/>
      <c r="S97" s="541"/>
      <c r="T97" s="542"/>
      <c r="U97" s="344">
        <f>IF(O58="Same as TX0",I97,1/O82*(O97+1)*1000)</f>
        <v>112.1794871794872</v>
      </c>
      <c r="V97" s="471">
        <v>100</v>
      </c>
      <c r="W97" s="472"/>
    </row>
    <row r="98" spans="2:23" ht="15">
      <c r="B98" s="435" t="s">
        <v>899</v>
      </c>
      <c r="C98" s="432"/>
      <c r="D98" s="432"/>
      <c r="E98" s="440"/>
      <c r="F98" s="537" t="s">
        <v>900</v>
      </c>
      <c r="G98" s="538"/>
      <c r="H98" s="539"/>
      <c r="I98" s="461" t="s">
        <v>838</v>
      </c>
      <c r="J98" s="461" t="s">
        <v>839</v>
      </c>
      <c r="K98" s="461" t="s">
        <v>840</v>
      </c>
      <c r="M98" s="543" t="s">
        <v>899</v>
      </c>
      <c r="N98" s="544"/>
      <c r="O98" s="432"/>
      <c r="P98" s="432"/>
      <c r="Q98" s="440"/>
      <c r="R98" s="537" t="s">
        <v>900</v>
      </c>
      <c r="S98" s="538"/>
      <c r="T98" s="539"/>
      <c r="U98" s="461" t="s">
        <v>838</v>
      </c>
      <c r="V98" s="461" t="s">
        <v>839</v>
      </c>
      <c r="W98" s="461" t="s">
        <v>840</v>
      </c>
    </row>
    <row r="99" spans="2:23" ht="15" customHeight="1">
      <c r="B99" s="437" t="s">
        <v>901</v>
      </c>
      <c r="C99" s="429">
        <v>6</v>
      </c>
      <c r="D99" s="401" t="s">
        <v>881</v>
      </c>
      <c r="E99" s="441" t="str">
        <f>IF(J99&lt;=I99-5,IF(I99+5&lt;=K99,"OK","NG"),"NG")</f>
        <v>OK</v>
      </c>
      <c r="F99" s="540"/>
      <c r="G99" s="541"/>
      <c r="H99" s="542"/>
      <c r="I99" s="344">
        <f>1/C82*(C99+1)*1000</f>
        <v>56.089743589743598</v>
      </c>
      <c r="J99" s="344">
        <f>40+1/C77*1000*4</f>
        <v>44.006410256410255</v>
      </c>
      <c r="K99" s="344">
        <f>85+1/C77*1000*6</f>
        <v>91.009615384615387</v>
      </c>
      <c r="M99" s="545" t="s">
        <v>902</v>
      </c>
      <c r="N99" s="546"/>
      <c r="O99" s="429">
        <v>6</v>
      </c>
      <c r="P99" s="401" t="s">
        <v>881</v>
      </c>
      <c r="Q99" s="441" t="str">
        <f>IF(V99&lt;=U99-5,IF(U99+5&lt;=W99,"OK","NG"),"NG")</f>
        <v>OK</v>
      </c>
      <c r="R99" s="540"/>
      <c r="S99" s="541"/>
      <c r="T99" s="542"/>
      <c r="U99" s="344">
        <f>IF(O58="Same as TX0",I99,1/O82*(O99+1)*1000)</f>
        <v>56.089743589743598</v>
      </c>
      <c r="V99" s="344">
        <f>IF(O58="Same as TX0",J99,40+1/O77*1000*4)</f>
        <v>44.006410256410255</v>
      </c>
      <c r="W99" s="344">
        <f>IF(O58="Same as TX0",K99,85+1/O77*1000*6)</f>
        <v>91.009615384615387</v>
      </c>
    </row>
    <row r="100" spans="2:23" ht="15">
      <c r="B100" s="435" t="s">
        <v>899</v>
      </c>
      <c r="C100" s="432"/>
      <c r="D100" s="432"/>
      <c r="E100" s="442"/>
      <c r="F100" s="537" t="s">
        <v>903</v>
      </c>
      <c r="G100" s="538"/>
      <c r="H100" s="539"/>
      <c r="I100" s="461" t="s">
        <v>838</v>
      </c>
      <c r="J100" s="461" t="s">
        <v>839</v>
      </c>
      <c r="K100" s="461" t="s">
        <v>840</v>
      </c>
      <c r="M100" s="543" t="s">
        <v>899</v>
      </c>
      <c r="N100" s="544"/>
      <c r="O100" s="432"/>
      <c r="P100" s="432"/>
      <c r="Q100" s="442"/>
      <c r="R100" s="537" t="s">
        <v>903</v>
      </c>
      <c r="S100" s="538"/>
      <c r="T100" s="539"/>
      <c r="U100" s="461" t="s">
        <v>838</v>
      </c>
      <c r="V100" s="461" t="s">
        <v>839</v>
      </c>
      <c r="W100" s="461" t="s">
        <v>840</v>
      </c>
    </row>
    <row r="101" spans="2:23" ht="15" customHeight="1">
      <c r="B101" s="437" t="s">
        <v>904</v>
      </c>
      <c r="C101" s="429">
        <v>20</v>
      </c>
      <c r="D101" s="401" t="s">
        <v>881</v>
      </c>
      <c r="E101" s="439" t="str">
        <f>IF(J101&lt;=I101-5,"OK","NG")</f>
        <v>OK</v>
      </c>
      <c r="F101" s="540" t="s">
        <v>905</v>
      </c>
      <c r="G101" s="541"/>
      <c r="H101" s="542"/>
      <c r="I101" s="344">
        <f>(1/C82*(C101+1+4+C218)+11/C77)*1000</f>
        <v>219.35096153846158</v>
      </c>
      <c r="J101" s="344">
        <f>145+1/C77*1000*10</f>
        <v>155.01602564102564</v>
      </c>
      <c r="K101" s="471"/>
      <c r="M101" s="545" t="s">
        <v>906</v>
      </c>
      <c r="N101" s="546"/>
      <c r="O101" s="429">
        <v>20</v>
      </c>
      <c r="P101" s="401" t="s">
        <v>881</v>
      </c>
      <c r="Q101" s="439" t="str">
        <f>IF(V101&lt;=U101-5,"OK","NG")</f>
        <v>OK</v>
      </c>
      <c r="R101" s="540" t="s">
        <v>905</v>
      </c>
      <c r="S101" s="541"/>
      <c r="T101" s="542"/>
      <c r="U101" s="344">
        <f>IF(O58="Same as TX0",I101,(1/O82*(O101+1+4+C218)+11/O77)*1000)</f>
        <v>219.35096153846158</v>
      </c>
      <c r="V101" s="344">
        <f>IF(O58="Same as TX0",J101,145+1/O77*1000*10)</f>
        <v>155.01602564102564</v>
      </c>
      <c r="W101" s="471"/>
    </row>
    <row r="102" spans="2:23" ht="15">
      <c r="B102" s="435" t="s">
        <v>907</v>
      </c>
      <c r="C102" s="432"/>
      <c r="D102" s="432"/>
      <c r="E102" s="440"/>
      <c r="F102" s="537" t="s">
        <v>908</v>
      </c>
      <c r="G102" s="538"/>
      <c r="H102" s="539"/>
      <c r="I102" s="461" t="s">
        <v>838</v>
      </c>
      <c r="J102" s="461" t="s">
        <v>839</v>
      </c>
      <c r="K102" s="461" t="s">
        <v>840</v>
      </c>
      <c r="M102" s="543" t="s">
        <v>907</v>
      </c>
      <c r="N102" s="544"/>
      <c r="O102" s="432"/>
      <c r="P102" s="432"/>
      <c r="Q102" s="440"/>
      <c r="R102" s="537" t="s">
        <v>908</v>
      </c>
      <c r="S102" s="538"/>
      <c r="T102" s="539"/>
      <c r="U102" s="461" t="s">
        <v>838</v>
      </c>
      <c r="V102" s="461" t="s">
        <v>839</v>
      </c>
      <c r="W102" s="461" t="s">
        <v>840</v>
      </c>
    </row>
    <row r="103" spans="2:23" ht="15" customHeight="1">
      <c r="B103" s="437" t="s">
        <v>909</v>
      </c>
      <c r="C103" s="429">
        <v>17000</v>
      </c>
      <c r="D103" s="296" t="s">
        <v>869</v>
      </c>
      <c r="E103" s="441" t="str">
        <f>IF(J103&lt;=I103,"OK","NG")</f>
        <v>NG</v>
      </c>
      <c r="F103" s="540"/>
      <c r="G103" s="541"/>
      <c r="H103" s="542"/>
      <c r="I103" s="344">
        <f>I87*C103/10^6</f>
        <v>0.95352564102564108</v>
      </c>
      <c r="J103" s="471">
        <v>1</v>
      </c>
      <c r="K103" s="471"/>
      <c r="M103" s="545" t="s">
        <v>910</v>
      </c>
      <c r="N103" s="546"/>
      <c r="O103" s="429">
        <v>17000</v>
      </c>
      <c r="P103" s="296" t="s">
        <v>869</v>
      </c>
      <c r="Q103" s="441" t="str">
        <f>IF(V103&lt;=U103,"OK","NG")</f>
        <v>NG</v>
      </c>
      <c r="R103" s="540"/>
      <c r="S103" s="541"/>
      <c r="T103" s="542"/>
      <c r="U103" s="344">
        <f>IF(O58="Same as TX0",I103,U87*O103/10^6)</f>
        <v>0.95352564102564108</v>
      </c>
      <c r="V103" s="471">
        <v>1</v>
      </c>
      <c r="W103" s="471"/>
    </row>
    <row r="104" spans="2:23" ht="15">
      <c r="B104" s="435" t="s">
        <v>911</v>
      </c>
      <c r="C104" s="432"/>
      <c r="D104" s="432"/>
      <c r="E104" s="440"/>
      <c r="F104" s="537" t="s">
        <v>912</v>
      </c>
      <c r="G104" s="538"/>
      <c r="H104" s="539"/>
      <c r="I104" s="344">
        <f>(C105+1+1)/C$82*1000+2/C$77*1000</f>
        <v>138.22115384615387</v>
      </c>
      <c r="J104" s="461" t="s">
        <v>839</v>
      </c>
      <c r="K104" s="461" t="s">
        <v>840</v>
      </c>
      <c r="M104" s="543" t="s">
        <v>911</v>
      </c>
      <c r="N104" s="544"/>
      <c r="O104" s="432"/>
      <c r="P104" s="432"/>
      <c r="Q104" s="440"/>
      <c r="R104" s="537" t="s">
        <v>912</v>
      </c>
      <c r="S104" s="538"/>
      <c r="T104" s="539"/>
      <c r="U104" s="344">
        <f>IF(O58="Same as TX0",I104,(O105+1+1)/O$82*1000+2/O$77*1000)</f>
        <v>138.22115384615387</v>
      </c>
      <c r="V104" s="461" t="s">
        <v>839</v>
      </c>
      <c r="W104" s="461" t="s">
        <v>840</v>
      </c>
    </row>
    <row r="105" spans="2:23" ht="15" customHeight="1">
      <c r="B105" s="437" t="s">
        <v>913</v>
      </c>
      <c r="C105" s="429">
        <v>15</v>
      </c>
      <c r="D105" s="401" t="s">
        <v>914</v>
      </c>
      <c r="E105" s="441" t="str">
        <f>IF(C80="Enable","Don't care",IF(J105&lt;=I104-5,"OK","NG"))</f>
        <v>Don't care</v>
      </c>
      <c r="F105" s="540"/>
      <c r="G105" s="541"/>
      <c r="H105" s="542"/>
      <c r="I105" s="344">
        <f>(C105+1+1)/C$82*1000+3/C$77*1000</f>
        <v>139.22275641025641</v>
      </c>
      <c r="J105" s="344">
        <f>60+1/C77*1000*52</f>
        <v>112.08333333333334</v>
      </c>
      <c r="K105" s="471"/>
      <c r="M105" s="545" t="s">
        <v>915</v>
      </c>
      <c r="N105" s="546"/>
      <c r="O105" s="429">
        <v>15</v>
      </c>
      <c r="P105" s="401" t="s">
        <v>914</v>
      </c>
      <c r="Q105" s="441" t="str">
        <f>IF(P80="Enable","Don't care",IF(V105&lt;=U104-5,"OK","NG"))</f>
        <v>Don't care</v>
      </c>
      <c r="R105" s="540"/>
      <c r="S105" s="541"/>
      <c r="T105" s="542"/>
      <c r="U105" s="344">
        <f>IF(O58="Same as TX0",I105,(O105+1+1)/O$82*1000+3/O$77*1000)</f>
        <v>139.22275641025641</v>
      </c>
      <c r="V105" s="344">
        <f>IF(O58="Same as TX0",J105,60+1/O77*1000*52)</f>
        <v>112.08333333333334</v>
      </c>
      <c r="W105" s="471"/>
    </row>
    <row r="106" spans="2:23" ht="15">
      <c r="B106" s="435" t="s">
        <v>916</v>
      </c>
      <c r="C106" s="432"/>
      <c r="D106" s="432"/>
      <c r="E106" s="440"/>
      <c r="F106" s="537" t="s">
        <v>917</v>
      </c>
      <c r="G106" s="538"/>
      <c r="H106" s="539"/>
      <c r="I106" s="461" t="s">
        <v>838</v>
      </c>
      <c r="J106" s="461" t="s">
        <v>839</v>
      </c>
      <c r="K106" s="461" t="s">
        <v>840</v>
      </c>
      <c r="M106" s="543" t="s">
        <v>916</v>
      </c>
      <c r="N106" s="544"/>
      <c r="O106" s="432"/>
      <c r="P106" s="432"/>
      <c r="Q106" s="440"/>
      <c r="R106" s="537" t="s">
        <v>917</v>
      </c>
      <c r="S106" s="538"/>
      <c r="T106" s="539"/>
      <c r="U106" s="461" t="s">
        <v>838</v>
      </c>
      <c r="V106" s="461" t="s">
        <v>839</v>
      </c>
      <c r="W106" s="461" t="s">
        <v>840</v>
      </c>
    </row>
    <row r="107" spans="2:23" ht="15" customHeight="1">
      <c r="B107" s="443" t="s">
        <v>918</v>
      </c>
      <c r="C107" s="429">
        <v>8</v>
      </c>
      <c r="D107" s="401" t="s">
        <v>919</v>
      </c>
      <c r="E107" s="441" t="str">
        <f>IF(J107&lt;=I107-5,IF(I107+5&lt;=K107,"OK","NG"),"NG")</f>
        <v>OK</v>
      </c>
      <c r="F107" s="540"/>
      <c r="G107" s="541"/>
      <c r="H107" s="542"/>
      <c r="I107" s="344">
        <f>(C107+1+1)/C$82*1000-11/C$77*1000</f>
        <v>69.110576923076934</v>
      </c>
      <c r="J107" s="344">
        <f>MAX(1/C77*1000*8,60+1/C77*1000*4)</f>
        <v>64.006410256410263</v>
      </c>
      <c r="K107" s="344">
        <f>105+1/C77*1000*12-30</f>
        <v>87.019230769230774</v>
      </c>
      <c r="M107" s="545" t="s">
        <v>920</v>
      </c>
      <c r="N107" s="546"/>
      <c r="O107" s="429">
        <v>8</v>
      </c>
      <c r="P107" s="401" t="s">
        <v>919</v>
      </c>
      <c r="Q107" s="402" t="str">
        <f>IF(V107&lt;=U107-5,IF(U107+5&lt;=W107,"OK","NG"),"NG")</f>
        <v>OK</v>
      </c>
      <c r="R107" s="540"/>
      <c r="S107" s="541"/>
      <c r="T107" s="542"/>
      <c r="U107" s="344">
        <f>IF(O58="Same as TX0",I107,(O107+1+1)/O$82*1000-11/O$77*1000)</f>
        <v>69.110576923076934</v>
      </c>
      <c r="V107" s="344">
        <f>IF(O58="Same as TX0",J107,MAX(1/O77*1000*8,60+1/O77*1000*4))</f>
        <v>64.006410256410263</v>
      </c>
      <c r="W107" s="344">
        <f>IF(O58="Same as TX0",K107,105+1/O77*1000*12-30)</f>
        <v>87.019230769230774</v>
      </c>
    </row>
    <row r="108" spans="2:23" ht="15">
      <c r="B108" s="435" t="s">
        <v>916</v>
      </c>
      <c r="C108" s="432"/>
      <c r="D108" s="432"/>
      <c r="E108" s="440"/>
      <c r="F108" s="537" t="s">
        <v>921</v>
      </c>
      <c r="G108" s="538"/>
      <c r="H108" s="539"/>
      <c r="I108" s="461" t="s">
        <v>838</v>
      </c>
      <c r="J108" s="461" t="s">
        <v>839</v>
      </c>
      <c r="K108" s="461" t="s">
        <v>840</v>
      </c>
      <c r="M108" s="543" t="s">
        <v>916</v>
      </c>
      <c r="N108" s="544"/>
      <c r="O108" s="432"/>
      <c r="P108" s="432"/>
      <c r="Q108" s="433"/>
      <c r="R108" s="537" t="s">
        <v>921</v>
      </c>
      <c r="S108" s="538"/>
      <c r="T108" s="539"/>
      <c r="U108" s="461" t="s">
        <v>838</v>
      </c>
      <c r="V108" s="461" t="s">
        <v>839</v>
      </c>
      <c r="W108" s="461" t="s">
        <v>840</v>
      </c>
    </row>
    <row r="109" spans="2:23" ht="15" customHeight="1">
      <c r="B109" s="443" t="s">
        <v>922</v>
      </c>
      <c r="C109" s="429">
        <v>13</v>
      </c>
      <c r="D109" s="507" t="s">
        <v>923</v>
      </c>
      <c r="E109" s="402" t="str">
        <f>IF(J109&lt;=I109-5,"OK","NG")</f>
        <v>OK</v>
      </c>
      <c r="F109" s="540"/>
      <c r="G109" s="541"/>
      <c r="H109" s="542"/>
      <c r="I109" s="344">
        <f>1/C82*(C109+1)*1000</f>
        <v>112.1794871794872</v>
      </c>
      <c r="J109" s="472">
        <v>100</v>
      </c>
      <c r="K109" s="472"/>
      <c r="M109" s="545" t="s">
        <v>924</v>
      </c>
      <c r="N109" s="546"/>
      <c r="O109" s="429">
        <v>13</v>
      </c>
      <c r="P109" s="507" t="s">
        <v>923</v>
      </c>
      <c r="Q109" s="402" t="str">
        <f>IF(V109&lt;=U109-5,"OK","NG")</f>
        <v>OK</v>
      </c>
      <c r="R109" s="540"/>
      <c r="S109" s="541"/>
      <c r="T109" s="542"/>
      <c r="U109" s="344">
        <f>IF(O58="Same as TX0",I109,1/O82*(O109+1)*1000)</f>
        <v>112.1794871794872</v>
      </c>
      <c r="V109" s="472">
        <v>100</v>
      </c>
      <c r="W109" s="472"/>
    </row>
    <row r="110" spans="2:23" ht="14.25" customHeight="1">
      <c r="B110" s="444" t="s">
        <v>925</v>
      </c>
      <c r="C110" s="432"/>
      <c r="D110" s="432"/>
      <c r="E110" s="432"/>
      <c r="F110" s="537" t="s">
        <v>926</v>
      </c>
      <c r="G110" s="538"/>
      <c r="H110" s="539"/>
      <c r="I110" s="344">
        <f>(C111+2)/C82*1000</f>
        <v>56.089743589743591</v>
      </c>
      <c r="J110" s="461" t="s">
        <v>839</v>
      </c>
      <c r="K110" s="461" t="s">
        <v>840</v>
      </c>
      <c r="M110" s="547" t="s">
        <v>925</v>
      </c>
      <c r="N110" s="548"/>
      <c r="O110" s="432"/>
      <c r="P110" s="432"/>
      <c r="Q110" s="432"/>
      <c r="R110" s="537" t="s">
        <v>926</v>
      </c>
      <c r="S110" s="538"/>
      <c r="T110" s="539"/>
      <c r="U110" s="344">
        <f>IF(O58="Same as TX0",I110,(O111+2)/O82*1000)</f>
        <v>56.089743589743591</v>
      </c>
      <c r="V110" s="461" t="s">
        <v>839</v>
      </c>
      <c r="W110" s="461" t="s">
        <v>840</v>
      </c>
    </row>
    <row r="111" spans="2:23" ht="15" customHeight="1">
      <c r="B111" s="443" t="s">
        <v>927</v>
      </c>
      <c r="C111" s="445">
        <v>5</v>
      </c>
      <c r="D111" s="401" t="s">
        <v>914</v>
      </c>
      <c r="E111" s="402" t="str">
        <f>IF(J111&lt;=I110,IF(I111&lt;=K111,"OK","NG"),"NG")</f>
        <v>OK</v>
      </c>
      <c r="F111" s="540"/>
      <c r="G111" s="541"/>
      <c r="H111" s="542"/>
      <c r="I111" s="344">
        <f>(C111+3)/C82*1000</f>
        <v>64.102564102564116</v>
      </c>
      <c r="J111" s="344">
        <f>I87</f>
        <v>56.089743589743598</v>
      </c>
      <c r="K111" s="344">
        <f>I87*2</f>
        <v>112.1794871794872</v>
      </c>
      <c r="M111" s="545" t="s">
        <v>928</v>
      </c>
      <c r="N111" s="546"/>
      <c r="O111" s="445">
        <v>5</v>
      </c>
      <c r="P111" s="401" t="s">
        <v>914</v>
      </c>
      <c r="Q111" s="402" t="str">
        <f>IF(V111&lt;=U110,IF(U111&lt;=W111,"OK","NG"),"NG")</f>
        <v>OK</v>
      </c>
      <c r="R111" s="540"/>
      <c r="S111" s="541"/>
      <c r="T111" s="542"/>
      <c r="U111" s="344">
        <f>IF(O58="Same as TX0",I111,(O111+3)/O82*1000)</f>
        <v>64.102564102564116</v>
      </c>
      <c r="V111" s="344">
        <f>IF(O58="Same as TX0",J111,U87)</f>
        <v>56.089743589743598</v>
      </c>
      <c r="W111" s="344">
        <f>IF(O58="Same as TX0",K111,U87*2)</f>
        <v>112.1794871794872</v>
      </c>
    </row>
    <row r="112" spans="2:23" ht="14.25" customHeight="1">
      <c r="B112" s="444" t="s">
        <v>925</v>
      </c>
      <c r="C112" s="350"/>
      <c r="D112" s="432"/>
      <c r="E112" s="432"/>
      <c r="F112" s="537" t="s">
        <v>929</v>
      </c>
      <c r="G112" s="538"/>
      <c r="H112" s="539"/>
      <c r="I112" s="461" t="s">
        <v>838</v>
      </c>
      <c r="J112" s="461" t="s">
        <v>839</v>
      </c>
      <c r="K112" s="461" t="s">
        <v>840</v>
      </c>
      <c r="M112" s="547" t="s">
        <v>925</v>
      </c>
      <c r="N112" s="548"/>
      <c r="O112" s="350"/>
      <c r="P112" s="432"/>
      <c r="Q112" s="432"/>
      <c r="R112" s="537" t="s">
        <v>929</v>
      </c>
      <c r="S112" s="538"/>
      <c r="T112" s="539"/>
      <c r="U112" s="461" t="s">
        <v>838</v>
      </c>
      <c r="V112" s="461" t="s">
        <v>839</v>
      </c>
      <c r="W112" s="461" t="s">
        <v>840</v>
      </c>
    </row>
    <row r="113" spans="2:23" ht="15" customHeight="1">
      <c r="B113" s="443" t="s">
        <v>930</v>
      </c>
      <c r="C113" s="446">
        <f>C87</f>
        <v>6</v>
      </c>
      <c r="D113" s="447" t="s">
        <v>914</v>
      </c>
      <c r="E113" s="448"/>
      <c r="F113" s="540"/>
      <c r="G113" s="541"/>
      <c r="H113" s="542"/>
      <c r="I113" s="344">
        <f>(C113+1)*4/C82*1000</f>
        <v>224.35897435897436</v>
      </c>
      <c r="J113" s="344">
        <f>I87*4</f>
        <v>224.35897435897439</v>
      </c>
      <c r="K113" s="344">
        <f>I87*4</f>
        <v>224.35897435897439</v>
      </c>
      <c r="M113" s="545" t="s">
        <v>931</v>
      </c>
      <c r="N113" s="546"/>
      <c r="O113" s="473">
        <f>IF(O58="Same as TX0",C113,O87)</f>
        <v>6</v>
      </c>
      <c r="P113" s="401" t="s">
        <v>914</v>
      </c>
      <c r="Q113" s="402"/>
      <c r="R113" s="540"/>
      <c r="S113" s="541"/>
      <c r="T113" s="542"/>
      <c r="U113" s="344">
        <f>IF(O58="Same as TX0",I113,(O113+1)*4/O82*1000)</f>
        <v>224.35897435897436</v>
      </c>
      <c r="V113" s="344">
        <f>IF(O58="Same as TX0",J113,U87*4)</f>
        <v>224.35897435897439</v>
      </c>
      <c r="W113" s="344">
        <f>IF(O58="Same as TX0",K113,U87*4)</f>
        <v>224.35897435897439</v>
      </c>
    </row>
    <row r="114" spans="2:23">
      <c r="B114" s="449">
        <f>IF(C80="Disable",I107+I105+I95+I109+I87*2+I91+I93+I87+I101,I107+I109+I87*4+I101)</f>
        <v>625.00000000000011</v>
      </c>
      <c r="C114" s="431" t="s">
        <v>932</v>
      </c>
      <c r="D114" s="450"/>
      <c r="E114" s="451"/>
      <c r="I114" s="285" t="s">
        <v>933</v>
      </c>
      <c r="M114" s="549">
        <f>IF(P80="Disable",U107+U105+U95+U109+U87*2+U91+U93+U87+U101,U107+U109+U87*4+U101)</f>
        <v>625.00000000000011</v>
      </c>
      <c r="N114" s="550"/>
      <c r="O114" s="431" t="s">
        <v>932</v>
      </c>
      <c r="P114" s="450"/>
      <c r="Q114" s="451"/>
      <c r="U114" s="285" t="s">
        <v>933</v>
      </c>
    </row>
    <row r="115" spans="2:23" ht="15" customHeight="1">
      <c r="B115" s="449">
        <f>IF(C80="Disable",I107+I105+I95+I109+I87+I91+I93+I87+I101,I107+I109+I87+I101)</f>
        <v>456.73076923076928</v>
      </c>
      <c r="C115" s="452" t="s">
        <v>934</v>
      </c>
      <c r="D115" s="453"/>
      <c r="E115" s="454"/>
      <c r="I115" s="285" t="s">
        <v>935</v>
      </c>
      <c r="M115" s="549">
        <f>IF(P80="Disable",U107+U105+U95+U109+U87+U91+U93+U87+U101,U107+U109+U87+U101)</f>
        <v>456.73076923076928</v>
      </c>
      <c r="N115" s="550"/>
      <c r="O115" s="452" t="s">
        <v>934</v>
      </c>
      <c r="P115" s="453"/>
      <c r="Q115" s="454"/>
      <c r="U115" s="285" t="s">
        <v>935</v>
      </c>
    </row>
    <row r="116" spans="2:23" hidden="1"/>
    <row r="117" spans="2:23" hidden="1">
      <c r="B117" s="455" t="s">
        <v>936</v>
      </c>
      <c r="C117" s="455" t="s">
        <v>937</v>
      </c>
      <c r="D117" s="398"/>
      <c r="E117" s="456" t="s">
        <v>938</v>
      </c>
      <c r="F117" s="456" t="s">
        <v>939</v>
      </c>
      <c r="G117" s="456" t="s">
        <v>940</v>
      </c>
      <c r="H117" s="456" t="s">
        <v>941</v>
      </c>
      <c r="I117" s="456" t="s">
        <v>942</v>
      </c>
      <c r="J117" s="456" t="s">
        <v>943</v>
      </c>
      <c r="K117" s="456" t="s">
        <v>944</v>
      </c>
      <c r="L117" s="456" t="s">
        <v>945</v>
      </c>
      <c r="M117" s="456" t="s">
        <v>946</v>
      </c>
      <c r="N117" s="456" t="s">
        <v>947</v>
      </c>
      <c r="O117" s="456" t="s">
        <v>948</v>
      </c>
      <c r="P117" s="456" t="s">
        <v>949</v>
      </c>
      <c r="Q117" s="456" t="s">
        <v>950</v>
      </c>
      <c r="R117" s="456" t="s">
        <v>951</v>
      </c>
      <c r="S117" s="456" t="s">
        <v>952</v>
      </c>
      <c r="T117" s="456" t="s">
        <v>953</v>
      </c>
      <c r="U117" s="398"/>
    </row>
    <row r="118" spans="2:23" hidden="1">
      <c r="B118" s="508" t="s">
        <v>954</v>
      </c>
      <c r="C118" s="458" t="str">
        <f t="shared" ref="C118:C122" si="6">DEC2HEX(D118,4)</f>
        <v>0004</v>
      </c>
      <c r="D118" s="459">
        <f t="shared" ref="D118:D121" si="7">E118*2^15+F118*2^14+G118*2^13+H118*2^12+I118*2^11+J118*2^10+K118*2^9+L118*2^8+M118*2^7+N118*2^6+O118*2^5+P118*2^4+Q118*2^3+R118*2^2+S118*2^1+T118*2^0</f>
        <v>4</v>
      </c>
      <c r="E118" s="398">
        <v>0</v>
      </c>
      <c r="F118" s="398">
        <v>0</v>
      </c>
      <c r="G118" s="398">
        <v>0</v>
      </c>
      <c r="H118" s="398">
        <v>0</v>
      </c>
      <c r="I118" s="398">
        <v>0</v>
      </c>
      <c r="J118" s="398">
        <v>0</v>
      </c>
      <c r="K118" s="398">
        <v>0</v>
      </c>
      <c r="L118" s="398">
        <v>0</v>
      </c>
      <c r="M118" s="398">
        <v>0</v>
      </c>
      <c r="N118" s="459">
        <f>IF(C45="YCbCr422-24bit",1,IF(C45="YCbCr422-16bit",3,0))</f>
        <v>0</v>
      </c>
      <c r="O118" s="398">
        <v>0</v>
      </c>
      <c r="P118" s="398">
        <v>0</v>
      </c>
      <c r="Q118" s="398">
        <v>0</v>
      </c>
      <c r="R118" s="459">
        <f>IF(O8="No",0,1)</f>
        <v>1</v>
      </c>
      <c r="S118" s="398">
        <v>0</v>
      </c>
      <c r="T118" s="398">
        <v>0</v>
      </c>
      <c r="U118" s="398"/>
    </row>
    <row r="119" spans="2:23" hidden="1">
      <c r="B119" s="508" t="s">
        <v>954</v>
      </c>
      <c r="C119" s="458" t="str">
        <f t="shared" si="6"/>
        <v>0C37</v>
      </c>
      <c r="D119" s="459">
        <f t="shared" si="7"/>
        <v>3127</v>
      </c>
      <c r="E119" s="398">
        <v>0</v>
      </c>
      <c r="F119" s="459">
        <f>IF(M4="SLIMBus",1,0)</f>
        <v>0</v>
      </c>
      <c r="G119" s="398">
        <v>0</v>
      </c>
      <c r="H119" s="459">
        <f>IF(O6="Free Run",0,1)</f>
        <v>0</v>
      </c>
      <c r="I119" s="398">
        <v>0</v>
      </c>
      <c r="J119" s="459">
        <f>IF(O4=8,0,IF(O4=6,1,IF(O4=4,2,3)))</f>
        <v>3</v>
      </c>
      <c r="K119" s="459">
        <f>IF(N4="Auto",0,1)</f>
        <v>0</v>
      </c>
      <c r="L119" s="459">
        <f>IF(N6="No Delay",0,1)</f>
        <v>0</v>
      </c>
      <c r="M119" s="398">
        <v>0</v>
      </c>
      <c r="N119" s="459">
        <f>IF(C45="YCbCr422-24bit",1,IF(C45="YCbCr422-16bit",3,0))</f>
        <v>0</v>
      </c>
      <c r="O119" s="459">
        <f>IF(M4="Disable",0,1)</f>
        <v>1</v>
      </c>
      <c r="P119" s="398">
        <v>0</v>
      </c>
      <c r="Q119" s="459">
        <f>IF(M4="TDM",3,2)</f>
        <v>2</v>
      </c>
      <c r="R119" s="459">
        <f>IF(O8="No",0,1)</f>
        <v>1</v>
      </c>
      <c r="S119" s="459">
        <f>IF(C43="TX0 Enable",0,IF(H47&gt;0,1,0))</f>
        <v>1</v>
      </c>
      <c r="T119" s="459">
        <f>IF(C43="TX1 Enable",0,IF(F47&gt;0,1,0))</f>
        <v>1</v>
      </c>
      <c r="U119" s="398"/>
    </row>
    <row r="120" spans="2:23" hidden="1">
      <c r="B120" s="508" t="s">
        <v>955</v>
      </c>
      <c r="C120" s="458" t="str">
        <f t="shared" si="6"/>
        <v>0000</v>
      </c>
      <c r="D120" s="459">
        <f t="shared" si="7"/>
        <v>0</v>
      </c>
      <c r="E120" s="398">
        <v>0</v>
      </c>
      <c r="F120" s="398">
        <v>0</v>
      </c>
      <c r="G120" s="398">
        <v>0</v>
      </c>
      <c r="H120" s="398">
        <v>0</v>
      </c>
      <c r="I120" s="398">
        <v>0</v>
      </c>
      <c r="J120" s="398">
        <v>0</v>
      </c>
      <c r="K120" s="398">
        <v>0</v>
      </c>
      <c r="L120" s="398">
        <v>0</v>
      </c>
      <c r="M120" s="398">
        <v>0</v>
      </c>
      <c r="N120" s="398">
        <v>0</v>
      </c>
      <c r="O120" s="398">
        <v>0</v>
      </c>
      <c r="P120" s="398">
        <v>0</v>
      </c>
      <c r="Q120" s="398">
        <v>0</v>
      </c>
      <c r="R120" s="459">
        <f>IF(D47="Enable",1,0)</f>
        <v>0</v>
      </c>
      <c r="S120" s="398">
        <v>0</v>
      </c>
      <c r="T120" s="459">
        <f>IF(C45="pRGB666",2,IF(C45="lpRGB666",3,0))</f>
        <v>0</v>
      </c>
      <c r="U120" s="398"/>
    </row>
    <row r="121" spans="2:23" hidden="1">
      <c r="B121" s="508" t="s">
        <v>955</v>
      </c>
      <c r="C121" s="458" t="str">
        <f t="shared" si="6"/>
        <v>0000</v>
      </c>
      <c r="D121" s="459">
        <f t="shared" si="7"/>
        <v>0</v>
      </c>
      <c r="E121" s="398">
        <v>0</v>
      </c>
      <c r="F121" s="398">
        <v>0</v>
      </c>
      <c r="G121" s="398">
        <v>0</v>
      </c>
      <c r="H121" s="398">
        <v>0</v>
      </c>
      <c r="I121" s="398">
        <v>0</v>
      </c>
      <c r="J121" s="398">
        <v>0</v>
      </c>
      <c r="K121" s="398">
        <v>0</v>
      </c>
      <c r="L121" s="398">
        <v>0</v>
      </c>
      <c r="M121" s="398">
        <v>0</v>
      </c>
      <c r="N121" s="398">
        <v>0</v>
      </c>
      <c r="O121" s="398">
        <v>0</v>
      </c>
      <c r="P121" s="398">
        <v>0</v>
      </c>
      <c r="Q121" s="398">
        <v>0</v>
      </c>
      <c r="R121" s="459">
        <f>IF(D47="Enable",1,0)</f>
        <v>0</v>
      </c>
      <c r="S121" s="398">
        <v>0</v>
      </c>
      <c r="T121" s="459">
        <f>IF(C45="pRGB666",2,IF(C45="lpRGB666",3,0))</f>
        <v>0</v>
      </c>
      <c r="U121" s="398"/>
    </row>
    <row r="122" spans="2:23" hidden="1">
      <c r="B122" s="508" t="s">
        <v>956</v>
      </c>
      <c r="C122" s="458" t="str">
        <f t="shared" si="6"/>
        <v>0CA8</v>
      </c>
      <c r="D122" s="459">
        <f>F20*B46/8</f>
        <v>3240</v>
      </c>
      <c r="E122" s="398"/>
      <c r="F122" s="398"/>
      <c r="G122" s="398"/>
      <c r="H122" s="398"/>
      <c r="I122" s="398"/>
      <c r="J122" s="398"/>
      <c r="K122" s="398"/>
      <c r="L122" s="398"/>
      <c r="M122" s="398"/>
      <c r="N122" s="398"/>
      <c r="O122" s="398"/>
      <c r="P122" s="398"/>
      <c r="Q122" s="398"/>
      <c r="R122" s="398"/>
      <c r="S122" s="398"/>
      <c r="T122" s="398"/>
      <c r="U122" s="398"/>
    </row>
    <row r="123" spans="2:23" hidden="1">
      <c r="B123"/>
      <c r="C123"/>
      <c r="D123" s="398"/>
      <c r="E123" s="398"/>
      <c r="F123" s="398"/>
      <c r="G123" s="398"/>
      <c r="H123" s="398"/>
      <c r="I123" s="398"/>
      <c r="J123" s="398"/>
      <c r="K123" s="398"/>
      <c r="L123" s="398"/>
      <c r="M123" s="398"/>
      <c r="N123" s="398"/>
      <c r="O123" s="398"/>
      <c r="P123" s="398"/>
      <c r="Q123" s="398"/>
      <c r="R123" s="398"/>
      <c r="S123" s="398"/>
      <c r="T123" s="398"/>
      <c r="U123" s="398"/>
    </row>
    <row r="124" spans="2:23" hidden="1">
      <c r="B124" s="508" t="s">
        <v>957</v>
      </c>
      <c r="C124" s="458" t="str">
        <f t="shared" ref="C124:C128" si="8">DEC2HEX(D124,8)</f>
        <v>000090CF</v>
      </c>
      <c r="D124" s="459">
        <f>J76*2^12+I76*2^10+K76</f>
        <v>37071</v>
      </c>
      <c r="E124" s="398"/>
      <c r="F124" s="398"/>
      <c r="G124" s="398"/>
      <c r="H124" s="398"/>
      <c r="I124" s="398"/>
      <c r="J124" s="398"/>
      <c r="K124" s="398"/>
      <c r="L124" s="398"/>
      <c r="M124" s="398"/>
      <c r="N124" s="398"/>
      <c r="O124" s="398"/>
      <c r="P124" s="398"/>
      <c r="Q124" s="398"/>
      <c r="R124" s="398"/>
      <c r="S124" s="398"/>
      <c r="T124" s="398"/>
      <c r="U124" s="398"/>
    </row>
    <row r="125" spans="2:23" hidden="1">
      <c r="D125" s="398"/>
      <c r="E125" s="398"/>
      <c r="F125" s="398"/>
      <c r="G125" s="398"/>
      <c r="H125" s="398"/>
      <c r="I125" s="398"/>
      <c r="J125" s="398"/>
      <c r="K125" s="398"/>
      <c r="L125" s="398"/>
      <c r="M125" s="398"/>
      <c r="N125" s="398"/>
      <c r="O125" s="398"/>
      <c r="P125" s="398"/>
      <c r="Q125" s="398"/>
      <c r="R125" s="398"/>
      <c r="S125" s="398"/>
      <c r="T125" s="398"/>
      <c r="U125" s="398"/>
    </row>
    <row r="126" spans="2:23" hidden="1">
      <c r="B126" s="508" t="s">
        <v>958</v>
      </c>
      <c r="C126" s="458" t="str">
        <f t="shared" si="8"/>
        <v>00000006</v>
      </c>
      <c r="D126" s="459">
        <f>0*2^4+0*2^3+1*2^2+1*2^1+0*2^0</f>
        <v>6</v>
      </c>
      <c r="E126" s="398"/>
      <c r="F126" s="398"/>
      <c r="G126" s="398"/>
      <c r="H126" s="398"/>
      <c r="I126" s="398"/>
      <c r="J126" s="398"/>
      <c r="K126" s="398"/>
      <c r="L126" s="398"/>
      <c r="M126" s="398"/>
      <c r="N126" s="398"/>
      <c r="O126" s="398"/>
      <c r="P126" s="398"/>
      <c r="Q126" s="398"/>
      <c r="R126" s="398"/>
      <c r="S126" s="398"/>
      <c r="T126" s="398"/>
      <c r="U126" s="398"/>
    </row>
    <row r="127" spans="2:23" hidden="1">
      <c r="B127" s="508" t="s">
        <v>959</v>
      </c>
      <c r="C127" s="458" t="str">
        <f t="shared" si="8"/>
        <v>00000014</v>
      </c>
      <c r="D127" s="459">
        <f>1*2^4+E78</f>
        <v>20</v>
      </c>
      <c r="E127" s="398"/>
      <c r="F127" s="460"/>
      <c r="G127" s="398"/>
      <c r="H127" s="398"/>
      <c r="I127" s="398"/>
      <c r="J127" s="398"/>
      <c r="K127" s="398"/>
      <c r="L127" s="398"/>
      <c r="M127" s="398"/>
      <c r="N127" s="398"/>
      <c r="O127" s="398"/>
      <c r="P127" s="398"/>
      <c r="Q127" s="398"/>
      <c r="R127" s="398"/>
      <c r="S127" s="398"/>
      <c r="T127" s="398"/>
      <c r="U127" s="398"/>
    </row>
    <row r="128" spans="2:23" hidden="1">
      <c r="B128" s="508" t="s">
        <v>960</v>
      </c>
      <c r="C128" s="458" t="str">
        <f t="shared" si="8"/>
        <v>00001770</v>
      </c>
      <c r="D128" s="459">
        <f>C85</f>
        <v>6000</v>
      </c>
      <c r="E128" s="398"/>
      <c r="F128" s="460"/>
      <c r="G128" s="398"/>
      <c r="H128" s="398"/>
      <c r="I128" s="398"/>
      <c r="J128" s="398"/>
      <c r="K128" s="398"/>
      <c r="L128" s="398"/>
      <c r="M128" s="398"/>
      <c r="N128" s="398"/>
      <c r="O128" s="398"/>
      <c r="P128" s="398"/>
      <c r="Q128" s="398"/>
      <c r="R128" s="398"/>
      <c r="S128" s="398"/>
      <c r="T128" s="398"/>
      <c r="U128" s="398"/>
    </row>
    <row r="129" spans="2:21" hidden="1">
      <c r="B129"/>
      <c r="C129"/>
      <c r="D129" s="398"/>
      <c r="E129" s="398"/>
      <c r="F129" s="460"/>
      <c r="G129" s="398"/>
      <c r="H129" s="398"/>
      <c r="I129" s="398"/>
      <c r="J129" s="398"/>
      <c r="K129" s="398"/>
      <c r="L129" s="398"/>
      <c r="M129" s="398"/>
      <c r="N129" s="398"/>
      <c r="O129" s="398"/>
      <c r="P129" s="398"/>
      <c r="Q129" s="398"/>
      <c r="R129" s="398"/>
      <c r="S129" s="398"/>
      <c r="T129" s="398"/>
      <c r="U129" s="398"/>
    </row>
    <row r="130" spans="2:21" hidden="1">
      <c r="B130" s="508" t="s">
        <v>961</v>
      </c>
      <c r="C130" s="458" t="str">
        <f t="shared" ref="C130:C135" si="9">DEC2HEX(D130,8)</f>
        <v>0000040D</v>
      </c>
      <c r="D130" s="459">
        <f>ROUND((D20+E20+F20+G20/2)*C82/C20,0)</f>
        <v>1037</v>
      </c>
      <c r="E130" s="398"/>
      <c r="F130" s="460"/>
      <c r="G130" s="398"/>
      <c r="H130" s="398"/>
      <c r="I130" s="398"/>
      <c r="J130" s="398"/>
      <c r="K130" s="398"/>
      <c r="L130" s="398"/>
      <c r="M130" s="398"/>
      <c r="N130" s="398"/>
      <c r="O130" s="398"/>
      <c r="P130" s="398"/>
      <c r="Q130" s="398"/>
      <c r="R130" s="398"/>
      <c r="S130" s="398"/>
      <c r="T130" s="398"/>
      <c r="U130" s="398"/>
    </row>
    <row r="131" spans="2:21" hidden="1">
      <c r="B131" s="508" t="s">
        <v>962</v>
      </c>
      <c r="C131" s="458" t="str">
        <f t="shared" si="9"/>
        <v>000003F5</v>
      </c>
      <c r="D131" s="459">
        <f>ROUND(((D20+E20+F20+20)*C82/C20),0)</f>
        <v>1013</v>
      </c>
      <c r="E131" s="398"/>
      <c r="F131" s="460"/>
      <c r="G131" s="398"/>
      <c r="H131" s="398"/>
      <c r="I131" s="398"/>
      <c r="J131" s="398"/>
      <c r="K131" s="398"/>
      <c r="L131" s="398"/>
      <c r="M131" s="398"/>
      <c r="N131" s="398"/>
      <c r="O131" s="398"/>
      <c r="P131" s="398"/>
      <c r="Q131" s="398"/>
      <c r="R131" s="398"/>
      <c r="S131" s="398"/>
      <c r="T131" s="398"/>
      <c r="U131" s="398"/>
    </row>
    <row r="132" spans="2:21" hidden="1">
      <c r="B132" s="508" t="s">
        <v>963</v>
      </c>
      <c r="C132" s="458" t="str">
        <f t="shared" si="9"/>
        <v>00000410</v>
      </c>
      <c r="D132" s="459">
        <f>ROUND((($D$20+$E$20+$F$20+20)*$C$82/$C$24),0)</f>
        <v>1040</v>
      </c>
      <c r="E132" s="398"/>
      <c r="F132" s="460"/>
      <c r="G132" s="398"/>
      <c r="H132" s="398"/>
      <c r="I132" s="398"/>
      <c r="J132" s="398"/>
      <c r="K132" s="398"/>
      <c r="L132" s="398"/>
      <c r="M132" s="398"/>
      <c r="N132" s="398"/>
      <c r="O132" s="398"/>
      <c r="P132" s="398"/>
      <c r="Q132" s="398"/>
      <c r="R132" s="398"/>
      <c r="S132" s="398"/>
      <c r="T132" s="398"/>
      <c r="U132" s="398"/>
    </row>
    <row r="133" spans="2:21" hidden="1">
      <c r="B133" s="508" t="s">
        <v>964</v>
      </c>
      <c r="C133" s="458" t="str">
        <f t="shared" si="9"/>
        <v>00000081</v>
      </c>
      <c r="D133" s="459">
        <f>E133*2^15+F133*2^14+G133*2^13+H133*2^12+I133*2^11+J133*2^10+K133*2^9+L133*2^8+M133*2^7+N133*2^6+O133*2^5+P133*2^4+Q133*2^3+R133*2^2+S133*2^1+T133*2^0</f>
        <v>129</v>
      </c>
      <c r="E133" s="398">
        <v>0</v>
      </c>
      <c r="F133" s="460">
        <v>0</v>
      </c>
      <c r="G133" s="398">
        <v>0</v>
      </c>
      <c r="H133" s="398">
        <v>0</v>
      </c>
      <c r="I133" s="398">
        <v>0</v>
      </c>
      <c r="J133" s="398">
        <v>0</v>
      </c>
      <c r="K133" s="398">
        <v>0</v>
      </c>
      <c r="L133" s="398">
        <v>0</v>
      </c>
      <c r="M133" s="459">
        <f>IF(C60="LP",0,1)</f>
        <v>1</v>
      </c>
      <c r="N133" s="398">
        <v>0</v>
      </c>
      <c r="O133" s="398">
        <v>0</v>
      </c>
      <c r="P133" s="398">
        <v>0</v>
      </c>
      <c r="Q133" s="398">
        <v>0</v>
      </c>
      <c r="R133" s="398">
        <v>0</v>
      </c>
      <c r="S133" s="398">
        <v>0</v>
      </c>
      <c r="T133" s="459">
        <f>IF(D45="SyncEvent",1,0)</f>
        <v>1</v>
      </c>
      <c r="U133" s="398"/>
    </row>
    <row r="134" spans="2:21" hidden="1">
      <c r="B134" s="508" t="s">
        <v>965</v>
      </c>
      <c r="C134" s="458" t="str">
        <f t="shared" si="9"/>
        <v>000000A3</v>
      </c>
      <c r="D134" s="459">
        <f>D62</f>
        <v>163</v>
      </c>
      <c r="E134" s="398"/>
      <c r="F134" s="398"/>
      <c r="G134" s="398"/>
      <c r="H134" s="398"/>
      <c r="I134" s="398"/>
      <c r="J134" s="398"/>
      <c r="K134" s="398"/>
      <c r="L134" s="398"/>
      <c r="M134" s="398"/>
      <c r="N134" s="398"/>
      <c r="O134" s="398"/>
      <c r="P134" s="398"/>
      <c r="Q134" s="398"/>
      <c r="R134" s="398"/>
      <c r="S134" s="398"/>
      <c r="T134" s="398"/>
      <c r="U134" s="398"/>
    </row>
    <row r="135" spans="2:21" hidden="1">
      <c r="B135" s="508" t="s">
        <v>966</v>
      </c>
      <c r="C135" s="458" t="str">
        <f t="shared" si="9"/>
        <v>00000104</v>
      </c>
      <c r="D135" s="459">
        <f>E62</f>
        <v>260</v>
      </c>
      <c r="E135" s="398"/>
      <c r="F135" s="398"/>
      <c r="G135" s="398"/>
      <c r="H135" s="398"/>
      <c r="I135" s="398"/>
      <c r="J135" s="398"/>
      <c r="K135" s="398"/>
      <c r="L135" s="398"/>
      <c r="M135" s="398"/>
      <c r="N135" s="398"/>
      <c r="O135" s="398"/>
      <c r="P135" s="398"/>
      <c r="Q135" s="398"/>
      <c r="R135" s="398"/>
      <c r="S135" s="398"/>
      <c r="T135" s="398"/>
      <c r="U135" s="398"/>
    </row>
    <row r="136" spans="2:21" hidden="1">
      <c r="B136" s="475"/>
      <c r="C136" s="476"/>
      <c r="D136" s="398"/>
      <c r="E136" s="398"/>
      <c r="F136" s="398"/>
      <c r="G136" s="398"/>
      <c r="H136" s="398"/>
      <c r="I136" s="398"/>
      <c r="J136" s="398"/>
      <c r="K136" s="398"/>
      <c r="L136" s="398"/>
      <c r="M136" s="398"/>
      <c r="N136" s="398"/>
      <c r="O136" s="398"/>
      <c r="P136" s="398"/>
      <c r="Q136" s="398"/>
      <c r="R136" s="398"/>
      <c r="S136" s="398"/>
      <c r="T136" s="398"/>
      <c r="U136" s="398"/>
    </row>
    <row r="137" spans="2:21" hidden="1">
      <c r="B137" s="508" t="s">
        <v>967</v>
      </c>
      <c r="C137" s="458" t="str">
        <f t="shared" ref="C137:C143" si="10">DEC2HEX(D137,8)</f>
        <v>00000006</v>
      </c>
      <c r="D137" s="459">
        <f>C87</f>
        <v>6</v>
      </c>
      <c r="E137" s="398"/>
      <c r="F137" s="398"/>
      <c r="G137" s="398"/>
      <c r="H137" s="398"/>
      <c r="I137" s="398"/>
      <c r="J137" s="398"/>
      <c r="K137" s="398"/>
      <c r="L137" s="398"/>
      <c r="M137" s="398"/>
      <c r="N137" s="398"/>
      <c r="O137" s="398"/>
      <c r="P137" s="398"/>
      <c r="Q137" s="398"/>
      <c r="R137" s="398"/>
      <c r="S137" s="398"/>
      <c r="T137" s="398"/>
      <c r="U137" s="398"/>
    </row>
    <row r="138" spans="2:21" hidden="1">
      <c r="B138" s="508" t="s">
        <v>968</v>
      </c>
      <c r="C138" s="458" t="str">
        <f t="shared" si="10"/>
        <v>00240204</v>
      </c>
      <c r="D138" s="459">
        <f>C91*2^16+C93*2^8+C89</f>
        <v>2359812</v>
      </c>
      <c r="E138" s="398"/>
      <c r="F138" s="398"/>
      <c r="G138" s="398"/>
      <c r="H138" s="398"/>
      <c r="I138" s="398"/>
      <c r="J138" s="398"/>
      <c r="K138" s="398"/>
      <c r="L138" s="398"/>
      <c r="M138" s="398"/>
      <c r="N138" s="398"/>
      <c r="O138" s="398"/>
      <c r="P138" s="398"/>
      <c r="Q138" s="398"/>
      <c r="R138" s="398"/>
      <c r="S138" s="398"/>
      <c r="T138" s="398"/>
      <c r="U138" s="398"/>
    </row>
    <row r="139" spans="2:21" hidden="1">
      <c r="B139" s="508" t="s">
        <v>969</v>
      </c>
      <c r="C139" s="458" t="str">
        <f t="shared" si="10"/>
        <v>000D0008</v>
      </c>
      <c r="D139" s="459">
        <f>C97*2^16+C95</f>
        <v>851976</v>
      </c>
      <c r="E139" s="398"/>
      <c r="F139" s="398"/>
      <c r="G139" s="398"/>
      <c r="H139" s="398"/>
      <c r="I139" s="398"/>
      <c r="J139" s="398"/>
      <c r="K139" s="398"/>
      <c r="L139" s="398"/>
      <c r="M139" s="398"/>
      <c r="N139" s="398"/>
      <c r="O139" s="398"/>
      <c r="P139" s="398"/>
      <c r="Q139" s="398"/>
      <c r="R139" s="398"/>
      <c r="S139" s="398"/>
      <c r="T139" s="398"/>
      <c r="U139" s="398"/>
    </row>
    <row r="140" spans="2:21" hidden="1">
      <c r="B140" s="508" t="s">
        <v>970</v>
      </c>
      <c r="C140" s="458" t="str">
        <f t="shared" si="10"/>
        <v>00140006</v>
      </c>
      <c r="D140" s="459">
        <f>C101*2^16+C99</f>
        <v>1310726</v>
      </c>
      <c r="E140" s="398"/>
      <c r="F140" s="398"/>
      <c r="G140" s="398"/>
      <c r="H140" s="398"/>
      <c r="I140" s="398"/>
      <c r="J140" s="398"/>
      <c r="K140" s="398"/>
      <c r="L140" s="398"/>
      <c r="M140" s="398"/>
      <c r="N140" s="398"/>
      <c r="O140" s="398"/>
      <c r="P140" s="398"/>
      <c r="Q140" s="398"/>
      <c r="R140" s="398"/>
      <c r="S140" s="398"/>
      <c r="T140" s="398"/>
      <c r="U140" s="398"/>
    </row>
    <row r="141" spans="2:21" hidden="1">
      <c r="B141" s="508" t="s">
        <v>971</v>
      </c>
      <c r="C141" s="458" t="str">
        <f t="shared" si="10"/>
        <v>00004268</v>
      </c>
      <c r="D141" s="459">
        <f>C103</f>
        <v>17000</v>
      </c>
      <c r="E141" s="398"/>
      <c r="F141" s="398"/>
      <c r="G141" s="398"/>
      <c r="H141" s="398"/>
      <c r="I141" s="398"/>
      <c r="J141" s="398"/>
      <c r="K141" s="398"/>
      <c r="L141" s="398"/>
      <c r="M141" s="398"/>
      <c r="N141" s="398"/>
      <c r="O141" s="398"/>
      <c r="P141" s="398"/>
      <c r="Q141" s="398"/>
      <c r="R141" s="398"/>
      <c r="S141" s="398"/>
      <c r="T141" s="398"/>
      <c r="U141" s="398"/>
    </row>
    <row r="142" spans="2:21" hidden="1">
      <c r="B142" s="508" t="s">
        <v>972</v>
      </c>
      <c r="C142" s="458" t="str">
        <f t="shared" si="10"/>
        <v>0000000F</v>
      </c>
      <c r="D142" s="459">
        <f>C105</f>
        <v>15</v>
      </c>
      <c r="E142" s="398"/>
      <c r="F142" s="398"/>
      <c r="G142" s="398"/>
      <c r="H142" s="398"/>
      <c r="I142" s="398"/>
      <c r="J142" s="398"/>
      <c r="K142" s="398"/>
      <c r="L142" s="398"/>
      <c r="M142" s="398"/>
      <c r="N142" s="398"/>
      <c r="O142" s="398"/>
      <c r="P142" s="398"/>
      <c r="Q142" s="398"/>
      <c r="R142" s="398"/>
      <c r="S142" s="398"/>
      <c r="T142" s="398"/>
      <c r="U142" s="398"/>
    </row>
    <row r="143" spans="2:21" hidden="1">
      <c r="B143" s="508" t="s">
        <v>973</v>
      </c>
      <c r="C143" s="458" t="str">
        <f t="shared" si="10"/>
        <v>000D0008</v>
      </c>
      <c r="D143" s="459">
        <f>C109*2^16+C107</f>
        <v>851976</v>
      </c>
      <c r="E143" s="398"/>
      <c r="F143" s="398"/>
      <c r="G143" s="398"/>
      <c r="H143" s="398"/>
      <c r="I143" s="398"/>
      <c r="J143" s="398"/>
      <c r="K143" s="398"/>
      <c r="L143" s="398"/>
      <c r="M143" s="398"/>
      <c r="N143" s="398"/>
      <c r="O143" s="398"/>
      <c r="P143" s="398"/>
      <c r="Q143" s="398"/>
      <c r="R143" s="398"/>
      <c r="S143" s="398"/>
      <c r="T143" s="398"/>
      <c r="U143" s="398"/>
    </row>
    <row r="144" spans="2:21" hidden="1">
      <c r="B144"/>
      <c r="C144"/>
      <c r="D144" s="398"/>
      <c r="E144" s="398"/>
      <c r="F144" s="398"/>
      <c r="G144" s="398"/>
      <c r="H144" s="398"/>
      <c r="I144" s="398"/>
      <c r="J144" s="398"/>
      <c r="K144" s="398"/>
      <c r="L144" s="398"/>
      <c r="M144" s="398"/>
      <c r="N144" s="398"/>
      <c r="O144" s="398"/>
      <c r="P144" s="398"/>
      <c r="Q144" s="398"/>
      <c r="R144" s="398"/>
      <c r="S144" s="398"/>
      <c r="T144" s="398"/>
      <c r="U144" s="398"/>
    </row>
    <row r="145" spans="2:21" hidden="1">
      <c r="B145" s="508" t="s">
        <v>974</v>
      </c>
      <c r="C145" s="458" t="str">
        <f t="shared" ref="C145:C149" si="11">DEC2HEX(D145,8)</f>
        <v>0000001F</v>
      </c>
      <c r="D145" s="459">
        <f>IF(C78=1,3,IF(C78=2,7,IF(C78=3,15,31)))</f>
        <v>31</v>
      </c>
      <c r="E145" s="398"/>
      <c r="F145" s="398"/>
      <c r="G145" s="398"/>
      <c r="H145" s="398"/>
      <c r="I145" s="398"/>
      <c r="J145" s="398"/>
      <c r="K145" s="398"/>
      <c r="L145" s="398"/>
      <c r="M145" s="398"/>
      <c r="N145" s="398"/>
      <c r="O145" s="398"/>
      <c r="P145" s="398"/>
      <c r="Q145" s="398"/>
      <c r="R145" s="398"/>
      <c r="S145" s="398"/>
      <c r="T145" s="398"/>
      <c r="U145" s="398"/>
    </row>
    <row r="146" spans="2:21" hidden="1">
      <c r="B146" s="508" t="s">
        <v>975</v>
      </c>
      <c r="C146" s="458" t="str">
        <f t="shared" si="11"/>
        <v>00060005</v>
      </c>
      <c r="D146" s="459">
        <f>C113*2^16+C111</f>
        <v>393221</v>
      </c>
      <c r="E146" s="398"/>
      <c r="F146" s="398"/>
      <c r="G146" s="398"/>
      <c r="H146" s="398"/>
      <c r="I146" s="398"/>
      <c r="J146" s="398"/>
      <c r="K146" s="398"/>
      <c r="L146" s="398"/>
      <c r="M146" s="398"/>
      <c r="N146" s="398"/>
      <c r="O146" s="398"/>
      <c r="P146" s="398"/>
      <c r="Q146" s="398"/>
      <c r="R146" s="398"/>
      <c r="S146" s="398"/>
      <c r="T146" s="398"/>
      <c r="U146" s="398"/>
    </row>
    <row r="147" spans="2:21" hidden="1">
      <c r="B147" s="475"/>
      <c r="C147" s="476"/>
      <c r="D147" s="398"/>
      <c r="E147" s="398"/>
      <c r="F147" s="398"/>
      <c r="G147" s="398"/>
      <c r="H147" s="398"/>
      <c r="I147" s="398"/>
      <c r="J147" s="398"/>
      <c r="K147" s="398"/>
      <c r="L147" s="398"/>
      <c r="M147" s="398"/>
      <c r="N147" s="398"/>
      <c r="O147" s="398"/>
      <c r="P147" s="398"/>
      <c r="Q147" s="398"/>
      <c r="R147" s="398"/>
      <c r="S147" s="398"/>
      <c r="T147" s="398"/>
      <c r="U147" s="398"/>
    </row>
    <row r="148" spans="2:21" hidden="1">
      <c r="D148" s="398"/>
      <c r="E148" s="398"/>
      <c r="F148" s="398"/>
      <c r="G148" s="398"/>
      <c r="H148" s="398"/>
      <c r="I148" s="398"/>
      <c r="J148" s="398"/>
      <c r="K148" s="398"/>
      <c r="L148" s="398"/>
      <c r="M148" s="398"/>
      <c r="N148" s="398"/>
      <c r="O148" s="398"/>
      <c r="P148" s="398"/>
      <c r="Q148" s="398"/>
      <c r="R148" s="398"/>
      <c r="S148" s="398"/>
      <c r="T148" s="398"/>
      <c r="U148" s="398"/>
    </row>
    <row r="149" spans="2:21" hidden="1">
      <c r="B149" s="508" t="s">
        <v>976</v>
      </c>
      <c r="C149" s="458" t="str">
        <f t="shared" si="11"/>
        <v>000090CF</v>
      </c>
      <c r="D149" s="459">
        <f>V76*2^12+U76*2^10+W76</f>
        <v>37071</v>
      </c>
      <c r="E149" s="398"/>
      <c r="F149" s="398"/>
      <c r="G149" s="398"/>
      <c r="H149" s="398"/>
      <c r="I149" s="398"/>
      <c r="J149" s="398"/>
      <c r="K149" s="398"/>
      <c r="L149" s="398"/>
      <c r="M149" s="398"/>
      <c r="N149" s="398"/>
      <c r="O149" s="398"/>
      <c r="P149" s="398"/>
      <c r="Q149" s="398"/>
      <c r="R149" s="398"/>
      <c r="S149" s="398"/>
      <c r="T149" s="398"/>
      <c r="U149" s="398"/>
    </row>
    <row r="150" spans="2:21" hidden="1">
      <c r="B150"/>
      <c r="C150"/>
      <c r="D150" s="398"/>
      <c r="E150" s="398"/>
      <c r="F150" s="398"/>
      <c r="G150" s="398"/>
      <c r="H150" s="398"/>
      <c r="I150" s="398"/>
      <c r="J150" s="398"/>
      <c r="K150" s="398"/>
      <c r="L150" s="398"/>
      <c r="M150" s="398"/>
      <c r="N150" s="398"/>
      <c r="O150" s="398"/>
      <c r="P150" s="398"/>
      <c r="Q150" s="398"/>
      <c r="R150" s="398"/>
      <c r="S150" s="398"/>
      <c r="T150" s="398"/>
      <c r="U150" s="398"/>
    </row>
    <row r="151" spans="2:21" hidden="1">
      <c r="B151" s="508" t="s">
        <v>977</v>
      </c>
      <c r="C151" s="458" t="str">
        <f t="shared" ref="C151:C153" si="12">DEC2HEX(D151,8)</f>
        <v>00000006</v>
      </c>
      <c r="D151" s="459">
        <f>0*2^4+0*2^3+1*2^2+1*2^1+0*2^0</f>
        <v>6</v>
      </c>
      <c r="E151" s="398"/>
      <c r="F151" s="398"/>
      <c r="G151" s="398"/>
      <c r="H151" s="398"/>
      <c r="I151" s="398"/>
      <c r="J151" s="398"/>
      <c r="K151" s="398"/>
      <c r="L151" s="398"/>
      <c r="M151" s="398"/>
      <c r="N151" s="398"/>
      <c r="O151" s="398"/>
      <c r="P151" s="398"/>
      <c r="Q151" s="398"/>
      <c r="R151" s="398"/>
      <c r="S151" s="398"/>
      <c r="T151" s="398"/>
      <c r="U151" s="398"/>
    </row>
    <row r="152" spans="2:21" hidden="1">
      <c r="B152" s="508" t="s">
        <v>978</v>
      </c>
      <c r="C152" s="458" t="str">
        <f t="shared" si="12"/>
        <v>00000014</v>
      </c>
      <c r="D152" s="459">
        <f>1*2^4+Q78</f>
        <v>20</v>
      </c>
      <c r="E152" s="398"/>
      <c r="F152" s="460"/>
      <c r="G152" s="398"/>
      <c r="H152" s="398"/>
      <c r="I152" s="398"/>
      <c r="J152" s="398"/>
      <c r="K152" s="398"/>
      <c r="L152" s="398"/>
      <c r="M152" s="398"/>
      <c r="N152" s="398"/>
      <c r="O152" s="398"/>
      <c r="P152" s="398"/>
      <c r="Q152" s="398"/>
      <c r="R152" s="398"/>
      <c r="S152" s="398"/>
      <c r="T152" s="398"/>
      <c r="U152" s="398"/>
    </row>
    <row r="153" spans="2:21" hidden="1">
      <c r="B153" s="508" t="s">
        <v>979</v>
      </c>
      <c r="C153" s="458" t="str">
        <f t="shared" si="12"/>
        <v>00001770</v>
      </c>
      <c r="D153" s="459">
        <f>IF(O58="Same as TX0",C85,O85)</f>
        <v>6000</v>
      </c>
      <c r="E153" s="398"/>
      <c r="F153" s="460"/>
      <c r="G153" s="398"/>
      <c r="H153" s="398"/>
      <c r="I153" s="398"/>
      <c r="J153" s="398"/>
      <c r="K153" s="398"/>
      <c r="L153" s="398"/>
      <c r="M153" s="398"/>
      <c r="N153" s="398"/>
      <c r="O153" s="398"/>
      <c r="P153" s="398"/>
      <c r="Q153" s="398"/>
      <c r="R153" s="398"/>
      <c r="S153" s="398"/>
      <c r="T153" s="398"/>
      <c r="U153" s="398"/>
    </row>
    <row r="154" spans="2:21" hidden="1">
      <c r="B154"/>
      <c r="C154"/>
      <c r="D154" s="398"/>
      <c r="E154" s="398"/>
      <c r="F154" s="460"/>
      <c r="G154" s="398"/>
      <c r="H154" s="398"/>
      <c r="I154" s="398"/>
      <c r="J154" s="398"/>
      <c r="K154" s="398"/>
      <c r="L154" s="398"/>
      <c r="M154" s="398"/>
      <c r="N154" s="398"/>
      <c r="O154" s="398"/>
      <c r="P154" s="398"/>
      <c r="Q154" s="398"/>
      <c r="R154" s="398"/>
      <c r="S154" s="398"/>
      <c r="T154" s="398"/>
      <c r="U154" s="398"/>
    </row>
    <row r="155" spans="2:21" hidden="1">
      <c r="B155" s="508" t="s">
        <v>980</v>
      </c>
      <c r="C155" s="458" t="str">
        <f t="shared" ref="C155:C160" si="13">DEC2HEX(D155,8)</f>
        <v>0000040D</v>
      </c>
      <c r="D155" s="459">
        <f>ROUND((D20+E20+F20+G20/2)*O82/C20,0)</f>
        <v>1037</v>
      </c>
      <c r="E155" s="398"/>
      <c r="F155" s="460"/>
      <c r="G155" s="398"/>
      <c r="H155" s="398"/>
      <c r="I155" s="398"/>
      <c r="J155" s="398"/>
      <c r="K155" s="398"/>
      <c r="L155" s="398"/>
      <c r="M155" s="398"/>
      <c r="N155" s="398"/>
      <c r="O155" s="398"/>
      <c r="P155" s="398"/>
      <c r="Q155" s="398"/>
      <c r="R155" s="398"/>
      <c r="S155" s="398"/>
      <c r="T155" s="398"/>
      <c r="U155" s="398"/>
    </row>
    <row r="156" spans="2:21" hidden="1">
      <c r="B156" s="508" t="s">
        <v>981</v>
      </c>
      <c r="C156" s="458" t="str">
        <f t="shared" si="13"/>
        <v>000003F5</v>
      </c>
      <c r="D156" s="459">
        <f>ROUND(((D20+E20+F20+20)*O82/C20),0)</f>
        <v>1013</v>
      </c>
      <c r="E156" s="398"/>
      <c r="F156" s="460"/>
      <c r="G156" s="398"/>
      <c r="H156" s="398"/>
      <c r="I156" s="398"/>
      <c r="J156" s="398"/>
      <c r="K156" s="398"/>
      <c r="L156" s="398"/>
      <c r="M156" s="398"/>
      <c r="N156" s="398"/>
      <c r="O156" s="398"/>
      <c r="P156" s="398"/>
      <c r="Q156" s="398"/>
      <c r="R156" s="398"/>
      <c r="S156" s="398"/>
      <c r="T156" s="398"/>
      <c r="U156" s="398"/>
    </row>
    <row r="157" spans="2:21" hidden="1">
      <c r="B157" s="508" t="s">
        <v>982</v>
      </c>
      <c r="C157" s="458" t="str">
        <f t="shared" si="13"/>
        <v>00000410</v>
      </c>
      <c r="D157" s="459">
        <f>ROUND((($D$20+$E$20+$F$20+20)*$C$82/$C$24),0)</f>
        <v>1040</v>
      </c>
      <c r="E157" s="398"/>
      <c r="F157" s="460"/>
      <c r="G157" s="398"/>
      <c r="H157" s="398"/>
      <c r="I157" s="398"/>
      <c r="J157" s="398"/>
      <c r="K157" s="398"/>
      <c r="L157" s="398"/>
      <c r="M157" s="398"/>
      <c r="N157" s="398"/>
      <c r="O157" s="398"/>
      <c r="P157" s="398"/>
      <c r="Q157" s="398"/>
      <c r="R157" s="398"/>
      <c r="S157" s="398"/>
      <c r="T157" s="398"/>
      <c r="U157" s="398"/>
    </row>
    <row r="158" spans="2:21" hidden="1">
      <c r="B158" s="508" t="s">
        <v>983</v>
      </c>
      <c r="C158" s="458" t="str">
        <f t="shared" si="13"/>
        <v>00000081</v>
      </c>
      <c r="D158" s="459">
        <f>E158*2^15+F158*2^14+G158*2^13+H158*2^12+I158*2^11+J158*2^10+K158*2^9+L158*2^8+M158*2^7+N158*2^6+O158*2^5+P158*2^4+Q158*2^3+R158*2^2+S158*2^1+T158*2^0</f>
        <v>129</v>
      </c>
      <c r="E158" s="398">
        <v>0</v>
      </c>
      <c r="F158" s="460">
        <v>0</v>
      </c>
      <c r="G158" s="398">
        <v>0</v>
      </c>
      <c r="H158" s="398">
        <v>0</v>
      </c>
      <c r="I158" s="398">
        <v>0</v>
      </c>
      <c r="J158" s="398">
        <v>0</v>
      </c>
      <c r="K158" s="398">
        <v>0</v>
      </c>
      <c r="L158" s="398">
        <v>0</v>
      </c>
      <c r="M158" s="459">
        <f>IF(O60="LP",0,1)</f>
        <v>1</v>
      </c>
      <c r="N158" s="398">
        <v>0</v>
      </c>
      <c r="O158" s="398">
        <v>0</v>
      </c>
      <c r="P158" s="398">
        <v>0</v>
      </c>
      <c r="Q158" s="398">
        <v>0</v>
      </c>
      <c r="R158" s="398">
        <v>0</v>
      </c>
      <c r="S158" s="398">
        <v>0</v>
      </c>
      <c r="T158" s="459">
        <f>IF(D45="SyncEvent",1,0)</f>
        <v>1</v>
      </c>
      <c r="U158" s="398"/>
    </row>
    <row r="159" spans="2:21" hidden="1">
      <c r="B159" s="508" t="s">
        <v>984</v>
      </c>
      <c r="C159" s="458" t="str">
        <f t="shared" si="13"/>
        <v>00000001</v>
      </c>
      <c r="D159" s="459">
        <f>P62</f>
        <v>1</v>
      </c>
      <c r="E159" s="398"/>
      <c r="F159" s="398"/>
      <c r="G159" s="398"/>
      <c r="H159" s="398"/>
      <c r="I159" s="398"/>
      <c r="J159" s="398"/>
      <c r="K159" s="398"/>
      <c r="L159" s="398"/>
      <c r="M159" s="398"/>
      <c r="N159" s="398"/>
      <c r="O159" s="398"/>
      <c r="P159" s="398"/>
      <c r="Q159" s="398"/>
      <c r="R159" s="398"/>
      <c r="S159" s="398"/>
      <c r="T159" s="398"/>
      <c r="U159" s="398"/>
    </row>
    <row r="160" spans="2:21" hidden="1">
      <c r="B160" s="508" t="s">
        <v>985</v>
      </c>
      <c r="C160" s="458" t="str">
        <f t="shared" si="13"/>
        <v>00000104</v>
      </c>
      <c r="D160" s="459">
        <f>Q62</f>
        <v>260</v>
      </c>
      <c r="E160" s="398"/>
      <c r="F160" s="398"/>
      <c r="G160" s="398"/>
      <c r="H160" s="398"/>
      <c r="I160" s="398"/>
      <c r="J160" s="398"/>
      <c r="K160" s="398"/>
      <c r="L160" s="398"/>
      <c r="M160" s="398"/>
      <c r="N160" s="398"/>
      <c r="O160" s="398"/>
      <c r="P160" s="398"/>
      <c r="Q160" s="398"/>
      <c r="R160" s="398"/>
      <c r="S160" s="398"/>
      <c r="T160" s="398"/>
      <c r="U160" s="398"/>
    </row>
    <row r="161" spans="2:21" hidden="1">
      <c r="D161" s="398"/>
      <c r="E161" s="398"/>
      <c r="F161" s="398"/>
      <c r="G161" s="398"/>
      <c r="H161" s="398"/>
      <c r="I161" s="398"/>
      <c r="J161" s="398"/>
      <c r="K161" s="398"/>
      <c r="L161" s="398"/>
      <c r="M161" s="398"/>
      <c r="N161" s="398"/>
      <c r="O161" s="398"/>
      <c r="P161" s="398"/>
      <c r="Q161" s="398"/>
      <c r="R161" s="398"/>
      <c r="S161" s="398"/>
      <c r="T161" s="398"/>
      <c r="U161" s="398"/>
    </row>
    <row r="162" spans="2:21" hidden="1">
      <c r="B162" s="508" t="s">
        <v>986</v>
      </c>
      <c r="C162" s="458" t="str">
        <f t="shared" ref="C162:C171" si="14">DEC2HEX(D162,8)</f>
        <v>00000006</v>
      </c>
      <c r="D162" s="459">
        <f>IF(O58="Same as TX0",C87,O87)</f>
        <v>6</v>
      </c>
      <c r="E162" s="398"/>
      <c r="F162" s="398"/>
      <c r="G162" s="398"/>
      <c r="H162" s="398"/>
      <c r="I162" s="398"/>
      <c r="J162" s="398"/>
      <c r="K162" s="398"/>
      <c r="L162" s="398"/>
      <c r="M162" s="398"/>
      <c r="N162" s="398"/>
      <c r="O162" s="398"/>
      <c r="P162" s="398"/>
      <c r="Q162" s="398"/>
      <c r="R162" s="398"/>
      <c r="S162" s="398"/>
      <c r="T162" s="398"/>
      <c r="U162" s="398"/>
    </row>
    <row r="163" spans="2:21" hidden="1">
      <c r="B163" s="508" t="s">
        <v>987</v>
      </c>
      <c r="C163" s="458" t="str">
        <f t="shared" si="14"/>
        <v>00240204</v>
      </c>
      <c r="D163" s="459">
        <f>IF(O58="Same as TX0",C91*2^16+C93*2^8+C89,O91*2^16+O93*2^8+O89)</f>
        <v>2359812</v>
      </c>
      <c r="E163" s="398"/>
      <c r="F163" s="398"/>
      <c r="G163" s="398"/>
      <c r="H163" s="398"/>
      <c r="I163" s="398"/>
      <c r="J163" s="398"/>
      <c r="K163" s="398"/>
      <c r="L163" s="398"/>
      <c r="M163" s="398"/>
      <c r="N163" s="398"/>
      <c r="O163" s="398"/>
      <c r="P163" s="398"/>
      <c r="Q163" s="398"/>
      <c r="R163" s="398"/>
      <c r="S163" s="398"/>
      <c r="T163" s="398"/>
      <c r="U163" s="398"/>
    </row>
    <row r="164" spans="2:21" hidden="1">
      <c r="B164" s="508" t="s">
        <v>988</v>
      </c>
      <c r="C164" s="458" t="str">
        <f t="shared" si="14"/>
        <v>000D0008</v>
      </c>
      <c r="D164" s="459">
        <f>IF(O58="Same as TX0",C97*2^16+C95,O97*2^16+O95)</f>
        <v>851976</v>
      </c>
      <c r="E164" s="398"/>
      <c r="F164" s="398"/>
      <c r="G164" s="398"/>
      <c r="H164" s="398"/>
      <c r="I164" s="398"/>
      <c r="J164" s="398"/>
      <c r="K164" s="398"/>
      <c r="L164" s="398"/>
      <c r="M164" s="398"/>
      <c r="N164" s="398"/>
      <c r="O164" s="398"/>
      <c r="P164" s="398"/>
      <c r="Q164" s="398"/>
      <c r="R164" s="398"/>
      <c r="S164" s="398"/>
      <c r="T164" s="398"/>
    </row>
    <row r="165" spans="2:21" hidden="1">
      <c r="B165" s="508" t="s">
        <v>989</v>
      </c>
      <c r="C165" s="458" t="str">
        <f t="shared" si="14"/>
        <v>00140006</v>
      </c>
      <c r="D165" s="459">
        <f>IF(O58="Same as TX0",C101*2^16+C99,O101*2^16+O99)</f>
        <v>1310726</v>
      </c>
      <c r="E165" s="398"/>
      <c r="F165" s="398"/>
      <c r="G165" s="398"/>
      <c r="H165" s="398"/>
      <c r="I165" s="398"/>
      <c r="J165" s="398"/>
      <c r="K165" s="398"/>
      <c r="L165" s="398"/>
      <c r="M165" s="398"/>
      <c r="N165" s="398"/>
      <c r="O165" s="398"/>
      <c r="P165" s="398"/>
      <c r="Q165" s="398"/>
      <c r="R165" s="398"/>
      <c r="S165" s="398"/>
      <c r="T165" s="398"/>
    </row>
    <row r="166" spans="2:21" hidden="1">
      <c r="B166" s="508" t="s">
        <v>990</v>
      </c>
      <c r="C166" s="458" t="str">
        <f t="shared" si="14"/>
        <v>00004268</v>
      </c>
      <c r="D166" s="459">
        <f>IF(O58="Same as TX0",C103,O103)</f>
        <v>17000</v>
      </c>
      <c r="E166" s="398"/>
      <c r="F166" s="398"/>
      <c r="G166" s="398"/>
      <c r="H166" s="398"/>
      <c r="I166" s="398"/>
      <c r="J166" s="398"/>
      <c r="K166" s="398"/>
      <c r="L166" s="398"/>
      <c r="M166" s="398"/>
      <c r="N166" s="398"/>
      <c r="O166" s="398"/>
      <c r="P166" s="398"/>
      <c r="Q166" s="398"/>
      <c r="R166" s="398"/>
      <c r="S166" s="398"/>
      <c r="T166" s="398"/>
    </row>
    <row r="167" spans="2:21" hidden="1">
      <c r="B167" s="508" t="s">
        <v>991</v>
      </c>
      <c r="C167" s="458" t="str">
        <f t="shared" si="14"/>
        <v>0000000F</v>
      </c>
      <c r="D167" s="459">
        <f>IF(O58="Same as TX0",C105,O105)</f>
        <v>15</v>
      </c>
      <c r="E167" s="398"/>
      <c r="F167" s="398"/>
      <c r="G167" s="398"/>
      <c r="H167" s="398"/>
      <c r="I167" s="398"/>
      <c r="J167" s="398"/>
      <c r="K167" s="398"/>
      <c r="L167" s="398"/>
      <c r="M167" s="398"/>
      <c r="N167" s="398"/>
      <c r="O167" s="398"/>
      <c r="P167" s="398"/>
      <c r="Q167" s="398"/>
      <c r="R167" s="398"/>
      <c r="S167" s="398"/>
      <c r="T167" s="398"/>
    </row>
    <row r="168" spans="2:21" hidden="1">
      <c r="B168" s="508" t="s">
        <v>992</v>
      </c>
      <c r="C168" s="458" t="str">
        <f t="shared" si="14"/>
        <v>000D0008</v>
      </c>
      <c r="D168" s="459">
        <f>IF(O58="Same as TX0",C109*2^16+C107,O109*2^16+O107)</f>
        <v>851976</v>
      </c>
      <c r="E168" s="398"/>
      <c r="F168" s="398"/>
      <c r="G168" s="398"/>
      <c r="H168" s="398"/>
      <c r="I168" s="398"/>
      <c r="J168" s="398"/>
      <c r="K168" s="398"/>
      <c r="L168" s="398"/>
      <c r="M168" s="398"/>
      <c r="N168" s="398"/>
      <c r="O168" s="398"/>
      <c r="P168" s="398"/>
      <c r="Q168" s="398"/>
      <c r="R168" s="398"/>
      <c r="S168" s="398"/>
      <c r="T168" s="398"/>
    </row>
    <row r="169" spans="2:21" hidden="1">
      <c r="B169"/>
      <c r="C169"/>
      <c r="D169" s="398"/>
      <c r="E169" s="398"/>
      <c r="F169" s="398"/>
      <c r="G169" s="398"/>
      <c r="H169" s="398"/>
      <c r="I169" s="398"/>
      <c r="J169" s="398"/>
      <c r="K169" s="398"/>
      <c r="L169" s="398"/>
      <c r="M169" s="398"/>
      <c r="N169" s="398"/>
      <c r="O169" s="398"/>
      <c r="P169" s="398"/>
      <c r="Q169" s="398"/>
      <c r="R169" s="398"/>
      <c r="S169" s="398"/>
      <c r="T169" s="398"/>
    </row>
    <row r="170" spans="2:21" hidden="1">
      <c r="B170" s="508" t="s">
        <v>993</v>
      </c>
      <c r="C170" s="458" t="str">
        <f>DEC2HEX(D170,8)</f>
        <v>0000001F</v>
      </c>
      <c r="D170" s="459">
        <f>IF(L78=1,3,IF(L78=2,7,IF(L78=3,15,31)))</f>
        <v>31</v>
      </c>
      <c r="E170" s="398"/>
      <c r="F170" s="398"/>
      <c r="G170" s="398"/>
      <c r="H170" s="398"/>
      <c r="I170" s="398"/>
      <c r="J170" s="398"/>
      <c r="K170" s="398"/>
      <c r="L170" s="398"/>
      <c r="M170" s="398"/>
      <c r="N170" s="398"/>
      <c r="O170" s="398"/>
      <c r="P170" s="398"/>
      <c r="Q170" s="398"/>
      <c r="R170" s="398"/>
      <c r="S170" s="398"/>
      <c r="T170" s="398"/>
    </row>
    <row r="171" spans="2:21" hidden="1">
      <c r="B171" s="508" t="s">
        <v>994</v>
      </c>
      <c r="C171" s="458" t="str">
        <f t="shared" si="14"/>
        <v>00060005</v>
      </c>
      <c r="D171" s="459">
        <f>IF(O58="Same as TX0",C113*2^16+C111,O113*2^16+O111)</f>
        <v>393221</v>
      </c>
      <c r="E171" s="398"/>
      <c r="F171" s="398"/>
      <c r="G171" s="398"/>
      <c r="H171" s="398"/>
      <c r="I171" s="398"/>
      <c r="J171" s="398"/>
      <c r="K171" s="398"/>
      <c r="L171" s="398"/>
      <c r="M171" s="398"/>
      <c r="N171" s="398"/>
      <c r="O171" s="398"/>
      <c r="P171" s="398"/>
      <c r="Q171" s="398"/>
      <c r="R171" s="398"/>
      <c r="S171" s="398"/>
      <c r="T171" s="398"/>
    </row>
    <row r="172" spans="2:21" hidden="1">
      <c r="D172" s="398"/>
      <c r="E172" s="398"/>
      <c r="F172" s="398"/>
      <c r="G172" s="398"/>
      <c r="H172" s="398"/>
      <c r="I172" s="398"/>
      <c r="J172" s="398"/>
      <c r="K172" s="398"/>
      <c r="L172" s="398"/>
      <c r="M172" s="398"/>
      <c r="N172" s="398"/>
      <c r="O172" s="398"/>
      <c r="P172" s="398"/>
      <c r="Q172" s="398"/>
      <c r="R172" s="398"/>
      <c r="S172" s="398"/>
      <c r="T172" s="398"/>
    </row>
    <row r="173" spans="2:21" hidden="1">
      <c r="D173" s="398"/>
      <c r="E173" s="398"/>
      <c r="F173" s="398"/>
      <c r="G173" s="398"/>
      <c r="H173" s="398"/>
      <c r="I173" s="398"/>
      <c r="J173" s="398"/>
      <c r="K173" s="398"/>
      <c r="L173" s="398"/>
      <c r="M173" s="398"/>
      <c r="N173" s="398"/>
      <c r="O173" s="398"/>
      <c r="P173" s="398"/>
      <c r="Q173" s="398"/>
      <c r="R173" s="398"/>
      <c r="S173" s="398"/>
      <c r="T173" s="398"/>
    </row>
    <row r="174" spans="2:21" hidden="1">
      <c r="B174" s="508" t="s">
        <v>995</v>
      </c>
      <c r="C174" s="458" t="str">
        <f>IF(F40="Bypass","0100","0000")</f>
        <v>0100</v>
      </c>
      <c r="D174" s="398"/>
      <c r="E174" s="398"/>
      <c r="F174" s="398"/>
      <c r="G174" s="398"/>
      <c r="H174" s="398"/>
      <c r="I174" s="398"/>
      <c r="J174" s="398"/>
      <c r="K174" s="398"/>
      <c r="L174" s="398"/>
      <c r="M174" s="398"/>
      <c r="N174" s="398"/>
      <c r="O174" s="398"/>
      <c r="P174" s="398"/>
      <c r="Q174" s="398"/>
      <c r="R174" s="398"/>
      <c r="S174" s="398"/>
      <c r="T174" s="398"/>
    </row>
    <row r="175" spans="2:21" hidden="1">
      <c r="B175" s="457">
        <v>5002</v>
      </c>
      <c r="C175" s="458" t="str">
        <f>J43&amp;I43</f>
        <v>A010</v>
      </c>
      <c r="D175" s="398"/>
      <c r="E175" s="398"/>
      <c r="F175" s="398"/>
      <c r="G175" s="398"/>
      <c r="H175" s="398"/>
      <c r="I175" s="398"/>
      <c r="J175" s="398"/>
      <c r="K175" s="398"/>
      <c r="L175" s="398"/>
      <c r="M175" s="398"/>
      <c r="N175" s="398"/>
      <c r="O175" s="398"/>
      <c r="P175" s="398"/>
      <c r="Q175" s="398"/>
      <c r="R175" s="398"/>
      <c r="S175" s="398"/>
      <c r="T175" s="398"/>
    </row>
    <row r="176" spans="2:21" hidden="1">
      <c r="B176" s="508" t="s">
        <v>996</v>
      </c>
      <c r="C176" s="458" t="str">
        <f t="shared" ref="C176:C178" si="15">DEC2HEX(D176,4)</f>
        <v>0CA8</v>
      </c>
      <c r="D176" s="459">
        <f>F47*B46/8</f>
        <v>3240</v>
      </c>
      <c r="E176" s="398"/>
      <c r="F176" s="398"/>
      <c r="G176" s="398"/>
      <c r="H176" s="398"/>
      <c r="I176" s="398"/>
      <c r="J176" s="398"/>
      <c r="K176" s="398"/>
      <c r="L176" s="398"/>
      <c r="M176" s="398"/>
      <c r="N176" s="398"/>
      <c r="O176" s="398"/>
      <c r="P176" s="398"/>
      <c r="Q176" s="398"/>
      <c r="R176" s="398"/>
      <c r="S176" s="398"/>
      <c r="T176" s="398"/>
    </row>
    <row r="177" spans="2:20" hidden="1">
      <c r="B177" s="508" t="s">
        <v>997</v>
      </c>
      <c r="C177" s="458" t="str">
        <f t="shared" si="15"/>
        <v>0000</v>
      </c>
      <c r="D177" s="459">
        <f>E177*2^15+F177*2^14+G177*2^13+H177*2^12+I177*2^11+J177*2^10+K177*2^9+L177*2^8+M177*2^7+N177*2^6+O177*2^5+P177*2^4+Q177*2^3+R177*2^2+S177*2^1+T177*2^0</f>
        <v>0</v>
      </c>
      <c r="E177" s="459">
        <f>IF(C42&lt;&gt;"Half(Auto)",0,1)</f>
        <v>0</v>
      </c>
      <c r="F177" s="459">
        <f>IF(D42="DSI0",0,1)</f>
        <v>0</v>
      </c>
      <c r="G177" s="398">
        <v>0</v>
      </c>
      <c r="H177" s="398">
        <v>0</v>
      </c>
      <c r="I177" s="398">
        <v>0</v>
      </c>
      <c r="J177" s="398">
        <v>0</v>
      </c>
      <c r="K177" s="398">
        <v>0</v>
      </c>
      <c r="L177" s="398">
        <v>0</v>
      </c>
      <c r="M177" s="398">
        <v>0</v>
      </c>
      <c r="N177" s="398">
        <v>0</v>
      </c>
      <c r="O177" s="398">
        <v>0</v>
      </c>
      <c r="P177" s="398">
        <v>0</v>
      </c>
      <c r="Q177" s="398">
        <v>0</v>
      </c>
      <c r="R177" s="398">
        <v>0</v>
      </c>
      <c r="S177" s="398">
        <v>0</v>
      </c>
      <c r="T177" s="459">
        <f>IF($C$42="Half(Manual)",IF($D$42="DSI0",0,E47),E42-1)</f>
        <v>0</v>
      </c>
    </row>
    <row r="178" spans="2:20" hidden="1">
      <c r="B178" s="508" t="s">
        <v>998</v>
      </c>
      <c r="C178" s="458" t="str">
        <f t="shared" si="15"/>
        <v>021B</v>
      </c>
      <c r="D178" s="459">
        <f>IF($C$42="Half(Manual)",IF($D$42="DSI0",E47-1,F20-1),E45-1)</f>
        <v>539</v>
      </c>
      <c r="E178" s="398"/>
      <c r="F178" s="398"/>
      <c r="G178" s="398"/>
      <c r="H178" s="398"/>
      <c r="I178" s="398"/>
      <c r="J178" s="398"/>
      <c r="K178" s="398"/>
      <c r="L178" s="398"/>
      <c r="M178" s="398"/>
      <c r="N178" s="398"/>
      <c r="O178" s="398"/>
      <c r="P178" s="398"/>
      <c r="Q178" s="398"/>
      <c r="R178" s="398"/>
      <c r="S178" s="398"/>
      <c r="T178" s="398"/>
    </row>
    <row r="179" spans="2:20" hidden="1">
      <c r="B179" s="475"/>
      <c r="C179" s="476"/>
      <c r="D179" s="398"/>
      <c r="E179" s="398"/>
      <c r="F179" s="398"/>
      <c r="G179" s="398"/>
      <c r="H179" s="398"/>
      <c r="I179" s="398"/>
      <c r="J179" s="398"/>
      <c r="K179" s="398"/>
      <c r="L179" s="398"/>
      <c r="M179" s="398"/>
      <c r="N179" s="398"/>
      <c r="O179" s="398"/>
      <c r="P179" s="398"/>
      <c r="Q179" s="398"/>
      <c r="R179" s="398"/>
      <c r="S179" s="398"/>
      <c r="T179" s="398"/>
    </row>
    <row r="180" spans="2:20" hidden="1">
      <c r="D180" s="398"/>
      <c r="E180" s="398"/>
      <c r="F180" s="398"/>
      <c r="G180" s="398"/>
      <c r="H180" s="398"/>
      <c r="I180" s="398"/>
      <c r="J180" s="398"/>
      <c r="K180" s="398"/>
      <c r="L180" s="398"/>
      <c r="M180" s="398"/>
      <c r="N180" s="398"/>
      <c r="O180" s="398"/>
      <c r="P180" s="398"/>
      <c r="Q180" s="398"/>
      <c r="R180" s="398"/>
      <c r="S180" s="398"/>
      <c r="T180" s="398"/>
    </row>
    <row r="181" spans="2:20" hidden="1">
      <c r="B181" s="508" t="s">
        <v>999</v>
      </c>
      <c r="C181" s="458" t="str">
        <f>IF(H40="Bypass","0100","0000")</f>
        <v>0100</v>
      </c>
      <c r="D181" s="398"/>
      <c r="E181" s="398"/>
      <c r="F181" s="398"/>
      <c r="G181" s="398"/>
      <c r="H181" s="398"/>
      <c r="I181" s="398"/>
      <c r="J181" s="398"/>
      <c r="K181" s="398"/>
      <c r="L181" s="398"/>
      <c r="M181" s="398"/>
      <c r="N181" s="398"/>
      <c r="O181" s="398"/>
      <c r="P181" s="398"/>
      <c r="Q181" s="398"/>
      <c r="R181" s="398"/>
      <c r="S181" s="398"/>
      <c r="T181" s="398"/>
    </row>
    <row r="182" spans="2:20" hidden="1">
      <c r="B182" s="457">
        <v>5082</v>
      </c>
      <c r="C182" s="458" t="str">
        <f>J43&amp;I43</f>
        <v>A010</v>
      </c>
      <c r="D182" s="398"/>
      <c r="E182" s="398"/>
      <c r="F182" s="398"/>
      <c r="G182" s="398"/>
      <c r="H182" s="398"/>
      <c r="I182" s="398"/>
      <c r="J182" s="398"/>
      <c r="K182" s="398"/>
      <c r="L182" s="398"/>
      <c r="M182" s="398"/>
      <c r="N182" s="398"/>
      <c r="O182" s="398"/>
      <c r="P182" s="398"/>
      <c r="Q182" s="398"/>
      <c r="R182" s="398"/>
      <c r="S182" s="398"/>
      <c r="T182" s="398"/>
    </row>
    <row r="183" spans="2:20" hidden="1">
      <c r="B183" s="508" t="s">
        <v>1000</v>
      </c>
      <c r="C183" s="458" t="str">
        <f t="shared" ref="C183:C185" si="16">DEC2HEX(D183,4)</f>
        <v>0CA8</v>
      </c>
      <c r="D183" s="459">
        <f>H47*B46/8</f>
        <v>3240</v>
      </c>
      <c r="E183" s="398"/>
      <c r="F183" s="398"/>
      <c r="G183" s="398"/>
      <c r="H183" s="398"/>
      <c r="I183" s="398"/>
      <c r="J183" s="398"/>
      <c r="K183" s="398"/>
      <c r="L183" s="398"/>
      <c r="M183" s="398"/>
      <c r="N183" s="398"/>
      <c r="O183" s="398"/>
      <c r="P183" s="398"/>
      <c r="Q183" s="398"/>
      <c r="R183" s="398"/>
      <c r="S183" s="398"/>
      <c r="T183" s="398"/>
    </row>
    <row r="184" spans="2:20" hidden="1">
      <c r="B184" s="508" t="s">
        <v>1001</v>
      </c>
      <c r="C184" s="458" t="str">
        <f t="shared" si="16"/>
        <v>021C</v>
      </c>
      <c r="D184" s="459">
        <f>IF($C$42="Half(Manual)",IF($D$42="DSI0",E47,0),G42-1)</f>
        <v>540</v>
      </c>
      <c r="E184" s="398"/>
      <c r="F184" s="398"/>
      <c r="G184" s="398"/>
      <c r="H184" s="398"/>
      <c r="I184" s="398"/>
      <c r="J184" s="398"/>
      <c r="K184" s="398"/>
      <c r="L184" s="398"/>
      <c r="M184" s="398"/>
      <c r="N184" s="398"/>
      <c r="O184" s="398"/>
      <c r="P184" s="398"/>
      <c r="Q184" s="398"/>
      <c r="R184" s="398"/>
      <c r="S184" s="398"/>
      <c r="T184" s="398"/>
    </row>
    <row r="185" spans="2:20" hidden="1">
      <c r="B185" s="508" t="s">
        <v>1002</v>
      </c>
      <c r="C185" s="458" t="str">
        <f t="shared" si="16"/>
        <v>0437</v>
      </c>
      <c r="D185" s="459">
        <f>IF($C$42="Half(Manual)",IF($D$42="DSI0",F20-1,E47-1),G45-1)</f>
        <v>1079</v>
      </c>
      <c r="E185" s="398"/>
      <c r="F185" s="398"/>
      <c r="G185" s="398"/>
      <c r="H185" s="398"/>
      <c r="I185" s="398"/>
      <c r="J185" s="398"/>
      <c r="K185" s="398"/>
      <c r="L185" s="398"/>
      <c r="M185" s="398"/>
      <c r="N185" s="398"/>
      <c r="O185" s="398"/>
      <c r="P185" s="398"/>
      <c r="Q185" s="398"/>
      <c r="R185" s="398"/>
      <c r="S185" s="398"/>
      <c r="T185" s="398"/>
    </row>
    <row r="186" spans="2:20" hidden="1">
      <c r="D186" s="398"/>
      <c r="E186" s="398"/>
      <c r="F186" s="398"/>
      <c r="G186" s="398"/>
      <c r="H186" s="398"/>
      <c r="I186" s="398"/>
      <c r="J186" s="398"/>
      <c r="K186" s="398"/>
      <c r="L186" s="398"/>
      <c r="M186" s="398"/>
      <c r="N186" s="398"/>
      <c r="O186" s="398"/>
      <c r="P186" s="398"/>
      <c r="Q186" s="398"/>
      <c r="R186" s="398"/>
      <c r="S186" s="398"/>
      <c r="T186" s="398"/>
    </row>
    <row r="187" spans="2:20" hidden="1">
      <c r="D187" s="398"/>
      <c r="E187" s="398"/>
      <c r="F187" s="398"/>
      <c r="G187" s="398"/>
      <c r="H187" s="398"/>
      <c r="I187" s="398"/>
      <c r="J187" s="398"/>
      <c r="K187" s="398"/>
      <c r="L187" s="398"/>
      <c r="M187" s="398"/>
      <c r="N187" s="398"/>
      <c r="O187" s="398"/>
      <c r="P187" s="398"/>
      <c r="Q187" s="398"/>
      <c r="R187" s="398"/>
      <c r="S187" s="398"/>
      <c r="T187" s="398"/>
    </row>
    <row r="188" spans="2:20" hidden="1">
      <c r="B188" s="508" t="s">
        <v>1003</v>
      </c>
      <c r="C188" s="458" t="str">
        <f>IF(B53=0,"02",IF(B53=2,"00",IF(B53&lt;4,"01","00")))</f>
        <v>02</v>
      </c>
      <c r="D188" s="398"/>
      <c r="E188" s="398"/>
      <c r="F188" s="398"/>
      <c r="G188" s="398"/>
      <c r="H188" s="398"/>
      <c r="I188" s="398"/>
      <c r="J188" s="398"/>
      <c r="K188" s="398"/>
      <c r="L188" s="398"/>
      <c r="M188" s="398"/>
      <c r="N188" s="398"/>
      <c r="O188" s="398"/>
      <c r="P188" s="398"/>
      <c r="Q188" s="398"/>
      <c r="R188" s="398"/>
      <c r="S188" s="398"/>
      <c r="T188" s="398"/>
    </row>
    <row r="189" spans="2:20" hidden="1">
      <c r="B189" s="508" t="s">
        <v>1004</v>
      </c>
      <c r="C189" s="509" t="s">
        <v>1005</v>
      </c>
      <c r="D189" s="398"/>
      <c r="E189" s="398"/>
      <c r="F189" s="398"/>
      <c r="G189" s="398"/>
      <c r="H189" s="398"/>
      <c r="I189" s="398"/>
      <c r="J189" s="398"/>
      <c r="K189" s="398"/>
      <c r="L189" s="398"/>
      <c r="M189" s="398"/>
      <c r="N189" s="398"/>
      <c r="O189" s="398"/>
      <c r="P189" s="398"/>
      <c r="Q189" s="398"/>
      <c r="R189" s="398"/>
      <c r="S189" s="398"/>
      <c r="T189" s="398"/>
    </row>
    <row r="190" spans="2:20" hidden="1">
      <c r="B190"/>
      <c r="C190"/>
      <c r="D190" s="398"/>
      <c r="E190" s="398"/>
      <c r="F190" s="398"/>
      <c r="G190" s="398"/>
      <c r="H190" s="398"/>
      <c r="I190" s="398"/>
      <c r="J190" s="398"/>
      <c r="K190" s="398"/>
      <c r="L190" s="398"/>
      <c r="M190" s="398"/>
      <c r="N190" s="398"/>
      <c r="O190" s="398"/>
      <c r="P190" s="398"/>
      <c r="Q190" s="398"/>
      <c r="R190" s="398"/>
      <c r="S190" s="398"/>
      <c r="T190" s="398"/>
    </row>
    <row r="191" spans="2:20" hidden="1">
      <c r="B191" s="508" t="s">
        <v>1006</v>
      </c>
      <c r="C191" s="458" t="str">
        <f>IF(B53&lt;5,"31","11")</f>
        <v>31</v>
      </c>
      <c r="D191" s="398"/>
      <c r="E191" s="398"/>
      <c r="F191" s="398"/>
      <c r="G191" s="398"/>
      <c r="H191" s="398"/>
      <c r="I191" s="398"/>
      <c r="J191" s="398"/>
      <c r="K191" s="398"/>
      <c r="L191" s="398"/>
      <c r="M191" s="398"/>
      <c r="N191" s="398"/>
      <c r="O191" s="398"/>
      <c r="P191" s="398"/>
      <c r="Q191" s="398"/>
      <c r="R191" s="398"/>
      <c r="S191" s="398"/>
      <c r="T191" s="398"/>
    </row>
    <row r="192" spans="2:20" hidden="1">
      <c r="D192" s="398"/>
      <c r="E192" s="398"/>
      <c r="F192" s="398"/>
      <c r="G192" s="398"/>
      <c r="H192" s="398"/>
      <c r="I192" s="398"/>
      <c r="J192" s="398"/>
      <c r="K192" s="398"/>
      <c r="L192" s="398"/>
      <c r="M192" s="398"/>
      <c r="N192" s="398"/>
      <c r="O192" s="398"/>
      <c r="P192" s="398"/>
      <c r="Q192" s="398"/>
      <c r="R192" s="398"/>
      <c r="S192" s="398"/>
      <c r="T192" s="398"/>
    </row>
    <row r="193" spans="2:20" hidden="1">
      <c r="D193" s="398"/>
      <c r="E193" s="398"/>
      <c r="F193" s="398"/>
      <c r="G193" s="398"/>
      <c r="H193" s="398"/>
      <c r="I193" s="398"/>
      <c r="J193" s="398"/>
      <c r="K193" s="398"/>
      <c r="L193" s="398"/>
      <c r="M193" s="398"/>
      <c r="N193" s="398"/>
      <c r="O193" s="398"/>
      <c r="P193" s="398"/>
      <c r="Q193" s="398"/>
      <c r="R193" s="398"/>
      <c r="S193" s="398"/>
      <c r="T193" s="398"/>
    </row>
    <row r="194" spans="2:20" hidden="1">
      <c r="B194" s="508" t="s">
        <v>1007</v>
      </c>
      <c r="C194" s="458" t="str">
        <f t="shared" ref="C194:C197" si="17">DEC2HEX(D194,4)</f>
        <v>000D</v>
      </c>
      <c r="D194" s="459">
        <f>E194*2^15+F194*2^14+G194*2^13+H194*2^12+I194*2^11+J194*2^10+K194*2^9+L194*2^8+M194*2^7+N194*2^6+O194*2^5+P194*2^4+Q194*2^3+R194*2^2+S194*2^1+T194*2^0</f>
        <v>13</v>
      </c>
      <c r="E194" s="398">
        <v>0</v>
      </c>
      <c r="F194" s="398">
        <v>0</v>
      </c>
      <c r="G194" s="398">
        <v>0</v>
      </c>
      <c r="H194" s="398">
        <v>0</v>
      </c>
      <c r="I194" s="398">
        <v>0</v>
      </c>
      <c r="J194" s="398">
        <v>0</v>
      </c>
      <c r="K194" s="398">
        <v>0</v>
      </c>
      <c r="L194" s="398">
        <v>0</v>
      </c>
      <c r="M194" s="398">
        <v>0</v>
      </c>
      <c r="N194" s="398">
        <v>0</v>
      </c>
      <c r="O194" s="398">
        <v>0</v>
      </c>
      <c r="P194" s="398">
        <v>0</v>
      </c>
      <c r="Q194" s="398">
        <v>1</v>
      </c>
      <c r="R194" s="398">
        <v>0</v>
      </c>
      <c r="S194" s="459">
        <f>IF($D$29="Solid Color",1,IF($D$29="Bar",2,3))</f>
        <v>2</v>
      </c>
      <c r="T194" s="398">
        <v>1</v>
      </c>
    </row>
    <row r="195" spans="2:20" hidden="1">
      <c r="B195" s="508" t="s">
        <v>1008</v>
      </c>
      <c r="C195" s="458" t="str">
        <f t="shared" si="17"/>
        <v>FF00</v>
      </c>
      <c r="D195" s="459">
        <f>$G$29*2^8</f>
        <v>65280</v>
      </c>
      <c r="E195" s="398"/>
      <c r="F195" s="398"/>
      <c r="G195" s="398"/>
      <c r="H195" s="398"/>
      <c r="I195" s="398"/>
      <c r="J195" s="398"/>
      <c r="K195" s="398"/>
      <c r="L195" s="398"/>
      <c r="M195" s="398"/>
      <c r="N195" s="398"/>
      <c r="O195" s="398"/>
      <c r="P195" s="398"/>
      <c r="Q195" s="398"/>
      <c r="R195" s="398"/>
      <c r="S195" s="459"/>
      <c r="T195" s="398"/>
    </row>
    <row r="196" spans="2:20" hidden="1">
      <c r="B196" s="508" t="s">
        <v>1009</v>
      </c>
      <c r="C196" s="458" t="str">
        <f t="shared" si="17"/>
        <v>0000</v>
      </c>
      <c r="D196" s="459">
        <f>$F$29*2^8</f>
        <v>0</v>
      </c>
      <c r="E196" s="398"/>
      <c r="F196" s="398"/>
      <c r="G196" s="398"/>
      <c r="H196" s="398"/>
      <c r="I196" s="398"/>
      <c r="J196" s="398"/>
      <c r="K196" s="398"/>
      <c r="L196" s="398"/>
      <c r="M196" s="398"/>
      <c r="N196" s="398"/>
      <c r="O196" s="398"/>
      <c r="P196" s="398"/>
      <c r="Q196" s="398"/>
      <c r="R196" s="398"/>
      <c r="S196" s="459"/>
      <c r="T196" s="398"/>
    </row>
    <row r="197" spans="2:20" hidden="1">
      <c r="B197" s="508" t="s">
        <v>1010</v>
      </c>
      <c r="C197" s="458" t="str">
        <f t="shared" si="17"/>
        <v>0000</v>
      </c>
      <c r="D197" s="459">
        <f>$E$29*2^8</f>
        <v>0</v>
      </c>
      <c r="E197" s="398"/>
      <c r="F197" s="398"/>
      <c r="G197" s="398"/>
      <c r="H197" s="398"/>
      <c r="I197" s="398"/>
      <c r="J197" s="398"/>
      <c r="K197" s="398"/>
      <c r="L197" s="398"/>
      <c r="M197" s="398"/>
      <c r="N197" s="398"/>
      <c r="O197" s="398"/>
      <c r="P197" s="398"/>
      <c r="Q197" s="398"/>
      <c r="R197" s="398"/>
      <c r="S197" s="459"/>
      <c r="T197" s="398"/>
    </row>
    <row r="198" spans="2:20" hidden="1">
      <c r="B198" s="508" t="s">
        <v>1011</v>
      </c>
      <c r="C198" s="458" t="str">
        <f>DEC2HEX(D20,4)</f>
        <v>0032</v>
      </c>
      <c r="D198" s="398"/>
      <c r="E198" s="398"/>
      <c r="F198" s="398"/>
      <c r="G198" s="398"/>
      <c r="H198" s="398"/>
      <c r="I198" s="398"/>
      <c r="J198" s="398"/>
      <c r="K198" s="398"/>
      <c r="L198" s="398"/>
      <c r="M198" s="398"/>
      <c r="N198" s="398"/>
      <c r="O198" s="398"/>
      <c r="P198" s="398"/>
      <c r="Q198" s="398"/>
      <c r="R198" s="398"/>
      <c r="S198" s="398"/>
      <c r="T198" s="398"/>
    </row>
    <row r="199" spans="2:20" hidden="1">
      <c r="B199" s="508" t="s">
        <v>1012</v>
      </c>
      <c r="C199" s="458" t="str">
        <f>DEC2HEX(H20,4)</f>
        <v>0004</v>
      </c>
      <c r="D199" s="398"/>
      <c r="E199" s="398"/>
      <c r="F199" s="398"/>
      <c r="G199" s="398"/>
      <c r="H199" s="398"/>
      <c r="I199" s="398"/>
      <c r="J199" s="398"/>
      <c r="K199" s="398"/>
      <c r="L199" s="398"/>
      <c r="M199" s="398"/>
      <c r="N199" s="398"/>
      <c r="O199" s="398"/>
      <c r="P199" s="398"/>
      <c r="Q199" s="398"/>
      <c r="R199" s="398"/>
      <c r="S199" s="398"/>
      <c r="T199" s="398"/>
    </row>
    <row r="200" spans="2:20" hidden="1">
      <c r="B200" s="508" t="s">
        <v>1013</v>
      </c>
      <c r="C200" s="458" t="str">
        <f t="shared" ref="C200:C205" si="18">DEC2HEX(D200,4)</f>
        <v>0532</v>
      </c>
      <c r="D200" s="459">
        <f>D20+E20+F20+G20</f>
        <v>1330</v>
      </c>
      <c r="E200" s="398"/>
      <c r="F200" s="398"/>
      <c r="G200" s="398"/>
      <c r="H200" s="398"/>
      <c r="I200" s="398"/>
      <c r="J200" s="398"/>
      <c r="K200" s="398"/>
      <c r="L200" s="398"/>
      <c r="M200" s="398"/>
      <c r="N200" s="398"/>
      <c r="O200" s="398"/>
      <c r="P200" s="398"/>
      <c r="Q200" s="398"/>
      <c r="R200" s="398"/>
      <c r="S200" s="398"/>
      <c r="T200" s="398"/>
    </row>
    <row r="201" spans="2:20" hidden="1">
      <c r="B201" s="508" t="s">
        <v>1014</v>
      </c>
      <c r="C201" s="458" t="str">
        <f t="shared" si="18"/>
        <v>078C</v>
      </c>
      <c r="D201" s="459">
        <f>H20+I20+J20+K20</f>
        <v>1932</v>
      </c>
      <c r="E201" s="398"/>
      <c r="F201" s="398"/>
      <c r="G201" s="398"/>
      <c r="H201" s="398"/>
      <c r="I201" s="398"/>
      <c r="J201" s="398"/>
      <c r="K201" s="398"/>
      <c r="L201" s="398"/>
      <c r="M201" s="398"/>
      <c r="N201" s="398"/>
      <c r="O201" s="398"/>
      <c r="P201" s="398"/>
      <c r="Q201" s="398"/>
      <c r="R201" s="398"/>
      <c r="S201" s="398"/>
      <c r="T201" s="398"/>
    </row>
    <row r="202" spans="2:20" hidden="1">
      <c r="B202" s="508" t="s">
        <v>1015</v>
      </c>
      <c r="C202" s="458" t="str">
        <f>DEC2HEX(F20,4)</f>
        <v>0438</v>
      </c>
      <c r="D202" s="398"/>
      <c r="E202" s="398"/>
      <c r="F202" s="398"/>
      <c r="G202" s="398"/>
      <c r="H202" s="398"/>
      <c r="I202" s="398"/>
      <c r="J202" s="398"/>
      <c r="K202" s="398"/>
      <c r="L202" s="398"/>
      <c r="M202" s="398"/>
      <c r="N202" s="398"/>
      <c r="O202" s="398"/>
      <c r="P202" s="398"/>
      <c r="Q202" s="398"/>
      <c r="R202" s="398"/>
      <c r="S202" s="398"/>
      <c r="T202" s="398"/>
    </row>
    <row r="203" spans="2:20" hidden="1">
      <c r="B203" s="508" t="s">
        <v>1016</v>
      </c>
      <c r="C203" s="458" t="str">
        <f>DEC2HEX(J20,4)</f>
        <v>0780</v>
      </c>
      <c r="D203" s="398"/>
      <c r="E203" s="398"/>
      <c r="F203" s="398"/>
      <c r="G203" s="398"/>
      <c r="H203" s="398"/>
      <c r="I203" s="398"/>
      <c r="J203" s="398"/>
      <c r="K203" s="398"/>
      <c r="L203" s="398"/>
      <c r="M203" s="398"/>
      <c r="N203" s="398"/>
      <c r="O203" s="398"/>
      <c r="P203" s="398"/>
      <c r="Q203" s="398"/>
      <c r="R203" s="398"/>
      <c r="S203" s="398"/>
      <c r="T203" s="398"/>
    </row>
    <row r="204" spans="2:20" hidden="1">
      <c r="B204" s="508" t="s">
        <v>1017</v>
      </c>
      <c r="C204" s="458" t="str">
        <f t="shared" si="18"/>
        <v>0096</v>
      </c>
      <c r="D204" s="459">
        <f>D20+E20</f>
        <v>150</v>
      </c>
      <c r="E204" s="398"/>
      <c r="F204" s="398"/>
      <c r="G204" s="398"/>
      <c r="H204" s="398"/>
      <c r="I204" s="398"/>
      <c r="J204" s="398"/>
      <c r="K204" s="398"/>
      <c r="L204" s="398"/>
      <c r="M204" s="398"/>
      <c r="N204" s="398"/>
      <c r="O204" s="398"/>
      <c r="P204" s="398"/>
      <c r="Q204" s="398"/>
      <c r="R204" s="398"/>
      <c r="S204" s="398"/>
      <c r="T204" s="398"/>
    </row>
    <row r="205" spans="2:20" hidden="1">
      <c r="B205" s="508" t="s">
        <v>1018</v>
      </c>
      <c r="C205" s="458" t="str">
        <f t="shared" si="18"/>
        <v>0008</v>
      </c>
      <c r="D205" s="459">
        <f>H20+I20</f>
        <v>8</v>
      </c>
      <c r="E205" s="398"/>
      <c r="F205" s="398"/>
      <c r="G205" s="398"/>
      <c r="H205" s="398"/>
      <c r="I205" s="398"/>
      <c r="J205" s="398"/>
      <c r="K205" s="398"/>
      <c r="L205" s="398"/>
      <c r="M205" s="398"/>
      <c r="N205" s="398"/>
      <c r="O205" s="398"/>
      <c r="P205" s="398"/>
      <c r="Q205" s="398"/>
      <c r="R205" s="398"/>
      <c r="S205" s="398"/>
      <c r="T205" s="398"/>
    </row>
    <row r="206" spans="2:20" hidden="1">
      <c r="D206" s="398"/>
      <c r="E206" s="398"/>
      <c r="F206" s="398"/>
      <c r="G206" s="398"/>
      <c r="H206" s="398"/>
      <c r="I206" s="398"/>
      <c r="J206" s="398"/>
      <c r="K206" s="398"/>
      <c r="L206" s="398"/>
      <c r="M206" s="398"/>
      <c r="N206" s="398"/>
      <c r="O206" s="398"/>
      <c r="P206" s="398"/>
      <c r="Q206" s="398"/>
      <c r="R206" s="398"/>
      <c r="S206" s="398"/>
      <c r="T206" s="398"/>
    </row>
    <row r="207" spans="2:20" hidden="1">
      <c r="B207" s="508" t="s">
        <v>1019</v>
      </c>
      <c r="C207" s="458" t="str">
        <f>DEC2HEX(D207,4)</f>
        <v>0000</v>
      </c>
      <c r="D207" s="459">
        <f>F45*2^8+F42</f>
        <v>0</v>
      </c>
      <c r="E207" s="398"/>
      <c r="F207" s="398"/>
      <c r="G207" s="398"/>
      <c r="H207" s="398"/>
      <c r="I207" s="398"/>
      <c r="J207" s="398"/>
      <c r="K207" s="398"/>
      <c r="L207" s="398"/>
      <c r="M207" s="398"/>
      <c r="N207" s="398"/>
      <c r="O207" s="398"/>
      <c r="P207" s="398"/>
      <c r="Q207" s="398"/>
      <c r="R207" s="398"/>
      <c r="S207" s="398"/>
      <c r="T207" s="398"/>
    </row>
    <row r="208" spans="2:20" hidden="1">
      <c r="B208" s="508" t="s">
        <v>1020</v>
      </c>
      <c r="C208" s="458" t="str">
        <f>DEC2HEX(D208,4)</f>
        <v>FF00</v>
      </c>
      <c r="D208" s="459">
        <f t="shared" ref="D208:D210" si="19">J46*2^8</f>
        <v>65280</v>
      </c>
      <c r="E208" s="398"/>
      <c r="F208" s="398"/>
      <c r="G208" s="398"/>
      <c r="H208" s="398"/>
      <c r="I208" s="398"/>
      <c r="J208" s="398"/>
      <c r="K208" s="398"/>
      <c r="L208" s="398"/>
      <c r="M208" s="398"/>
      <c r="N208" s="398"/>
      <c r="O208" s="398"/>
      <c r="P208" s="398"/>
      <c r="Q208" s="398"/>
      <c r="R208" s="398"/>
      <c r="S208" s="398"/>
      <c r="T208" s="398"/>
    </row>
    <row r="209" spans="2:20" hidden="1">
      <c r="B209" s="508" t="s">
        <v>1021</v>
      </c>
      <c r="C209" s="458" t="str">
        <f t="shared" ref="C209:C212" si="20">DEC2HEX(D209,4)</f>
        <v>0000</v>
      </c>
      <c r="D209" s="459">
        <f t="shared" si="19"/>
        <v>0</v>
      </c>
      <c r="E209" s="398"/>
      <c r="F209" s="398"/>
      <c r="G209" s="398"/>
      <c r="H209" s="398"/>
      <c r="I209" s="398"/>
      <c r="J209" s="398"/>
      <c r="K209" s="398"/>
      <c r="L209" s="398"/>
      <c r="M209" s="398"/>
      <c r="N209" s="398"/>
      <c r="O209" s="398"/>
      <c r="P209" s="398"/>
      <c r="Q209" s="398"/>
      <c r="R209" s="398"/>
      <c r="S209" s="398"/>
      <c r="T209" s="398"/>
    </row>
    <row r="210" spans="2:20" hidden="1">
      <c r="B210" s="508" t="s">
        <v>1022</v>
      </c>
      <c r="C210" s="458" t="str">
        <f t="shared" si="20"/>
        <v>0000</v>
      </c>
      <c r="D210" s="459">
        <f t="shared" si="19"/>
        <v>0</v>
      </c>
      <c r="E210" s="398"/>
      <c r="F210" s="398"/>
      <c r="G210" s="398"/>
      <c r="H210" s="398"/>
      <c r="I210" s="398"/>
      <c r="J210" s="398"/>
      <c r="K210" s="398"/>
      <c r="L210" s="398"/>
      <c r="M210" s="398"/>
      <c r="N210" s="398"/>
      <c r="O210" s="398"/>
      <c r="P210" s="398"/>
      <c r="Q210" s="398"/>
      <c r="R210" s="398"/>
      <c r="S210" s="398"/>
      <c r="T210" s="398"/>
    </row>
    <row r="211" spans="2:20" hidden="1">
      <c r="B211" s="508" t="s">
        <v>1023</v>
      </c>
      <c r="C211" s="458" t="str">
        <f t="shared" si="20"/>
        <v>0000</v>
      </c>
      <c r="D211" s="459">
        <f>H45*2^8+H42</f>
        <v>0</v>
      </c>
      <c r="E211" s="398"/>
      <c r="F211" s="398"/>
      <c r="G211" s="398"/>
      <c r="H211" s="398"/>
      <c r="I211" s="398"/>
      <c r="J211" s="398"/>
      <c r="K211" s="398"/>
      <c r="L211" s="398"/>
      <c r="M211" s="398"/>
      <c r="N211" s="398"/>
      <c r="O211" s="398"/>
      <c r="P211" s="398"/>
      <c r="Q211" s="398"/>
      <c r="R211" s="398"/>
      <c r="S211" s="398"/>
      <c r="T211" s="398"/>
    </row>
    <row r="212" spans="2:20" hidden="1">
      <c r="B212" s="508" t="s">
        <v>1024</v>
      </c>
      <c r="C212" s="458" t="str">
        <f t="shared" si="20"/>
        <v>0000</v>
      </c>
      <c r="D212" s="459">
        <f>K46*2^8</f>
        <v>0</v>
      </c>
      <c r="E212" s="398"/>
      <c r="F212" s="398"/>
      <c r="G212" s="398"/>
      <c r="H212" s="398"/>
      <c r="I212" s="398"/>
      <c r="J212" s="398"/>
      <c r="K212" s="398"/>
      <c r="L212" s="398"/>
      <c r="M212" s="398"/>
      <c r="N212" s="398"/>
      <c r="O212" s="398"/>
      <c r="P212" s="398"/>
      <c r="Q212" s="398"/>
      <c r="R212" s="398"/>
      <c r="S212" s="398"/>
      <c r="T212" s="398"/>
    </row>
    <row r="213" spans="2:20" hidden="1">
      <c r="B213" s="508" t="s">
        <v>1025</v>
      </c>
      <c r="C213" s="458" t="str">
        <f t="shared" ref="C213:C214" si="21">DEC2HEX(D213,4)</f>
        <v>0000</v>
      </c>
      <c r="D213" s="459">
        <f t="shared" ref="D213:D214" si="22">K47*2^8</f>
        <v>0</v>
      </c>
      <c r="E213" s="398"/>
      <c r="F213" s="398"/>
      <c r="G213" s="398"/>
      <c r="H213" s="398"/>
      <c r="I213" s="398"/>
      <c r="J213" s="398"/>
      <c r="K213" s="398"/>
      <c r="L213" s="398"/>
      <c r="M213" s="398"/>
      <c r="N213" s="398"/>
      <c r="O213" s="398"/>
      <c r="P213" s="398"/>
      <c r="Q213" s="398"/>
      <c r="R213" s="398"/>
      <c r="S213" s="398"/>
      <c r="T213" s="398"/>
    </row>
    <row r="214" spans="2:20" hidden="1">
      <c r="B214" s="508" t="s">
        <v>1026</v>
      </c>
      <c r="C214" s="458" t="str">
        <f t="shared" si="21"/>
        <v>FF00</v>
      </c>
      <c r="D214" s="459">
        <f t="shared" si="22"/>
        <v>65280</v>
      </c>
      <c r="E214" s="398"/>
      <c r="F214" s="398"/>
      <c r="G214" s="398"/>
      <c r="H214" s="398"/>
      <c r="I214" s="398"/>
      <c r="J214" s="398"/>
      <c r="K214" s="398"/>
      <c r="L214" s="398"/>
      <c r="M214" s="398"/>
      <c r="N214" s="398"/>
      <c r="O214" s="398"/>
      <c r="P214" s="398"/>
      <c r="Q214" s="398"/>
      <c r="R214" s="398"/>
      <c r="S214" s="398"/>
      <c r="T214" s="398"/>
    </row>
    <row r="215" spans="2:20" hidden="1">
      <c r="D215" s="398"/>
      <c r="E215" s="398"/>
      <c r="F215" s="398"/>
      <c r="G215" s="398"/>
      <c r="H215" s="398"/>
      <c r="I215" s="398"/>
      <c r="J215" s="398"/>
      <c r="K215" s="398"/>
      <c r="L215" s="398"/>
      <c r="M215" s="398"/>
      <c r="N215" s="398"/>
      <c r="O215" s="398"/>
      <c r="P215" s="398"/>
      <c r="Q215" s="398"/>
      <c r="R215" s="398"/>
      <c r="S215" s="398"/>
      <c r="T215" s="398"/>
    </row>
    <row r="216" spans="2:20" hidden="1">
      <c r="B216" s="398" t="s">
        <v>1027</v>
      </c>
      <c r="C216" s="398">
        <f>IF('Source_Init_EnbDSI(RS1,2,3,Int)'!M391="HSCK/8",1,IF('Source_Init_EnbDSI(RS1,2,3,Int)'!M391="HSCK/4",1,IF('Source_Init_EnbDSI(RS1,2,3,Int)'!M391="HSCK/2",1,1)))</f>
        <v>1</v>
      </c>
      <c r="D216" s="398"/>
      <c r="E216" s="398"/>
      <c r="F216" s="398"/>
      <c r="G216" s="398"/>
      <c r="H216" s="398"/>
      <c r="I216" s="398"/>
      <c r="J216" s="398"/>
      <c r="K216" s="398"/>
      <c r="L216" s="398"/>
      <c r="M216" s="398"/>
      <c r="N216" s="398"/>
      <c r="O216" s="398"/>
      <c r="P216" s="398"/>
      <c r="Q216" s="398"/>
      <c r="R216" s="398"/>
      <c r="S216" s="398"/>
      <c r="T216" s="398"/>
    </row>
    <row r="217" spans="2:20" hidden="1">
      <c r="B217" s="398" t="s">
        <v>1028</v>
      </c>
      <c r="C217" s="398">
        <f>IF(Source_ColorBar!M15="HSCK/8",1,IF(Source_ColorBar!M15="HSCK/4",1,IF(Source_ColorBar!M15="HSCK/2",1,1)))</f>
        <v>1</v>
      </c>
      <c r="D217" s="398"/>
      <c r="E217" s="398"/>
      <c r="F217" s="398"/>
      <c r="G217" s="398"/>
      <c r="H217" s="398"/>
      <c r="I217" s="398"/>
      <c r="J217" s="398"/>
      <c r="K217" s="398"/>
      <c r="L217" s="398"/>
      <c r="M217" s="398"/>
      <c r="N217" s="398"/>
      <c r="O217" s="398"/>
      <c r="P217" s="398"/>
      <c r="Q217" s="398"/>
      <c r="R217" s="398"/>
      <c r="S217" s="398"/>
      <c r="T217" s="398"/>
    </row>
    <row r="218" spans="2:20" hidden="1">
      <c r="B218" s="398" t="s">
        <v>1029</v>
      </c>
      <c r="C218" s="398">
        <f>IF(C29="HDMI",C216,C217)</f>
        <v>1</v>
      </c>
      <c r="D218" s="398"/>
      <c r="E218" s="398"/>
      <c r="F218" s="398"/>
      <c r="G218" s="398"/>
      <c r="H218" s="398"/>
      <c r="I218" s="398"/>
      <c r="J218" s="398"/>
      <c r="K218" s="398"/>
      <c r="L218" s="398"/>
      <c r="M218" s="398"/>
      <c r="N218" s="398"/>
      <c r="O218" s="398"/>
      <c r="P218" s="398"/>
      <c r="Q218" s="398"/>
      <c r="R218" s="398"/>
      <c r="S218" s="398"/>
      <c r="T218" s="398"/>
    </row>
    <row r="219" spans="2:20">
      <c r="D219" s="398"/>
      <c r="E219" s="398"/>
      <c r="F219" s="398"/>
      <c r="G219" s="398"/>
      <c r="H219" s="398"/>
      <c r="I219" s="398"/>
      <c r="J219" s="398"/>
      <c r="K219" s="398"/>
      <c r="L219" s="398"/>
      <c r="M219" s="398"/>
      <c r="N219" s="398"/>
      <c r="O219" s="398"/>
      <c r="P219" s="398"/>
      <c r="Q219" s="398"/>
      <c r="R219" s="398"/>
      <c r="S219" s="398"/>
      <c r="T219" s="398"/>
    </row>
    <row r="220" spans="2:20">
      <c r="D220" s="398"/>
      <c r="E220" s="398"/>
      <c r="F220" s="398"/>
      <c r="G220" s="398"/>
      <c r="H220" s="398"/>
      <c r="I220" s="398"/>
      <c r="J220" s="398"/>
      <c r="K220" s="398"/>
      <c r="L220" s="398"/>
      <c r="M220" s="398"/>
      <c r="N220" s="398"/>
      <c r="O220" s="398"/>
      <c r="P220" s="398"/>
      <c r="Q220" s="398"/>
      <c r="R220" s="398"/>
      <c r="S220" s="398"/>
      <c r="T220" s="398"/>
    </row>
    <row r="221" spans="2:20">
      <c r="D221" s="398"/>
      <c r="E221" s="398"/>
      <c r="F221" s="398"/>
      <c r="G221" s="398"/>
      <c r="H221" s="398"/>
      <c r="I221" s="398"/>
      <c r="J221" s="398"/>
      <c r="K221" s="398"/>
      <c r="L221" s="398"/>
      <c r="M221" s="398"/>
      <c r="N221" s="398"/>
      <c r="O221" s="398"/>
      <c r="P221" s="398"/>
      <c r="Q221" s="398"/>
      <c r="R221" s="398"/>
      <c r="S221" s="398"/>
      <c r="T221" s="398"/>
    </row>
    <row r="222" spans="2:20">
      <c r="D222" s="398"/>
      <c r="E222" s="398"/>
      <c r="F222" s="398"/>
      <c r="G222" s="398"/>
      <c r="H222" s="398"/>
      <c r="I222" s="398"/>
      <c r="J222" s="398"/>
      <c r="K222" s="398"/>
      <c r="L222" s="398"/>
      <c r="M222" s="398"/>
      <c r="N222" s="398"/>
      <c r="O222" s="398"/>
      <c r="P222" s="398"/>
      <c r="Q222" s="398"/>
      <c r="R222" s="398"/>
      <c r="S222" s="398"/>
      <c r="T222" s="398"/>
    </row>
    <row r="223" spans="2:20">
      <c r="D223" s="398"/>
      <c r="E223" s="398"/>
      <c r="F223" s="398"/>
      <c r="G223" s="398"/>
      <c r="H223" s="398"/>
      <c r="I223" s="398"/>
      <c r="J223" s="398"/>
      <c r="K223" s="398"/>
      <c r="L223" s="398"/>
      <c r="M223" s="398"/>
      <c r="N223" s="398"/>
      <c r="O223" s="398"/>
      <c r="P223" s="398"/>
      <c r="Q223" s="398"/>
      <c r="R223" s="398"/>
      <c r="S223" s="398"/>
      <c r="T223" s="398"/>
    </row>
    <row r="224" spans="2:20">
      <c r="D224" s="398"/>
      <c r="E224" s="398"/>
      <c r="F224" s="398"/>
      <c r="G224" s="398"/>
      <c r="H224" s="398"/>
      <c r="I224" s="398"/>
      <c r="J224" s="398"/>
      <c r="K224" s="398"/>
      <c r="L224" s="398"/>
      <c r="M224" s="398"/>
      <c r="N224" s="398"/>
      <c r="O224" s="398"/>
      <c r="P224" s="398"/>
      <c r="Q224" s="398"/>
      <c r="R224" s="398"/>
      <c r="S224" s="398"/>
      <c r="T224" s="398"/>
    </row>
    <row r="225" spans="4:20">
      <c r="D225" s="398"/>
      <c r="E225" s="398"/>
      <c r="F225" s="398"/>
      <c r="G225" s="398"/>
      <c r="H225" s="398"/>
      <c r="I225" s="398"/>
      <c r="J225" s="398"/>
      <c r="K225" s="398"/>
      <c r="L225" s="398"/>
      <c r="M225" s="398"/>
      <c r="N225" s="398"/>
      <c r="O225" s="398"/>
      <c r="P225" s="398"/>
      <c r="Q225" s="398"/>
      <c r="R225" s="398"/>
      <c r="S225" s="398"/>
      <c r="T225" s="398"/>
    </row>
    <row r="226" spans="4:20">
      <c r="D226" s="398"/>
      <c r="E226" s="398"/>
      <c r="F226" s="398"/>
      <c r="G226" s="398"/>
      <c r="H226" s="398"/>
      <c r="I226" s="398"/>
      <c r="J226" s="398"/>
      <c r="K226" s="398"/>
      <c r="L226" s="398"/>
      <c r="M226" s="398"/>
      <c r="N226" s="398"/>
      <c r="O226" s="398"/>
      <c r="P226" s="398"/>
      <c r="Q226" s="398"/>
      <c r="R226" s="398"/>
      <c r="S226" s="398"/>
      <c r="T226" s="398"/>
    </row>
    <row r="227" spans="4:20">
      <c r="D227" s="398"/>
      <c r="E227" s="398"/>
      <c r="F227" s="398"/>
      <c r="G227" s="398"/>
      <c r="H227" s="398"/>
      <c r="I227" s="398"/>
      <c r="J227" s="398"/>
      <c r="K227" s="398"/>
      <c r="L227" s="398"/>
      <c r="M227" s="398"/>
      <c r="N227" s="398"/>
      <c r="O227" s="398"/>
      <c r="P227" s="398"/>
      <c r="Q227" s="398"/>
      <c r="R227" s="398"/>
      <c r="S227" s="398"/>
      <c r="T227" s="398"/>
    </row>
    <row r="228" spans="4:20">
      <c r="D228" s="398"/>
      <c r="E228" s="398"/>
      <c r="F228" s="398"/>
      <c r="G228" s="398"/>
      <c r="H228" s="398"/>
      <c r="I228" s="398"/>
      <c r="J228" s="398"/>
      <c r="K228" s="398"/>
      <c r="L228" s="398"/>
      <c r="M228" s="398"/>
      <c r="N228" s="398"/>
      <c r="O228" s="398"/>
      <c r="P228" s="398"/>
      <c r="Q228" s="398"/>
      <c r="R228" s="398"/>
      <c r="S228" s="398"/>
      <c r="T228" s="398"/>
    </row>
    <row r="229" spans="4:20">
      <c r="D229" s="398"/>
      <c r="E229" s="398"/>
      <c r="F229" s="398"/>
      <c r="G229" s="398"/>
      <c r="H229" s="398"/>
      <c r="I229" s="398"/>
      <c r="J229" s="398"/>
      <c r="K229" s="398"/>
      <c r="L229" s="398"/>
      <c r="M229" s="398"/>
      <c r="N229" s="398"/>
      <c r="O229" s="398"/>
      <c r="P229" s="398"/>
      <c r="Q229" s="398"/>
      <c r="R229" s="398"/>
      <c r="S229" s="398"/>
      <c r="T229" s="398"/>
    </row>
    <row r="230" spans="4:20">
      <c r="D230" s="398"/>
      <c r="E230" s="398"/>
      <c r="F230" s="398"/>
      <c r="G230" s="398"/>
      <c r="H230" s="398"/>
      <c r="I230" s="398"/>
      <c r="J230" s="398"/>
      <c r="K230" s="398"/>
      <c r="L230" s="398"/>
      <c r="M230" s="398"/>
      <c r="N230" s="398"/>
      <c r="O230" s="398"/>
      <c r="P230" s="398"/>
      <c r="Q230" s="398"/>
      <c r="R230" s="398"/>
      <c r="S230" s="398"/>
      <c r="T230" s="398"/>
    </row>
    <row r="231" spans="4:20">
      <c r="D231" s="398"/>
      <c r="E231" s="398"/>
      <c r="F231" s="398"/>
      <c r="G231" s="398"/>
      <c r="H231" s="398"/>
      <c r="I231" s="398"/>
      <c r="J231" s="398"/>
      <c r="K231" s="398"/>
      <c r="L231" s="398"/>
      <c r="M231" s="398"/>
      <c r="N231" s="398"/>
      <c r="O231" s="398"/>
      <c r="P231" s="398"/>
      <c r="Q231" s="398"/>
      <c r="R231" s="398"/>
      <c r="S231" s="398"/>
      <c r="T231" s="398"/>
    </row>
    <row r="232" spans="4:20">
      <c r="D232" s="398"/>
      <c r="E232" s="398"/>
      <c r="F232" s="398"/>
      <c r="G232" s="398"/>
      <c r="H232" s="398"/>
      <c r="I232" s="398"/>
      <c r="J232" s="398"/>
      <c r="K232" s="398"/>
      <c r="L232" s="398"/>
      <c r="M232" s="398"/>
      <c r="N232" s="398"/>
      <c r="O232" s="398"/>
      <c r="P232" s="398"/>
      <c r="Q232" s="398"/>
      <c r="R232" s="398"/>
      <c r="S232" s="398"/>
      <c r="T232" s="398"/>
    </row>
    <row r="233" spans="4:20">
      <c r="D233" s="398"/>
      <c r="E233" s="398"/>
      <c r="F233" s="398"/>
      <c r="G233" s="398"/>
      <c r="H233" s="398"/>
      <c r="I233" s="398"/>
      <c r="J233" s="398"/>
      <c r="K233" s="398"/>
      <c r="L233" s="398"/>
      <c r="M233" s="398"/>
      <c r="N233" s="398"/>
      <c r="O233" s="398"/>
      <c r="P233" s="398"/>
      <c r="Q233" s="398"/>
      <c r="R233" s="398"/>
      <c r="S233" s="398"/>
      <c r="T233" s="398"/>
    </row>
    <row r="234" spans="4:20">
      <c r="D234" s="398"/>
      <c r="E234" s="398"/>
      <c r="F234" s="398"/>
      <c r="G234" s="398"/>
      <c r="H234" s="398"/>
      <c r="I234" s="398"/>
      <c r="J234" s="398"/>
      <c r="K234" s="398"/>
      <c r="L234" s="398"/>
      <c r="M234" s="398"/>
      <c r="N234" s="398"/>
      <c r="O234" s="398"/>
      <c r="P234" s="398"/>
      <c r="Q234" s="398"/>
      <c r="R234" s="398"/>
      <c r="S234" s="398"/>
      <c r="T234" s="398"/>
    </row>
    <row r="235" spans="4:20">
      <c r="D235" s="398"/>
      <c r="E235" s="398"/>
      <c r="F235" s="398"/>
      <c r="G235" s="398"/>
      <c r="H235" s="398"/>
      <c r="I235" s="398"/>
      <c r="J235" s="398"/>
      <c r="K235" s="398"/>
      <c r="L235" s="398"/>
      <c r="M235" s="398"/>
      <c r="N235" s="398"/>
      <c r="O235" s="398"/>
      <c r="P235" s="398"/>
      <c r="Q235" s="398"/>
      <c r="R235" s="398"/>
      <c r="S235" s="398"/>
      <c r="T235" s="398"/>
    </row>
    <row r="236" spans="4:20">
      <c r="D236" s="398"/>
      <c r="E236" s="398"/>
      <c r="F236" s="398"/>
      <c r="G236" s="398"/>
      <c r="H236" s="398"/>
      <c r="I236" s="398"/>
      <c r="J236" s="398"/>
      <c r="K236" s="398"/>
      <c r="L236" s="398"/>
      <c r="M236" s="398"/>
      <c r="N236" s="398"/>
      <c r="O236" s="398"/>
      <c r="P236" s="398"/>
      <c r="Q236" s="398"/>
      <c r="R236" s="398"/>
      <c r="S236" s="398"/>
      <c r="T236" s="398"/>
    </row>
    <row r="237" spans="4:20">
      <c r="D237" s="398"/>
      <c r="E237" s="398"/>
      <c r="F237" s="398"/>
      <c r="G237" s="398"/>
      <c r="H237" s="398"/>
      <c r="I237" s="398"/>
      <c r="J237" s="398"/>
      <c r="K237" s="398"/>
      <c r="L237" s="398"/>
      <c r="M237" s="398"/>
      <c r="N237" s="398"/>
      <c r="O237" s="398"/>
      <c r="P237" s="398"/>
      <c r="Q237" s="398"/>
      <c r="R237" s="398"/>
      <c r="S237" s="398"/>
      <c r="T237" s="398"/>
    </row>
    <row r="238" spans="4:20">
      <c r="D238" s="398"/>
      <c r="E238" s="398"/>
      <c r="F238" s="398"/>
      <c r="G238" s="398"/>
      <c r="H238" s="398"/>
      <c r="I238" s="398"/>
      <c r="J238" s="398"/>
      <c r="K238" s="398"/>
      <c r="L238" s="398"/>
      <c r="M238" s="398"/>
      <c r="N238" s="398"/>
      <c r="O238" s="398"/>
      <c r="P238" s="398"/>
      <c r="Q238" s="398"/>
      <c r="R238" s="398"/>
      <c r="S238" s="398"/>
      <c r="T238" s="398"/>
    </row>
    <row r="239" spans="4:20">
      <c r="D239" s="398"/>
      <c r="E239" s="398"/>
      <c r="F239" s="398"/>
      <c r="G239" s="398"/>
      <c r="H239" s="398"/>
      <c r="I239" s="398"/>
      <c r="J239" s="398"/>
      <c r="K239" s="398"/>
      <c r="L239" s="398"/>
      <c r="M239" s="398"/>
      <c r="N239" s="398"/>
      <c r="O239" s="398"/>
      <c r="P239" s="398"/>
      <c r="Q239" s="398"/>
      <c r="R239" s="398"/>
      <c r="S239" s="398"/>
      <c r="T239" s="398"/>
    </row>
    <row r="240" spans="4:20">
      <c r="D240" s="398"/>
      <c r="E240" s="398"/>
      <c r="F240" s="398"/>
      <c r="G240" s="398"/>
      <c r="H240" s="398"/>
      <c r="I240" s="398"/>
      <c r="J240" s="398"/>
      <c r="K240" s="398"/>
      <c r="L240" s="398"/>
      <c r="M240" s="398"/>
      <c r="N240" s="398"/>
      <c r="O240" s="398"/>
      <c r="P240" s="398"/>
      <c r="Q240" s="398"/>
      <c r="R240" s="398"/>
      <c r="S240" s="398"/>
      <c r="T240" s="398"/>
    </row>
    <row r="241" spans="4:20">
      <c r="D241" s="398"/>
      <c r="E241" s="398"/>
      <c r="F241" s="398"/>
      <c r="G241" s="398"/>
      <c r="H241" s="398"/>
      <c r="I241" s="398"/>
      <c r="J241" s="398"/>
      <c r="K241" s="398"/>
      <c r="L241" s="398"/>
      <c r="M241" s="398"/>
      <c r="N241" s="398"/>
      <c r="O241" s="398"/>
      <c r="P241" s="398"/>
      <c r="Q241" s="398"/>
      <c r="R241" s="398"/>
      <c r="S241" s="398"/>
      <c r="T241" s="398"/>
    </row>
    <row r="242" spans="4:20">
      <c r="D242" s="398"/>
      <c r="E242" s="398"/>
      <c r="F242" s="398"/>
      <c r="G242" s="398"/>
      <c r="H242" s="398"/>
      <c r="I242" s="398"/>
      <c r="J242" s="398"/>
      <c r="K242" s="398"/>
      <c r="L242" s="398"/>
      <c r="M242" s="398"/>
      <c r="N242" s="398"/>
      <c r="O242" s="398"/>
      <c r="P242" s="398"/>
      <c r="Q242" s="398"/>
      <c r="R242" s="398"/>
      <c r="S242" s="398"/>
      <c r="T242" s="398"/>
    </row>
    <row r="243" spans="4:20">
      <c r="D243" s="398"/>
      <c r="E243" s="398"/>
      <c r="F243" s="398"/>
      <c r="G243" s="398"/>
      <c r="H243" s="398"/>
      <c r="I243" s="398"/>
      <c r="J243" s="398"/>
      <c r="K243" s="398"/>
      <c r="L243" s="398"/>
      <c r="M243" s="398"/>
      <c r="N243" s="398"/>
      <c r="O243" s="398"/>
      <c r="P243" s="398"/>
      <c r="Q243" s="398"/>
      <c r="R243" s="398"/>
      <c r="S243" s="398"/>
      <c r="T243" s="398"/>
    </row>
    <row r="244" spans="4:20">
      <c r="D244" s="398"/>
      <c r="E244" s="398"/>
      <c r="F244" s="398"/>
      <c r="G244" s="398"/>
      <c r="H244" s="398"/>
      <c r="I244" s="398"/>
      <c r="J244" s="398"/>
      <c r="K244" s="398"/>
      <c r="L244" s="398"/>
      <c r="M244" s="398"/>
      <c r="N244" s="398"/>
      <c r="O244" s="398"/>
      <c r="P244" s="398"/>
      <c r="Q244" s="398"/>
      <c r="R244" s="398"/>
      <c r="S244" s="398"/>
      <c r="T244" s="398"/>
    </row>
    <row r="245" spans="4:20">
      <c r="D245" s="398"/>
      <c r="E245" s="398"/>
      <c r="F245" s="398"/>
      <c r="G245" s="398"/>
      <c r="H245" s="398"/>
      <c r="I245" s="398"/>
      <c r="J245" s="398"/>
      <c r="K245" s="398"/>
      <c r="L245" s="398"/>
      <c r="M245" s="398"/>
      <c r="N245" s="398"/>
      <c r="O245" s="398"/>
      <c r="P245" s="398"/>
      <c r="Q245" s="398"/>
      <c r="R245" s="398"/>
      <c r="S245" s="398"/>
      <c r="T245" s="398"/>
    </row>
    <row r="246" spans="4:20">
      <c r="D246" s="398"/>
      <c r="E246" s="398"/>
      <c r="F246" s="398"/>
      <c r="G246" s="398"/>
      <c r="H246" s="398"/>
      <c r="I246" s="398"/>
      <c r="J246" s="398"/>
      <c r="K246" s="398"/>
      <c r="L246" s="398"/>
      <c r="M246" s="398"/>
      <c r="N246" s="398"/>
      <c r="O246" s="398"/>
      <c r="P246" s="398"/>
      <c r="Q246" s="398"/>
      <c r="R246" s="398"/>
      <c r="S246" s="398"/>
      <c r="T246" s="398"/>
    </row>
    <row r="247" spans="4:20">
      <c r="D247" s="398"/>
      <c r="E247" s="398"/>
      <c r="F247" s="398"/>
      <c r="G247" s="398"/>
      <c r="H247" s="398"/>
      <c r="I247" s="398"/>
      <c r="J247" s="398"/>
      <c r="K247" s="398"/>
      <c r="L247" s="398"/>
      <c r="M247" s="398"/>
      <c r="N247" s="398"/>
      <c r="O247" s="398"/>
      <c r="P247" s="398"/>
      <c r="Q247" s="398"/>
      <c r="R247" s="398"/>
      <c r="S247" s="398"/>
      <c r="T247" s="398"/>
    </row>
    <row r="248" spans="4:20">
      <c r="D248" s="398"/>
      <c r="E248" s="398"/>
      <c r="F248" s="398"/>
      <c r="G248" s="398"/>
      <c r="H248" s="398"/>
      <c r="I248" s="398"/>
      <c r="J248" s="398"/>
      <c r="K248" s="398"/>
      <c r="L248" s="398"/>
      <c r="M248" s="398"/>
      <c r="N248" s="398"/>
      <c r="O248" s="398"/>
      <c r="P248" s="398"/>
      <c r="Q248" s="398"/>
      <c r="R248" s="398"/>
      <c r="S248" s="398"/>
      <c r="T248" s="398"/>
    </row>
    <row r="249" spans="4:20">
      <c r="D249" s="398"/>
      <c r="E249" s="398"/>
      <c r="F249" s="398"/>
      <c r="G249" s="398"/>
      <c r="H249" s="398"/>
      <c r="I249" s="398"/>
      <c r="J249" s="398"/>
      <c r="K249" s="398"/>
      <c r="L249" s="398"/>
      <c r="M249" s="398"/>
      <c r="N249" s="398"/>
      <c r="O249" s="398"/>
      <c r="P249" s="398"/>
      <c r="Q249" s="398"/>
      <c r="R249" s="398"/>
      <c r="S249" s="398"/>
      <c r="T249" s="398"/>
    </row>
    <row r="250" spans="4:20">
      <c r="D250" s="398"/>
      <c r="E250" s="398"/>
      <c r="F250" s="398"/>
      <c r="G250" s="398"/>
      <c r="H250" s="398"/>
      <c r="I250" s="398"/>
      <c r="J250" s="398"/>
      <c r="K250" s="398"/>
      <c r="L250" s="398"/>
      <c r="M250" s="398"/>
      <c r="N250" s="398"/>
      <c r="O250" s="398"/>
      <c r="P250" s="398"/>
      <c r="Q250" s="398"/>
      <c r="R250" s="398"/>
      <c r="S250" s="398"/>
      <c r="T250" s="398"/>
    </row>
    <row r="251" spans="4:20">
      <c r="D251" s="398"/>
      <c r="E251" s="398"/>
      <c r="F251" s="398"/>
      <c r="G251" s="398"/>
      <c r="H251" s="398"/>
      <c r="I251" s="398"/>
      <c r="J251" s="398"/>
      <c r="K251" s="398"/>
      <c r="L251" s="398"/>
      <c r="M251" s="398"/>
      <c r="N251" s="398"/>
      <c r="O251" s="398"/>
      <c r="P251" s="398"/>
      <c r="Q251" s="398"/>
      <c r="R251" s="398"/>
      <c r="S251" s="398"/>
      <c r="T251" s="398"/>
    </row>
    <row r="252" spans="4:20">
      <c r="D252" s="398"/>
      <c r="E252" s="398"/>
      <c r="F252" s="398"/>
      <c r="G252" s="398"/>
      <c r="H252" s="398"/>
      <c r="I252" s="398"/>
      <c r="J252" s="398"/>
      <c r="K252" s="398"/>
      <c r="L252" s="398"/>
      <c r="M252" s="398"/>
      <c r="N252" s="398"/>
      <c r="O252" s="398"/>
      <c r="P252" s="398"/>
      <c r="Q252" s="398"/>
      <c r="R252" s="398"/>
      <c r="S252" s="398"/>
      <c r="T252" s="398"/>
    </row>
    <row r="253" spans="4:20">
      <c r="D253" s="398"/>
      <c r="E253" s="398"/>
      <c r="F253" s="398"/>
      <c r="G253" s="398"/>
      <c r="H253" s="398"/>
      <c r="I253" s="398"/>
      <c r="J253" s="398"/>
      <c r="K253" s="398"/>
      <c r="L253" s="398"/>
      <c r="M253" s="398"/>
      <c r="N253" s="398"/>
      <c r="O253" s="398"/>
      <c r="P253" s="398"/>
      <c r="Q253" s="398"/>
      <c r="R253" s="398"/>
      <c r="S253" s="398"/>
      <c r="T253" s="398"/>
    </row>
    <row r="254" spans="4:20">
      <c r="D254" s="398"/>
      <c r="E254" s="398"/>
      <c r="F254" s="398"/>
      <c r="G254" s="398"/>
      <c r="H254" s="398"/>
      <c r="I254" s="398"/>
      <c r="J254" s="398"/>
      <c r="K254" s="398"/>
      <c r="L254" s="398"/>
      <c r="M254" s="398"/>
      <c r="N254" s="398"/>
      <c r="O254" s="398"/>
      <c r="P254" s="398"/>
      <c r="Q254" s="398"/>
      <c r="R254" s="398"/>
      <c r="S254" s="398"/>
      <c r="T254" s="398"/>
    </row>
    <row r="255" spans="4:20">
      <c r="D255" s="398"/>
      <c r="E255" s="398"/>
      <c r="F255" s="398"/>
      <c r="G255" s="398"/>
      <c r="H255" s="398"/>
      <c r="I255" s="398"/>
      <c r="J255" s="398"/>
      <c r="K255" s="398"/>
      <c r="L255" s="398"/>
      <c r="M255" s="398"/>
      <c r="N255" s="398"/>
      <c r="O255" s="398"/>
      <c r="P255" s="398"/>
      <c r="Q255" s="398"/>
      <c r="R255" s="398"/>
      <c r="S255" s="398"/>
      <c r="T255" s="398"/>
    </row>
    <row r="256" spans="4:20">
      <c r="D256" s="398"/>
      <c r="E256" s="398"/>
      <c r="F256" s="398"/>
      <c r="G256" s="398"/>
      <c r="H256" s="398"/>
      <c r="I256" s="398"/>
      <c r="J256" s="398"/>
      <c r="K256" s="398"/>
      <c r="L256" s="398"/>
      <c r="M256" s="398"/>
      <c r="N256" s="398"/>
      <c r="O256" s="398"/>
      <c r="P256" s="398"/>
      <c r="Q256" s="398"/>
      <c r="R256" s="398"/>
      <c r="S256" s="398"/>
      <c r="T256" s="398"/>
    </row>
    <row r="257" spans="4:20">
      <c r="D257" s="398"/>
      <c r="E257" s="398"/>
      <c r="F257" s="398"/>
      <c r="G257" s="398"/>
      <c r="H257" s="398"/>
      <c r="I257" s="398"/>
      <c r="J257" s="398"/>
      <c r="K257" s="398"/>
      <c r="L257" s="398"/>
      <c r="M257" s="398"/>
      <c r="N257" s="398"/>
      <c r="O257" s="398"/>
      <c r="P257" s="398"/>
      <c r="Q257" s="398"/>
      <c r="R257" s="398"/>
      <c r="S257" s="398"/>
      <c r="T257" s="398"/>
    </row>
    <row r="258" spans="4:20">
      <c r="D258" s="398"/>
      <c r="E258" s="398"/>
      <c r="F258" s="398"/>
      <c r="G258" s="398"/>
      <c r="H258" s="398"/>
      <c r="I258" s="398"/>
      <c r="J258" s="398"/>
      <c r="K258" s="398"/>
      <c r="L258" s="398"/>
      <c r="M258" s="398"/>
      <c r="N258" s="398"/>
      <c r="O258" s="398"/>
      <c r="P258" s="398"/>
      <c r="Q258" s="398"/>
      <c r="R258" s="398"/>
      <c r="S258" s="398"/>
      <c r="T258" s="398"/>
    </row>
    <row r="259" spans="4:20">
      <c r="D259" s="398"/>
      <c r="E259" s="398"/>
      <c r="F259" s="398"/>
      <c r="G259" s="398"/>
      <c r="H259" s="398"/>
      <c r="I259" s="398"/>
      <c r="J259" s="398"/>
      <c r="K259" s="398"/>
      <c r="L259" s="398"/>
      <c r="M259" s="398"/>
      <c r="N259" s="398"/>
      <c r="O259" s="398"/>
      <c r="P259" s="398"/>
      <c r="Q259" s="398"/>
      <c r="R259" s="398"/>
      <c r="S259" s="398"/>
      <c r="T259" s="398"/>
    </row>
    <row r="260" spans="4:20">
      <c r="D260" s="398"/>
      <c r="E260" s="398"/>
      <c r="F260" s="398"/>
      <c r="G260" s="398"/>
      <c r="H260" s="398"/>
      <c r="I260" s="398"/>
      <c r="J260" s="398"/>
      <c r="K260" s="398"/>
      <c r="L260" s="398"/>
      <c r="M260" s="398"/>
      <c r="N260" s="398"/>
      <c r="O260" s="398"/>
      <c r="P260" s="398"/>
      <c r="Q260" s="398"/>
      <c r="R260" s="398"/>
      <c r="S260" s="398"/>
      <c r="T260" s="398"/>
    </row>
    <row r="261" spans="4:20">
      <c r="D261" s="398"/>
      <c r="E261" s="398"/>
      <c r="F261" s="398"/>
      <c r="G261" s="398"/>
      <c r="H261" s="398"/>
      <c r="I261" s="398"/>
      <c r="J261" s="398"/>
      <c r="K261" s="398"/>
      <c r="L261" s="398"/>
      <c r="M261" s="398"/>
      <c r="N261" s="398"/>
      <c r="O261" s="398"/>
      <c r="P261" s="398"/>
      <c r="Q261" s="398"/>
      <c r="R261" s="398"/>
      <c r="S261" s="398"/>
      <c r="T261" s="398"/>
    </row>
    <row r="262" spans="4:20">
      <c r="D262" s="398"/>
      <c r="E262" s="398"/>
      <c r="F262" s="398"/>
      <c r="G262" s="398"/>
      <c r="H262" s="398"/>
      <c r="I262" s="398"/>
      <c r="J262" s="398"/>
      <c r="K262" s="398"/>
      <c r="L262" s="398"/>
      <c r="M262" s="398"/>
      <c r="N262" s="398"/>
      <c r="O262" s="398"/>
      <c r="P262" s="398"/>
      <c r="Q262" s="398"/>
      <c r="R262" s="398"/>
      <c r="S262" s="398"/>
      <c r="T262" s="398"/>
    </row>
    <row r="263" spans="4:20">
      <c r="D263" s="398"/>
      <c r="E263" s="398"/>
      <c r="F263" s="398"/>
      <c r="G263" s="398"/>
      <c r="H263" s="398"/>
      <c r="I263" s="398"/>
      <c r="J263" s="398"/>
      <c r="K263" s="398"/>
      <c r="L263" s="398"/>
      <c r="M263" s="398"/>
      <c r="N263" s="398"/>
      <c r="O263" s="398"/>
      <c r="P263" s="398"/>
      <c r="Q263" s="398"/>
      <c r="R263" s="398"/>
      <c r="S263" s="398"/>
      <c r="T263" s="398"/>
    </row>
    <row r="264" spans="4:20">
      <c r="D264" s="398"/>
      <c r="E264" s="398"/>
      <c r="F264" s="398"/>
      <c r="G264" s="398"/>
      <c r="H264" s="398"/>
      <c r="I264" s="398"/>
      <c r="J264" s="398"/>
      <c r="K264" s="398"/>
      <c r="L264" s="398"/>
      <c r="M264" s="398"/>
      <c r="N264" s="398"/>
      <c r="O264" s="398"/>
      <c r="P264" s="398"/>
      <c r="Q264" s="398"/>
      <c r="R264" s="398"/>
      <c r="S264" s="398"/>
      <c r="T264" s="398"/>
    </row>
    <row r="265" spans="4:20">
      <c r="D265" s="398"/>
      <c r="E265" s="398"/>
      <c r="F265" s="398"/>
      <c r="G265" s="398"/>
      <c r="H265" s="398"/>
      <c r="I265" s="398"/>
      <c r="J265" s="398"/>
      <c r="K265" s="398"/>
      <c r="L265" s="398"/>
      <c r="M265" s="398"/>
      <c r="N265" s="398"/>
      <c r="O265" s="398"/>
      <c r="P265" s="398"/>
      <c r="Q265" s="398"/>
      <c r="R265" s="398"/>
      <c r="S265" s="398"/>
      <c r="T265" s="398"/>
    </row>
    <row r="266" spans="4:20">
      <c r="D266" s="398"/>
      <c r="E266" s="398"/>
      <c r="F266" s="398"/>
      <c r="G266" s="398"/>
      <c r="H266" s="398"/>
      <c r="I266" s="398"/>
      <c r="J266" s="398"/>
      <c r="K266" s="398"/>
      <c r="L266" s="398"/>
      <c r="M266" s="398"/>
      <c r="N266" s="398"/>
      <c r="O266" s="398"/>
      <c r="P266" s="398"/>
      <c r="Q266" s="398"/>
      <c r="R266" s="398"/>
      <c r="S266" s="398"/>
      <c r="T266" s="398"/>
    </row>
    <row r="267" spans="4:20">
      <c r="D267" s="398"/>
      <c r="E267" s="398"/>
      <c r="F267" s="398"/>
      <c r="G267" s="398"/>
      <c r="H267" s="398"/>
      <c r="I267" s="398"/>
      <c r="J267" s="398"/>
      <c r="K267" s="398"/>
      <c r="L267" s="398"/>
      <c r="M267" s="398"/>
      <c r="N267" s="398"/>
      <c r="O267" s="398"/>
      <c r="P267" s="398"/>
      <c r="Q267" s="398"/>
      <c r="R267" s="398"/>
      <c r="S267" s="398"/>
      <c r="T267" s="398"/>
    </row>
    <row r="268" spans="4:20">
      <c r="D268" s="398"/>
      <c r="E268" s="398"/>
      <c r="F268" s="398"/>
      <c r="G268" s="398"/>
      <c r="H268" s="398"/>
      <c r="I268" s="398"/>
      <c r="J268" s="398"/>
      <c r="K268" s="398"/>
      <c r="L268" s="398"/>
      <c r="M268" s="398"/>
      <c r="N268" s="398"/>
      <c r="O268" s="398"/>
      <c r="P268" s="398"/>
      <c r="Q268" s="398"/>
      <c r="R268" s="398"/>
      <c r="S268" s="398"/>
      <c r="T268" s="398"/>
    </row>
    <row r="269" spans="4:20">
      <c r="D269" s="398"/>
      <c r="E269" s="398"/>
      <c r="F269" s="398"/>
      <c r="G269" s="398"/>
      <c r="H269" s="398"/>
      <c r="I269" s="398"/>
      <c r="J269" s="398"/>
      <c r="K269" s="398"/>
      <c r="L269" s="398"/>
      <c r="M269" s="398"/>
      <c r="N269" s="398"/>
      <c r="O269" s="398"/>
      <c r="P269" s="398"/>
      <c r="Q269" s="398"/>
      <c r="R269" s="398"/>
      <c r="S269" s="398"/>
      <c r="T269" s="398"/>
    </row>
    <row r="270" spans="4:20">
      <c r="D270" s="398"/>
      <c r="E270" s="398"/>
      <c r="F270" s="398"/>
      <c r="G270" s="398"/>
      <c r="H270" s="398"/>
      <c r="I270" s="398"/>
      <c r="J270" s="398"/>
      <c r="K270" s="398"/>
      <c r="L270" s="398"/>
      <c r="M270" s="398"/>
      <c r="N270" s="398"/>
      <c r="O270" s="398"/>
      <c r="P270" s="398"/>
      <c r="Q270" s="398"/>
      <c r="R270" s="398"/>
      <c r="S270" s="398"/>
      <c r="T270" s="398"/>
    </row>
    <row r="271" spans="4:20">
      <c r="D271" s="398"/>
      <c r="E271" s="398"/>
      <c r="F271" s="398"/>
      <c r="G271" s="398"/>
      <c r="H271" s="398"/>
      <c r="I271" s="398"/>
      <c r="J271" s="398"/>
      <c r="K271" s="398"/>
      <c r="L271" s="398"/>
      <c r="M271" s="398"/>
      <c r="N271" s="398"/>
      <c r="O271" s="398"/>
      <c r="P271" s="398"/>
      <c r="Q271" s="398"/>
      <c r="R271" s="398"/>
      <c r="S271" s="398"/>
      <c r="T271" s="398"/>
    </row>
    <row r="272" spans="4:20">
      <c r="D272" s="398"/>
      <c r="E272" s="398"/>
      <c r="F272" s="398"/>
      <c r="G272" s="398"/>
      <c r="H272" s="398"/>
      <c r="I272" s="398"/>
      <c r="J272" s="398"/>
      <c r="K272" s="398"/>
      <c r="L272" s="398"/>
      <c r="M272" s="398"/>
      <c r="N272" s="398"/>
      <c r="O272" s="398"/>
      <c r="P272" s="398"/>
      <c r="Q272" s="398"/>
      <c r="R272" s="398"/>
      <c r="S272" s="398"/>
      <c r="T272" s="398"/>
    </row>
    <row r="273" spans="4:20">
      <c r="D273" s="398"/>
      <c r="E273" s="398"/>
      <c r="F273" s="398"/>
      <c r="G273" s="398"/>
      <c r="H273" s="398"/>
      <c r="I273" s="398"/>
      <c r="J273" s="398"/>
      <c r="K273" s="398"/>
      <c r="L273" s="398"/>
      <c r="M273" s="398"/>
      <c r="N273" s="398"/>
      <c r="O273" s="398"/>
      <c r="P273" s="398"/>
      <c r="Q273" s="398"/>
      <c r="R273" s="398"/>
      <c r="S273" s="398"/>
      <c r="T273" s="398"/>
    </row>
    <row r="274" spans="4:20">
      <c r="D274" s="398"/>
      <c r="E274" s="398"/>
      <c r="F274" s="398"/>
      <c r="G274" s="398"/>
      <c r="H274" s="398"/>
      <c r="I274" s="398"/>
      <c r="J274" s="398"/>
      <c r="K274" s="398"/>
      <c r="L274" s="398"/>
      <c r="M274" s="398"/>
      <c r="N274" s="398"/>
      <c r="O274" s="398"/>
      <c r="P274" s="398"/>
      <c r="Q274" s="398"/>
      <c r="R274" s="398"/>
      <c r="S274" s="398"/>
      <c r="T274" s="398"/>
    </row>
    <row r="275" spans="4:20">
      <c r="D275" s="398"/>
      <c r="E275" s="398"/>
      <c r="F275" s="398"/>
      <c r="G275" s="398"/>
      <c r="H275" s="398"/>
      <c r="I275" s="398"/>
      <c r="J275" s="398"/>
      <c r="K275" s="398"/>
      <c r="L275" s="398"/>
      <c r="M275" s="398"/>
      <c r="N275" s="398"/>
      <c r="O275" s="398"/>
      <c r="P275" s="398"/>
      <c r="Q275" s="398"/>
      <c r="R275" s="398"/>
      <c r="S275" s="398"/>
      <c r="T275" s="398"/>
    </row>
    <row r="276" spans="4:20">
      <c r="D276" s="398"/>
      <c r="E276" s="398"/>
      <c r="F276" s="398"/>
      <c r="G276" s="398"/>
      <c r="H276" s="398"/>
      <c r="I276" s="398"/>
      <c r="J276" s="398"/>
      <c r="K276" s="398"/>
      <c r="L276" s="398"/>
      <c r="M276" s="398"/>
      <c r="N276" s="398"/>
      <c r="O276" s="398"/>
      <c r="P276" s="398"/>
      <c r="Q276" s="398"/>
      <c r="R276" s="398"/>
      <c r="S276" s="398"/>
      <c r="T276" s="398"/>
    </row>
    <row r="277" spans="4:20">
      <c r="D277" s="398"/>
      <c r="E277" s="398"/>
      <c r="F277" s="398"/>
      <c r="G277" s="398"/>
      <c r="H277" s="398"/>
      <c r="I277" s="398"/>
      <c r="J277" s="398"/>
      <c r="K277" s="398"/>
      <c r="L277" s="398"/>
      <c r="M277" s="398"/>
      <c r="N277" s="398"/>
      <c r="O277" s="398"/>
      <c r="P277" s="398"/>
      <c r="Q277" s="398"/>
      <c r="R277" s="398"/>
      <c r="S277" s="398"/>
      <c r="T277" s="398"/>
    </row>
    <row r="278" spans="4:20">
      <c r="D278" s="398"/>
      <c r="E278" s="398"/>
      <c r="F278" s="398"/>
      <c r="G278" s="398"/>
      <c r="H278" s="398"/>
      <c r="I278" s="398"/>
      <c r="J278" s="398"/>
      <c r="K278" s="398"/>
      <c r="L278" s="398"/>
      <c r="M278" s="398"/>
      <c r="N278" s="398"/>
      <c r="O278" s="398"/>
      <c r="P278" s="398"/>
      <c r="Q278" s="398"/>
      <c r="R278" s="398"/>
      <c r="S278" s="398"/>
      <c r="T278" s="398"/>
    </row>
    <row r="279" spans="4:20">
      <c r="D279" s="398"/>
      <c r="E279" s="398"/>
      <c r="F279" s="398"/>
      <c r="G279" s="398"/>
      <c r="H279" s="398"/>
      <c r="I279" s="398"/>
      <c r="J279" s="398"/>
      <c r="K279" s="398"/>
      <c r="L279" s="398"/>
      <c r="M279" s="398"/>
      <c r="N279" s="398"/>
      <c r="O279" s="398"/>
      <c r="P279" s="398"/>
      <c r="Q279" s="398"/>
      <c r="R279" s="398"/>
      <c r="S279" s="398"/>
      <c r="T279" s="398"/>
    </row>
    <row r="280" spans="4:20">
      <c r="D280" s="398"/>
      <c r="E280" s="398"/>
      <c r="F280" s="398"/>
      <c r="G280" s="398"/>
      <c r="H280" s="398"/>
      <c r="I280" s="398"/>
      <c r="J280" s="398"/>
      <c r="K280" s="398"/>
      <c r="L280" s="398"/>
      <c r="M280" s="398"/>
      <c r="N280" s="398"/>
      <c r="O280" s="398"/>
      <c r="P280" s="398"/>
      <c r="Q280" s="398"/>
      <c r="R280" s="398"/>
      <c r="S280" s="398"/>
      <c r="T280" s="398"/>
    </row>
    <row r="281" spans="4:20">
      <c r="D281" s="398"/>
      <c r="E281" s="398"/>
      <c r="F281" s="398"/>
      <c r="G281" s="398"/>
      <c r="H281" s="398"/>
      <c r="I281" s="398"/>
      <c r="J281" s="398"/>
      <c r="K281" s="398"/>
      <c r="L281" s="398"/>
      <c r="M281" s="398"/>
      <c r="N281" s="398"/>
      <c r="O281" s="398"/>
      <c r="P281" s="398"/>
      <c r="Q281" s="398"/>
      <c r="R281" s="398"/>
      <c r="S281" s="398"/>
      <c r="T281" s="398"/>
    </row>
    <row r="282" spans="4:20">
      <c r="D282" s="398"/>
      <c r="E282" s="398"/>
      <c r="F282" s="398"/>
      <c r="G282" s="398"/>
      <c r="H282" s="398"/>
      <c r="I282" s="398"/>
      <c r="J282" s="398"/>
      <c r="K282" s="398"/>
      <c r="L282" s="398"/>
      <c r="M282" s="398"/>
      <c r="N282" s="398"/>
      <c r="O282" s="398"/>
      <c r="P282" s="398"/>
      <c r="Q282" s="398"/>
      <c r="R282" s="398"/>
      <c r="S282" s="398"/>
      <c r="T282" s="398"/>
    </row>
    <row r="283" spans="4:20">
      <c r="D283" s="398"/>
      <c r="E283" s="398"/>
      <c r="F283" s="398"/>
      <c r="G283" s="398"/>
      <c r="H283" s="398"/>
      <c r="I283" s="398"/>
      <c r="J283" s="398"/>
      <c r="K283" s="398"/>
      <c r="L283" s="398"/>
      <c r="M283" s="398"/>
      <c r="N283" s="398"/>
      <c r="O283" s="398"/>
      <c r="P283" s="398"/>
      <c r="Q283" s="398"/>
      <c r="R283" s="398"/>
      <c r="S283" s="398"/>
      <c r="T283" s="398"/>
    </row>
    <row r="284" spans="4:20">
      <c r="D284" s="398"/>
      <c r="E284" s="398"/>
      <c r="F284" s="398"/>
      <c r="G284" s="398"/>
      <c r="H284" s="398"/>
      <c r="I284" s="398"/>
      <c r="J284" s="398"/>
      <c r="K284" s="398"/>
      <c r="L284" s="398"/>
      <c r="M284" s="398"/>
      <c r="N284" s="398"/>
      <c r="O284" s="398"/>
      <c r="P284" s="398"/>
      <c r="Q284" s="398"/>
      <c r="R284" s="398"/>
      <c r="S284" s="398"/>
      <c r="T284" s="398"/>
    </row>
    <row r="285" spans="4:20">
      <c r="D285" s="398"/>
      <c r="E285" s="398"/>
      <c r="F285" s="398"/>
      <c r="G285" s="398"/>
      <c r="H285" s="398"/>
      <c r="I285" s="398"/>
      <c r="J285" s="398"/>
      <c r="K285" s="398"/>
      <c r="L285" s="398"/>
      <c r="M285" s="398"/>
      <c r="N285" s="398"/>
      <c r="O285" s="398"/>
      <c r="P285" s="398"/>
      <c r="Q285" s="398"/>
      <c r="R285" s="398"/>
      <c r="S285" s="398"/>
      <c r="T285" s="398"/>
    </row>
    <row r="286" spans="4:20">
      <c r="D286" s="398"/>
      <c r="E286" s="398"/>
      <c r="F286" s="398"/>
      <c r="G286" s="398"/>
      <c r="H286" s="398"/>
      <c r="I286" s="398"/>
      <c r="J286" s="398"/>
      <c r="K286" s="398"/>
      <c r="L286" s="398"/>
      <c r="M286" s="398"/>
      <c r="N286" s="398"/>
      <c r="O286" s="398"/>
      <c r="P286" s="398"/>
      <c r="Q286" s="398"/>
      <c r="R286" s="398"/>
      <c r="S286" s="398"/>
      <c r="T286" s="398"/>
    </row>
    <row r="287" spans="4:20">
      <c r="D287" s="398"/>
      <c r="E287" s="398"/>
      <c r="F287" s="398"/>
      <c r="G287" s="398"/>
      <c r="H287" s="398"/>
      <c r="I287" s="398"/>
      <c r="J287" s="398"/>
      <c r="K287" s="398"/>
      <c r="L287" s="398"/>
      <c r="M287" s="398"/>
      <c r="N287" s="398"/>
      <c r="O287" s="398"/>
      <c r="P287" s="398"/>
      <c r="Q287" s="398"/>
      <c r="R287" s="398"/>
      <c r="S287" s="398"/>
      <c r="T287" s="398"/>
    </row>
    <row r="288" spans="4:20">
      <c r="D288" s="398"/>
      <c r="E288" s="398"/>
      <c r="F288" s="398"/>
      <c r="G288" s="398"/>
      <c r="H288" s="398"/>
      <c r="I288" s="398"/>
      <c r="J288" s="398"/>
      <c r="K288" s="398"/>
      <c r="L288" s="398"/>
      <c r="M288" s="398"/>
      <c r="N288" s="398"/>
      <c r="O288" s="398"/>
      <c r="P288" s="398"/>
      <c r="Q288" s="398"/>
      <c r="R288" s="398"/>
      <c r="S288" s="398"/>
      <c r="T288" s="398"/>
    </row>
    <row r="289" spans="4:20">
      <c r="D289" s="398"/>
      <c r="E289" s="398"/>
      <c r="F289" s="398"/>
      <c r="G289" s="398"/>
      <c r="H289" s="398"/>
      <c r="I289" s="398"/>
      <c r="J289" s="398"/>
      <c r="K289" s="398"/>
      <c r="L289" s="398"/>
      <c r="M289" s="398"/>
      <c r="N289" s="398"/>
      <c r="O289" s="398"/>
      <c r="P289" s="398"/>
      <c r="Q289" s="398"/>
      <c r="R289" s="398"/>
      <c r="S289" s="398"/>
      <c r="T289" s="398"/>
    </row>
    <row r="290" spans="4:20">
      <c r="D290" s="398"/>
      <c r="E290" s="398"/>
      <c r="F290" s="398"/>
      <c r="G290" s="398"/>
      <c r="H290" s="398"/>
      <c r="I290" s="398"/>
      <c r="J290" s="398"/>
      <c r="K290" s="398"/>
      <c r="L290" s="398"/>
      <c r="M290" s="398"/>
      <c r="N290" s="398"/>
      <c r="O290" s="398"/>
      <c r="P290" s="398"/>
      <c r="Q290" s="398"/>
      <c r="R290" s="398"/>
      <c r="S290" s="398"/>
      <c r="T290" s="398"/>
    </row>
    <row r="291" spans="4:20">
      <c r="D291" s="398"/>
      <c r="E291" s="398"/>
      <c r="F291" s="398"/>
      <c r="G291" s="398"/>
      <c r="H291" s="398"/>
      <c r="I291" s="398"/>
      <c r="J291" s="398"/>
      <c r="K291" s="398"/>
      <c r="L291" s="398"/>
      <c r="M291" s="398"/>
      <c r="N291" s="398"/>
      <c r="O291" s="398"/>
      <c r="P291" s="398"/>
      <c r="Q291" s="398"/>
      <c r="R291" s="398"/>
      <c r="S291" s="398"/>
      <c r="T291" s="398"/>
    </row>
    <row r="292" spans="4:20">
      <c r="D292" s="398"/>
      <c r="E292" s="398"/>
      <c r="F292" s="398"/>
      <c r="G292" s="398"/>
      <c r="H292" s="398"/>
      <c r="I292" s="398"/>
      <c r="J292" s="398"/>
      <c r="K292" s="398"/>
      <c r="L292" s="398"/>
      <c r="M292" s="398"/>
      <c r="N292" s="398"/>
      <c r="O292" s="398"/>
      <c r="P292" s="398"/>
      <c r="Q292" s="398"/>
      <c r="R292" s="398"/>
      <c r="S292" s="398"/>
      <c r="T292" s="398"/>
    </row>
    <row r="293" spans="4:20">
      <c r="D293" s="398"/>
      <c r="E293" s="398"/>
      <c r="F293" s="398"/>
      <c r="G293" s="398"/>
      <c r="H293" s="398"/>
      <c r="I293" s="398"/>
      <c r="J293" s="398"/>
      <c r="K293" s="398"/>
      <c r="L293" s="398"/>
      <c r="M293" s="398"/>
      <c r="N293" s="398"/>
      <c r="O293" s="398"/>
      <c r="P293" s="398"/>
      <c r="Q293" s="398"/>
      <c r="R293" s="398"/>
      <c r="S293" s="398"/>
      <c r="T293" s="398"/>
    </row>
    <row r="294" spans="4:20">
      <c r="D294" s="398"/>
      <c r="E294" s="398"/>
      <c r="F294" s="398"/>
      <c r="G294" s="398"/>
      <c r="H294" s="398"/>
      <c r="I294" s="398"/>
      <c r="J294" s="398"/>
      <c r="K294" s="398"/>
      <c r="L294" s="398"/>
      <c r="M294" s="398"/>
      <c r="N294" s="398"/>
      <c r="O294" s="398"/>
      <c r="P294" s="398"/>
      <c r="Q294" s="398"/>
      <c r="R294" s="398"/>
      <c r="S294" s="398"/>
      <c r="T294" s="398"/>
    </row>
    <row r="295" spans="4:20">
      <c r="D295" s="398"/>
      <c r="E295" s="398"/>
      <c r="F295" s="398"/>
      <c r="G295" s="398"/>
      <c r="H295" s="398"/>
      <c r="I295" s="398"/>
      <c r="J295" s="398"/>
      <c r="K295" s="398"/>
      <c r="L295" s="398"/>
      <c r="M295" s="398"/>
      <c r="N295" s="398"/>
      <c r="O295" s="398"/>
      <c r="P295" s="398"/>
      <c r="Q295" s="398"/>
      <c r="R295" s="398"/>
      <c r="S295" s="398"/>
      <c r="T295" s="398"/>
    </row>
    <row r="296" spans="4:20">
      <c r="D296" s="398"/>
      <c r="E296" s="398"/>
      <c r="F296" s="398"/>
      <c r="G296" s="398"/>
      <c r="H296" s="398"/>
      <c r="I296" s="398"/>
      <c r="J296" s="398"/>
      <c r="K296" s="398"/>
      <c r="L296" s="398"/>
      <c r="M296" s="398"/>
      <c r="N296" s="398"/>
      <c r="O296" s="398"/>
      <c r="P296" s="398"/>
      <c r="Q296" s="398"/>
      <c r="R296" s="398"/>
      <c r="S296" s="398"/>
      <c r="T296" s="398"/>
    </row>
    <row r="297" spans="4:20">
      <c r="D297" s="398"/>
      <c r="E297" s="398"/>
      <c r="F297" s="398"/>
      <c r="G297" s="398"/>
      <c r="H297" s="398"/>
      <c r="I297" s="398"/>
      <c r="J297" s="398"/>
      <c r="K297" s="398"/>
      <c r="L297" s="398"/>
      <c r="M297" s="398"/>
      <c r="N297" s="398"/>
      <c r="O297" s="398"/>
      <c r="P297" s="398"/>
      <c r="Q297" s="398"/>
      <c r="R297" s="398"/>
      <c r="S297" s="398"/>
      <c r="T297" s="398"/>
    </row>
    <row r="298" spans="4:20">
      <c r="D298" s="398"/>
      <c r="E298" s="398"/>
      <c r="F298" s="398"/>
      <c r="G298" s="398"/>
      <c r="H298" s="398"/>
      <c r="I298" s="398"/>
      <c r="J298" s="398"/>
      <c r="K298" s="398"/>
      <c r="L298" s="398"/>
      <c r="M298" s="398"/>
      <c r="N298" s="398"/>
      <c r="O298" s="398"/>
      <c r="P298" s="398"/>
      <c r="Q298" s="398"/>
      <c r="R298" s="398"/>
      <c r="S298" s="398"/>
      <c r="T298" s="398"/>
    </row>
    <row r="299" spans="4:20">
      <c r="D299" s="398"/>
      <c r="E299" s="398"/>
      <c r="F299" s="398"/>
      <c r="G299" s="398"/>
      <c r="H299" s="398"/>
      <c r="I299" s="398"/>
      <c r="J299" s="398"/>
      <c r="K299" s="398"/>
      <c r="L299" s="398"/>
      <c r="M299" s="398"/>
      <c r="N299" s="398"/>
      <c r="O299" s="398"/>
      <c r="P299" s="398"/>
      <c r="Q299" s="398"/>
      <c r="R299" s="398"/>
      <c r="S299" s="398"/>
      <c r="T299" s="398"/>
    </row>
  </sheetData>
  <sheetProtection algorithmName="SHA-512" hashValue="l1Uut1PsU6T/Q+crTYcWSZ5oQimJIDonPPnGx47UQm/dHLu3HoMaNjWT5CdXe8DVePZXjLND2OFpXr7dvo/3BQ==" saltValue="yRv9u8lsaudCSVz/oYePog==" spinCount="100000" sheet="1" objects="1" scenarios="1" selectLockedCells="1"/>
  <mergeCells count="124">
    <mergeCell ref="M2:O2"/>
    <mergeCell ref="Q2:T2"/>
    <mergeCell ref="W2:AJ2"/>
    <mergeCell ref="Q3:R3"/>
    <mergeCell ref="S3:T3"/>
    <mergeCell ref="Q4:R4"/>
    <mergeCell ref="S4:T4"/>
    <mergeCell ref="Q6:R6"/>
    <mergeCell ref="S6:T6"/>
    <mergeCell ref="Q7:R7"/>
    <mergeCell ref="S7:T7"/>
    <mergeCell ref="Q8:R8"/>
    <mergeCell ref="S8:T8"/>
    <mergeCell ref="Q9:R9"/>
    <mergeCell ref="S9:T9"/>
    <mergeCell ref="Q10:R10"/>
    <mergeCell ref="S10:T10"/>
    <mergeCell ref="B16:L16"/>
    <mergeCell ref="Q16:T16"/>
    <mergeCell ref="M17:O17"/>
    <mergeCell ref="B58:I58"/>
    <mergeCell ref="M58:N58"/>
    <mergeCell ref="P58:U58"/>
    <mergeCell ref="B71:H71"/>
    <mergeCell ref="F72:H72"/>
    <mergeCell ref="M72:N72"/>
    <mergeCell ref="R72:T72"/>
    <mergeCell ref="F73:H73"/>
    <mergeCell ref="M73:N73"/>
    <mergeCell ref="R73:T73"/>
    <mergeCell ref="M80:N80"/>
    <mergeCell ref="M81:N81"/>
    <mergeCell ref="F82:H82"/>
    <mergeCell ref="M82:N82"/>
    <mergeCell ref="R82:T82"/>
    <mergeCell ref="F83:H83"/>
    <mergeCell ref="M83:N83"/>
    <mergeCell ref="R83:T83"/>
    <mergeCell ref="M74:N74"/>
    <mergeCell ref="F75:H75"/>
    <mergeCell ref="R75:T75"/>
    <mergeCell ref="F76:H76"/>
    <mergeCell ref="R76:T76"/>
    <mergeCell ref="F77:H77"/>
    <mergeCell ref="M77:N77"/>
    <mergeCell ref="R77:T77"/>
    <mergeCell ref="M78:N78"/>
    <mergeCell ref="O75:O76"/>
    <mergeCell ref="P75:P76"/>
    <mergeCell ref="R90:T90"/>
    <mergeCell ref="F91:H91"/>
    <mergeCell ref="M91:N91"/>
    <mergeCell ref="R91:T91"/>
    <mergeCell ref="M92:N92"/>
    <mergeCell ref="M93:N93"/>
    <mergeCell ref="M84:N84"/>
    <mergeCell ref="M85:N85"/>
    <mergeCell ref="F86:H86"/>
    <mergeCell ref="M86:N86"/>
    <mergeCell ref="R86:T86"/>
    <mergeCell ref="F87:H87"/>
    <mergeCell ref="M87:N87"/>
    <mergeCell ref="R87:T87"/>
    <mergeCell ref="M88:N88"/>
    <mergeCell ref="R84:T85"/>
    <mergeCell ref="R102:T103"/>
    <mergeCell ref="R104:T105"/>
    <mergeCell ref="M94:N94"/>
    <mergeCell ref="M95:N95"/>
    <mergeCell ref="M96:N96"/>
    <mergeCell ref="M97:N97"/>
    <mergeCell ref="M98:N98"/>
    <mergeCell ref="M99:N99"/>
    <mergeCell ref="F100:H100"/>
    <mergeCell ref="M100:N100"/>
    <mergeCell ref="R100:T100"/>
    <mergeCell ref="M114:N114"/>
    <mergeCell ref="M115:N115"/>
    <mergeCell ref="B59:B64"/>
    <mergeCell ref="B75:B76"/>
    <mergeCell ref="C75:C76"/>
    <mergeCell ref="D75:D76"/>
    <mergeCell ref="F102:H103"/>
    <mergeCell ref="F104:H105"/>
    <mergeCell ref="F110:H111"/>
    <mergeCell ref="M59:N64"/>
    <mergeCell ref="M75:N76"/>
    <mergeCell ref="F84:H85"/>
    <mergeCell ref="F101:H101"/>
    <mergeCell ref="M101:N101"/>
    <mergeCell ref="M102:N102"/>
    <mergeCell ref="M103:N103"/>
    <mergeCell ref="M104:N104"/>
    <mergeCell ref="M105:N105"/>
    <mergeCell ref="M106:N106"/>
    <mergeCell ref="M107:N107"/>
    <mergeCell ref="M89:N89"/>
    <mergeCell ref="F90:H90"/>
    <mergeCell ref="M90:N90"/>
    <mergeCell ref="M79:N79"/>
    <mergeCell ref="R110:T111"/>
    <mergeCell ref="F112:H113"/>
    <mergeCell ref="R112:T113"/>
    <mergeCell ref="F88:H89"/>
    <mergeCell ref="R88:T89"/>
    <mergeCell ref="F96:H97"/>
    <mergeCell ref="R96:T97"/>
    <mergeCell ref="F92:H93"/>
    <mergeCell ref="R92:T93"/>
    <mergeCell ref="F94:H95"/>
    <mergeCell ref="R94:T95"/>
    <mergeCell ref="F108:H109"/>
    <mergeCell ref="R108:T109"/>
    <mergeCell ref="F106:H107"/>
    <mergeCell ref="R106:T107"/>
    <mergeCell ref="F98:H99"/>
    <mergeCell ref="R98:T99"/>
    <mergeCell ref="M108:N108"/>
    <mergeCell ref="M109:N109"/>
    <mergeCell ref="M110:N110"/>
    <mergeCell ref="M111:N111"/>
    <mergeCell ref="M112:N112"/>
    <mergeCell ref="M113:N113"/>
    <mergeCell ref="R101:T101"/>
  </mergeCells>
  <phoneticPr fontId="59" type="noConversion"/>
  <conditionalFormatting sqref="O4">
    <cfRule type="expression" dxfId="152" priority="1" stopIfTrue="1">
      <formula>M4="Disable"</formula>
    </cfRule>
    <cfRule type="expression" dxfId="151" priority="2" stopIfTrue="1">
      <formula>N4="Auto"</formula>
    </cfRule>
  </conditionalFormatting>
  <conditionalFormatting sqref="N4">
    <cfRule type="expression" dxfId="150" priority="3" stopIfTrue="1">
      <formula>M4="Disable"</formula>
    </cfRule>
  </conditionalFormatting>
  <conditionalFormatting sqref="N6">
    <cfRule type="expression" dxfId="149" priority="4" stopIfTrue="1">
      <formula>M4="Disable"</formula>
    </cfRule>
  </conditionalFormatting>
  <conditionalFormatting sqref="O6">
    <cfRule type="expression" dxfId="148" priority="5" stopIfTrue="1">
      <formula>M4="Disable"</formula>
    </cfRule>
  </conditionalFormatting>
  <conditionalFormatting sqref="B20">
    <cfRule type="expression" dxfId="147" priority="6" stopIfTrue="1">
      <formula>D62="Color Bar"</formula>
    </cfRule>
  </conditionalFormatting>
  <conditionalFormatting sqref="D61">
    <cfRule type="expression" dxfId="146" priority="7" stopIfTrue="1">
      <formula>D45="SyncEvent"</formula>
    </cfRule>
    <cfRule type="expression" dxfId="145" priority="8" stopIfTrue="1">
      <formula>D60="Follow Input"</formula>
    </cfRule>
  </conditionalFormatting>
  <conditionalFormatting sqref="E61">
    <cfRule type="expression" dxfId="144" priority="9" stopIfTrue="1">
      <formula>E60="Follow Input"</formula>
    </cfRule>
  </conditionalFormatting>
  <conditionalFormatting sqref="P61">
    <cfRule type="expression" dxfId="143" priority="10" stopIfTrue="1">
      <formula>D45="SyncEvent"</formula>
    </cfRule>
    <cfRule type="expression" dxfId="142" priority="11" stopIfTrue="1">
      <formula>P60="Follow Input"</formula>
    </cfRule>
  </conditionalFormatting>
  <conditionalFormatting sqref="Q61">
    <cfRule type="expression" dxfId="141" priority="12" stopIfTrue="1">
      <formula>Q60="Follow Input"</formula>
    </cfRule>
  </conditionalFormatting>
  <conditionalFormatting sqref="O73 O76">
    <cfRule type="expression" dxfId="140" priority="13" stopIfTrue="1">
      <formula>O58="Same as TX0"</formula>
    </cfRule>
  </conditionalFormatting>
  <conditionalFormatting sqref="O78">
    <cfRule type="expression" dxfId="139" priority="14" stopIfTrue="1">
      <formula>O58="Same as TX0"</formula>
    </cfRule>
  </conditionalFormatting>
  <conditionalFormatting sqref="O85">
    <cfRule type="expression" dxfId="138" priority="15" stopIfTrue="1">
      <formula>O58="Same as TX0"</formula>
    </cfRule>
  </conditionalFormatting>
  <conditionalFormatting sqref="O87">
    <cfRule type="expression" dxfId="137" priority="16" stopIfTrue="1">
      <formula>O58="Same as TX0"</formula>
    </cfRule>
  </conditionalFormatting>
  <conditionalFormatting sqref="O89">
    <cfRule type="expression" dxfId="136" priority="17" stopIfTrue="1">
      <formula>O58="Same as TX0"</formula>
    </cfRule>
  </conditionalFormatting>
  <conditionalFormatting sqref="O91">
    <cfRule type="expression" dxfId="135" priority="18" stopIfTrue="1">
      <formula>O58="Same as TX0"</formula>
    </cfRule>
  </conditionalFormatting>
  <conditionalFormatting sqref="O95">
    <cfRule type="expression" dxfId="134" priority="19" stopIfTrue="1">
      <formula>O58="Same as TX0"</formula>
    </cfRule>
  </conditionalFormatting>
  <conditionalFormatting sqref="O99">
    <cfRule type="expression" dxfId="133" priority="20" stopIfTrue="1">
      <formula>O58="Same as TX0"</formula>
    </cfRule>
  </conditionalFormatting>
  <conditionalFormatting sqref="O101">
    <cfRule type="expression" dxfId="132" priority="21" stopIfTrue="1">
      <formula>O58="Same as TX0"</formula>
    </cfRule>
  </conditionalFormatting>
  <conditionalFormatting sqref="O103">
    <cfRule type="expression" dxfId="131" priority="22" stopIfTrue="1">
      <formula>O58="Same as TX0"</formula>
    </cfRule>
  </conditionalFormatting>
  <conditionalFormatting sqref="O105">
    <cfRule type="expression" dxfId="130" priority="23" stopIfTrue="1">
      <formula>O58="Same as TX0"</formula>
    </cfRule>
  </conditionalFormatting>
  <conditionalFormatting sqref="O107">
    <cfRule type="expression" dxfId="129" priority="24" stopIfTrue="1">
      <formula>O58="Same as TX0"</formula>
    </cfRule>
  </conditionalFormatting>
  <conditionalFormatting sqref="D42">
    <cfRule type="expression" dxfId="128" priority="25" stopIfTrue="1">
      <formula>C42&lt;&gt;"Half(Manual)"</formula>
    </cfRule>
  </conditionalFormatting>
  <conditionalFormatting sqref="E42">
    <cfRule type="expression" dxfId="127" priority="26" stopIfTrue="1">
      <formula>C42&lt;&gt;"Manual"</formula>
    </cfRule>
  </conditionalFormatting>
  <conditionalFormatting sqref="E45">
    <cfRule type="expression" dxfId="126" priority="27" stopIfTrue="1">
      <formula>C42&lt;&gt;"Manual"</formula>
    </cfRule>
  </conditionalFormatting>
  <conditionalFormatting sqref="G42">
    <cfRule type="expression" dxfId="125" priority="28" stopIfTrue="1">
      <formula>C42&lt;&gt;"Manual"</formula>
    </cfRule>
  </conditionalFormatting>
  <conditionalFormatting sqref="G45">
    <cfRule type="expression" dxfId="124" priority="29" stopIfTrue="1">
      <formula>C42&lt;&gt;"Manual"</formula>
    </cfRule>
  </conditionalFormatting>
  <conditionalFormatting sqref="I42">
    <cfRule type="expression" dxfId="123" priority="30" stopIfTrue="1">
      <formula>M21="Progressive"</formula>
    </cfRule>
  </conditionalFormatting>
  <conditionalFormatting sqref="J42">
    <cfRule type="expression" dxfId="122" priority="31" stopIfTrue="1">
      <formula>M21="Progressive"</formula>
    </cfRule>
  </conditionalFormatting>
  <conditionalFormatting sqref="S14">
    <cfRule type="expression" dxfId="121" priority="32" stopIfTrue="1">
      <formula>N67="Color Bar"</formula>
    </cfRule>
    <cfRule type="expression" dxfId="120" priority="33" stopIfTrue="1">
      <formula>R14="Original"</formula>
    </cfRule>
    <cfRule type="expression" dxfId="119" priority="34" stopIfTrue="1">
      <formula>R10="Disable"</formula>
    </cfRule>
  </conditionalFormatting>
  <conditionalFormatting sqref="R14">
    <cfRule type="expression" dxfId="118" priority="35" stopIfTrue="1">
      <formula>N67="Color Bar"</formula>
    </cfRule>
    <cfRule type="expression" dxfId="117" priority="36" stopIfTrue="1">
      <formula>R10="Disable"</formula>
    </cfRule>
  </conditionalFormatting>
  <conditionalFormatting sqref="S13">
    <cfRule type="expression" dxfId="116" priority="37" stopIfTrue="1">
      <formula>N67="Color Bar"</formula>
    </cfRule>
    <cfRule type="expression" dxfId="115" priority="38" stopIfTrue="1">
      <formula>R13="Original"</formula>
    </cfRule>
    <cfRule type="expression" dxfId="114" priority="39" stopIfTrue="1">
      <formula>R10="Disable"</formula>
    </cfRule>
  </conditionalFormatting>
  <conditionalFormatting sqref="R13">
    <cfRule type="expression" dxfId="113" priority="40" stopIfTrue="1">
      <formula>N67="Color Bar"</formula>
    </cfRule>
    <cfRule type="expression" dxfId="112" priority="41" stopIfTrue="1">
      <formula>R10="Disable"</formula>
    </cfRule>
  </conditionalFormatting>
  <conditionalFormatting sqref="S11:S12">
    <cfRule type="expression" dxfId="111" priority="42" stopIfTrue="1">
      <formula>N66="Color Bar"</formula>
    </cfRule>
    <cfRule type="expression" dxfId="110" priority="43" stopIfTrue="1">
      <formula>R11="Original"</formula>
    </cfRule>
    <cfRule type="expression" dxfId="109" priority="44" stopIfTrue="1">
      <formula>R9="Disable"</formula>
    </cfRule>
  </conditionalFormatting>
  <conditionalFormatting sqref="R11:R12">
    <cfRule type="expression" dxfId="108" priority="45" stopIfTrue="1">
      <formula>N66="Color Bar"</formula>
    </cfRule>
    <cfRule type="expression" dxfId="107" priority="46" stopIfTrue="1">
      <formula>R9="Disable"</formula>
    </cfRule>
  </conditionalFormatting>
  <conditionalFormatting sqref="M4">
    <cfRule type="expression" dxfId="106" priority="47" stopIfTrue="1">
      <formula>J42="Color Bar"</formula>
    </cfRule>
  </conditionalFormatting>
  <conditionalFormatting sqref="O74">
    <cfRule type="expression" dxfId="105" priority="48" stopIfTrue="1">
      <formula>O58="Same as TX0"</formula>
    </cfRule>
  </conditionalFormatting>
  <conditionalFormatting sqref="O75">
    <cfRule type="expression" dxfId="104" priority="49" stopIfTrue="1">
      <formula>O58="Same as TX0"</formula>
    </cfRule>
  </conditionalFormatting>
  <conditionalFormatting sqref="O79">
    <cfRule type="expression" dxfId="103" priority="50" stopIfTrue="1">
      <formula>O58="Same as TX0"</formula>
    </cfRule>
  </conditionalFormatting>
  <conditionalFormatting sqref="O80">
    <cfRule type="expression" dxfId="102" priority="51" stopIfTrue="1">
      <formula>O58="Same as TX0"</formula>
    </cfRule>
  </conditionalFormatting>
  <conditionalFormatting sqref="O111">
    <cfRule type="expression" dxfId="101" priority="52" stopIfTrue="1">
      <formula>O58="Same as TX0"</formula>
    </cfRule>
  </conditionalFormatting>
  <conditionalFormatting sqref="O93">
    <cfRule type="expression" dxfId="100" priority="53" stopIfTrue="1">
      <formula>O58="Same as TX0"</formula>
    </cfRule>
  </conditionalFormatting>
  <conditionalFormatting sqref="O97">
    <cfRule type="expression" dxfId="99" priority="54" stopIfTrue="1">
      <formula>O58="Same as TX0"</formula>
    </cfRule>
  </conditionalFormatting>
  <conditionalFormatting sqref="O109">
    <cfRule type="expression" dxfId="98" priority="55" stopIfTrue="1">
      <formula>O58="Same as TX0"</formula>
    </cfRule>
  </conditionalFormatting>
  <conditionalFormatting sqref="D60">
    <cfRule type="expression" dxfId="97" priority="56" stopIfTrue="1">
      <formula>D45="SyncEvent"</formula>
    </cfRule>
  </conditionalFormatting>
  <conditionalFormatting sqref="P60">
    <cfRule type="expression" dxfId="96" priority="57" stopIfTrue="1">
      <formula>D45="SyncEvent"</formula>
    </cfRule>
  </conditionalFormatting>
  <conditionalFormatting sqref="C19">
    <cfRule type="expression" dxfId="95" priority="58" stopIfTrue="1">
      <formula>B20&lt;&gt;"Original"</formula>
    </cfRule>
  </conditionalFormatting>
  <conditionalFormatting sqref="D19">
    <cfRule type="expression" dxfId="94" priority="59" stopIfTrue="1">
      <formula>B20&lt;&gt;"Original"</formula>
    </cfRule>
  </conditionalFormatting>
  <conditionalFormatting sqref="E19">
    <cfRule type="expression" dxfId="93" priority="60" stopIfTrue="1">
      <formula>B20&lt;&gt;"Original"</formula>
    </cfRule>
  </conditionalFormatting>
  <conditionalFormatting sqref="F19">
    <cfRule type="expression" dxfId="92" priority="61" stopIfTrue="1">
      <formula>B20&lt;&gt;"Original"</formula>
    </cfRule>
  </conditionalFormatting>
  <conditionalFormatting sqref="G19">
    <cfRule type="expression" dxfId="91" priority="62" stopIfTrue="1">
      <formula>B20&lt;&gt;"Original"</formula>
    </cfRule>
  </conditionalFormatting>
  <conditionalFormatting sqref="H19">
    <cfRule type="expression" dxfId="90" priority="63" stopIfTrue="1">
      <formula>B20&lt;&gt;"Original"</formula>
    </cfRule>
  </conditionalFormatting>
  <conditionalFormatting sqref="I19">
    <cfRule type="expression" dxfId="89" priority="64" stopIfTrue="1">
      <formula>B20&lt;&gt;"Original"</formula>
    </cfRule>
  </conditionalFormatting>
  <conditionalFormatting sqref="J19">
    <cfRule type="expression" dxfId="88" priority="65" stopIfTrue="1">
      <formula>B20&lt;&gt;"Original"</formula>
    </cfRule>
  </conditionalFormatting>
  <conditionalFormatting sqref="K19">
    <cfRule type="expression" dxfId="87" priority="66" stopIfTrue="1">
      <formula>B20&lt;&gt;"Original"</formula>
    </cfRule>
  </conditionalFormatting>
  <conditionalFormatting sqref="M23">
    <cfRule type="expression" dxfId="86" priority="67" stopIfTrue="1">
      <formula>BA11=0</formula>
    </cfRule>
    <cfRule type="expression" dxfId="85" priority="68" stopIfTrue="1">
      <formula>C29="Color Bar"</formula>
    </cfRule>
  </conditionalFormatting>
  <conditionalFormatting sqref="L21">
    <cfRule type="expression" dxfId="84" priority="69" stopIfTrue="1">
      <formula>C29="Color Bar"</formula>
    </cfRule>
    <cfRule type="expression" dxfId="83" priority="70" stopIfTrue="1">
      <formula>B20&lt;&gt;"Original"</formula>
    </cfRule>
  </conditionalFormatting>
  <conditionalFormatting sqref="R5">
    <cfRule type="expression" dxfId="82" priority="71" stopIfTrue="1">
      <formula>C29="Color Bar"</formula>
    </cfRule>
  </conditionalFormatting>
  <conditionalFormatting sqref="L20">
    <cfRule type="expression" dxfId="81" priority="72" stopIfTrue="1">
      <formula>C29="Color Bar"</formula>
    </cfRule>
  </conditionalFormatting>
  <conditionalFormatting sqref="M24">
    <cfRule type="expression" dxfId="80" priority="73" stopIfTrue="1">
      <formula>BA11=0</formula>
    </cfRule>
    <cfRule type="expression" dxfId="79" priority="74" stopIfTrue="1">
      <formula>C29="Color Bar"</formula>
    </cfRule>
  </conditionalFormatting>
  <conditionalFormatting sqref="D29:G29">
    <cfRule type="expression" dxfId="78" priority="75" stopIfTrue="1">
      <formula>AND($C$29="HDMI",$D$48="Disable")</formula>
    </cfRule>
  </conditionalFormatting>
  <conditionalFormatting sqref="R17">
    <cfRule type="expression" dxfId="77" priority="76" stopIfTrue="1">
      <formula>C41="Color Bar"</formula>
    </cfRule>
  </conditionalFormatting>
  <conditionalFormatting sqref="AF6">
    <cfRule type="expression" dxfId="76" priority="77" stopIfTrue="1">
      <formula>AF6="No"</formula>
    </cfRule>
  </conditionalFormatting>
  <conditionalFormatting sqref="AF10">
    <cfRule type="expression" dxfId="75" priority="78" stopIfTrue="1">
      <formula>AF10="No"</formula>
    </cfRule>
  </conditionalFormatting>
  <conditionalFormatting sqref="AH4">
    <cfRule type="expression" dxfId="74" priority="79" stopIfTrue="1">
      <formula>AH4="No"</formula>
    </cfRule>
  </conditionalFormatting>
  <conditionalFormatting sqref="AH6">
    <cfRule type="expression" dxfId="73" priority="80" stopIfTrue="1">
      <formula>AH6="No"</formula>
    </cfRule>
  </conditionalFormatting>
  <conditionalFormatting sqref="AH10">
    <cfRule type="expression" dxfId="72" priority="81" stopIfTrue="1">
      <formula>AH10="No"</formula>
    </cfRule>
  </conditionalFormatting>
  <conditionalFormatting sqref="AJ6">
    <cfRule type="expression" dxfId="71" priority="82" stopIfTrue="1">
      <formula>AJ6="No"</formula>
    </cfRule>
  </conditionalFormatting>
  <conditionalFormatting sqref="J46:J48">
    <cfRule type="expression" dxfId="70" priority="83" stopIfTrue="1">
      <formula>$F$42+$F$45=0</formula>
    </cfRule>
  </conditionalFormatting>
  <conditionalFormatting sqref="K46:K48">
    <cfRule type="expression" dxfId="69" priority="84" stopIfTrue="1">
      <formula>$H$42+$H$45=0</formula>
    </cfRule>
  </conditionalFormatting>
  <conditionalFormatting sqref="O23:O24">
    <cfRule type="expression" dxfId="68" priority="85" stopIfTrue="1">
      <formula>$C$29="Color Bar"</formula>
    </cfRule>
    <cfRule type="expression" dxfId="67" priority="86" stopIfTrue="1">
      <formula>$BA$11=0</formula>
    </cfRule>
  </conditionalFormatting>
  <conditionalFormatting sqref="U3:U4 U6:U10">
    <cfRule type="expression" dxfId="66" priority="87" stopIfTrue="1">
      <formula>$R$5="Disable"</formula>
    </cfRule>
    <cfRule type="expression" dxfId="65" priority="88" stopIfTrue="1">
      <formula>$C$29="Color Bar"</formula>
    </cfRule>
  </conditionalFormatting>
  <conditionalFormatting sqref="S3:T4 S6:T10">
    <cfRule type="expression" dxfId="64" priority="89" stopIfTrue="1">
      <formula>$C$29="Color Bar"</formula>
    </cfRule>
  </conditionalFormatting>
  <conditionalFormatting sqref="V3">
    <cfRule type="expression" dxfId="63" priority="90" stopIfTrue="1">
      <formula>$BB$3=0</formula>
    </cfRule>
  </conditionalFormatting>
  <conditionalFormatting sqref="V4">
    <cfRule type="expression" dxfId="62" priority="91" stopIfTrue="1">
      <formula>$BB$4=0</formula>
    </cfRule>
  </conditionalFormatting>
  <conditionalFormatting sqref="V6">
    <cfRule type="expression" dxfId="61" priority="92" stopIfTrue="1">
      <formula>$BB$6=0</formula>
    </cfRule>
  </conditionalFormatting>
  <conditionalFormatting sqref="V7">
    <cfRule type="expression" dxfId="60" priority="93" stopIfTrue="1">
      <formula>$BB$7=0</formula>
    </cfRule>
  </conditionalFormatting>
  <conditionalFormatting sqref="V8">
    <cfRule type="expression" dxfId="59" priority="94" stopIfTrue="1">
      <formula>$BB$8=0</formula>
    </cfRule>
  </conditionalFormatting>
  <conditionalFormatting sqref="V9">
    <cfRule type="expression" dxfId="58" priority="95" stopIfTrue="1">
      <formula>$BB$9=0</formula>
    </cfRule>
  </conditionalFormatting>
  <conditionalFormatting sqref="V10">
    <cfRule type="expression" dxfId="57" priority="96" stopIfTrue="1">
      <formula>$BB$10=0</formula>
    </cfRule>
  </conditionalFormatting>
  <conditionalFormatting sqref="V3:V4 V6:V10">
    <cfRule type="expression" dxfId="56" priority="97" stopIfTrue="1">
      <formula>$R$5="Disable"</formula>
    </cfRule>
  </conditionalFormatting>
  <conditionalFormatting sqref="C24">
    <cfRule type="expression" dxfId="55" priority="98" stopIfTrue="1">
      <formula>$C$29="Color Bar"</formula>
    </cfRule>
    <cfRule type="expression" dxfId="54" priority="99" stopIfTrue="1">
      <formula>$D$48="Disable"</formula>
    </cfRule>
  </conditionalFormatting>
  <dataValidations count="35">
    <dataValidation type="list" allowBlank="1" showInputMessage="1" showErrorMessage="1" sqref="S3:T4 S6:T10">
      <formula1>"640x480p60Hz (1),720x480p60Hz (2),1280x720p60Hz (4),1920x1080p60Hz (16),1920x1200p60Hz (68),2560x1600p60Hz (76),Original,New"</formula1>
    </dataValidation>
    <dataValidation type="list" allowBlank="1" showInputMessage="1" showErrorMessage="1" sqref="L21">
      <formula1>"Progressive,Interlace"</formula1>
    </dataValidation>
    <dataValidation type="list" allowBlank="1" showInputMessage="1" showErrorMessage="1" sqref="M4">
      <formula1>"I2S,TDM,SLIMBus,Disable"</formula1>
    </dataValidation>
    <dataValidation type="list" allowBlank="1" showInputMessage="1" showErrorMessage="1" sqref="R5">
      <formula1>"Disable,Enable"</formula1>
    </dataValidation>
    <dataValidation type="list" allowBlank="1" showInputMessage="1" showErrorMessage="1" sqref="N4">
      <formula1>"Auto,By REG"</formula1>
    </dataValidation>
    <dataValidation type="list" allowBlank="1" showInputMessage="1" showErrorMessage="1" sqref="R17">
      <formula1>"1,2,3,4,5,6,7,8"</formula1>
    </dataValidation>
    <dataValidation type="list" allowBlank="1" showInputMessage="1" showErrorMessage="1" sqref="F40 H40">
      <formula1>"Enable, Bypass"</formula1>
    </dataValidation>
    <dataValidation type="list" allowBlank="1" showInputMessage="1" showErrorMessage="1" sqref="C29">
      <formula1>"Color Bar, HDMI"</formula1>
    </dataValidation>
    <dataValidation type="list" allowBlank="1" showInputMessage="1" showErrorMessage="1" sqref="O4">
      <formula1>"2,4,6,8"</formula1>
    </dataValidation>
    <dataValidation type="list" allowBlank="1" showInputMessage="1" showErrorMessage="1" sqref="C79 O79">
      <formula1>"Yes, No"</formula1>
    </dataValidation>
    <dataValidation type="list" allowBlank="1" showInputMessage="1" showErrorMessage="1" sqref="Z4 AD4 X6 Z6 AB6 AD6 AD8 AJ8 Z10 AB10 AD10 U3:U4 U6:U10">
      <formula1>"Yes,No"</formula1>
    </dataValidation>
    <dataValidation type="list" allowBlank="1" showInputMessage="1" showErrorMessage="1" sqref="O8">
      <formula1>"No, Auto Inc"</formula1>
    </dataValidation>
    <dataValidation type="list" allowBlank="1" showInputMessage="1" showErrorMessage="1" sqref="O6">
      <formula1>"Free Run, Stop at Mute"</formula1>
    </dataValidation>
    <dataValidation type="list" allowBlank="1" showInputMessage="1" showErrorMessage="1" sqref="N6">
      <formula1>"No Delay, 1Clk Dly"</formula1>
    </dataValidation>
    <dataValidation type="whole" allowBlank="1" showInputMessage="1" showErrorMessage="1" sqref="E29:G29 J46:K48">
      <formula1>0</formula1>
      <formula2>255</formula2>
    </dataValidation>
    <dataValidation type="list" allowBlank="1" showInputMessage="1" showErrorMessage="1" sqref="B20">
      <formula1>"640x480p60Hz (1),720x480p60Hz (2),1280x720p60Hz (4),1920x1080p60Hz (16),1920x1200p60Hz (68),2560x1600p60Hz (76),Original"</formula1>
    </dataValidation>
    <dataValidation type="list" allowBlank="1" showInputMessage="1" showErrorMessage="1" sqref="C43">
      <formula1>"TX0/1 Enable, TX0 Enable, TX1 Enable"</formula1>
    </dataValidation>
    <dataValidation type="list" allowBlank="1" showInputMessage="1" showErrorMessage="1" sqref="L20">
      <formula1>"RGB888,YCbCr422,YCbCr444"</formula1>
    </dataValidation>
    <dataValidation type="list" allowBlank="1" showInputMessage="1" showErrorMessage="1" sqref="L22">
      <formula1>"HDCP chip, Non HDCP chip"</formula1>
    </dataValidation>
    <dataValidation type="list" allowBlank="1" showInputMessage="1" showErrorMessage="1" sqref="J24 D47:D48">
      <formula1>"Enable,Disable"</formula1>
    </dataValidation>
    <dataValidation type="list" allowBlank="1" showInputMessage="1" showErrorMessage="1" sqref="C42">
      <formula1>"Half(Manual),Manual"</formula1>
    </dataValidation>
    <dataValidation type="list" allowBlank="1" showInputMessage="1" showErrorMessage="1" sqref="D29">
      <formula1>"Bar, Checker,Solid Color"</formula1>
    </dataValidation>
    <dataValidation type="list" allowBlank="1" showInputMessage="1" showErrorMessage="1" sqref="D42">
      <formula1>"DSI0,DSI1"</formula1>
    </dataValidation>
    <dataValidation type="list" allowBlank="1" showInputMessage="1" showErrorMessage="1" sqref="F42 H42 F45 H45">
      <formula1>"0,1,2,3,4,5,6,7,8,9,10,11,12,13,14,15,16,17,18,19,20,21,22,23,24,25,26,27,28,29,30,31,32"</formula1>
    </dataValidation>
    <dataValidation type="list" allowBlank="1" showInputMessage="1" showErrorMessage="1" sqref="C45">
      <formula1>"RGB888,pRGB666,lpRGB666,YCbCr444,YCbCr422-16bit,YCbCr422-24bit"</formula1>
    </dataValidation>
    <dataValidation type="list" allowBlank="1" showInputMessage="1" showErrorMessage="1" sqref="D45">
      <formula1>"SyncEvent,SyncPulse"</formula1>
    </dataValidation>
    <dataValidation type="list" allowBlank="1" showInputMessage="1" showErrorMessage="1" sqref="M23:M24">
      <formula1>"H Active,L Active"</formula1>
    </dataValidation>
    <dataValidation type="list" allowBlank="1" showInputMessage="1" showErrorMessage="1" sqref="O58">
      <formula1>"Same as TX0, Original"</formula1>
    </dataValidation>
    <dataValidation type="list" allowBlank="1" showInputMessage="1" showErrorMessage="1" sqref="C60 O60">
      <formula1>"LP,HS"</formula1>
    </dataValidation>
    <dataValidation type="list" allowBlank="1" showInputMessage="1" showErrorMessage="1" sqref="D60:E60 P60:Q60">
      <formula1>"Follow Input,Set"</formula1>
    </dataValidation>
    <dataValidation type="list" allowBlank="1" showInputMessage="1" showErrorMessage="1" sqref="C74 O74">
      <formula1>"62.5M-125M,125M-250M,250M-500M,500M-1G"</formula1>
    </dataValidation>
    <dataValidation type="list" allowBlank="1" showInputMessage="1" showErrorMessage="1" sqref="C78 O78">
      <formula1>"1,2,3,4"</formula1>
    </dataValidation>
    <dataValidation type="list" allowBlank="1" showInputMessage="1" showErrorMessage="1" sqref="C80:C81 O80:O81">
      <formula1>"Enable, Disable"</formula1>
    </dataValidation>
    <dataValidation type="list" allowBlank="1" showInputMessage="1" showErrorMessage="1" sqref="R11:R14">
      <formula1>"Original,Select"</formula1>
    </dataValidation>
    <dataValidation type="list" allowBlank="1" showInputMessage="1" showErrorMessage="1" sqref="S11:S14">
      <formula1>"640x480p60Hz (1),720x480p60Hz (2),1280x720p60Hz (4),1920x1080p60Hz (16)"</formula1>
    </dataValidation>
  </dataValidations>
  <pageMargins left="0.75" right="0.75" top="1" bottom="1" header="0.5" footer="0.5"/>
  <pageSetup paperSize="9" orientation="portrait"/>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6" tint="-0.249977111117893"/>
  </sheetPr>
  <dimension ref="A1:BZ352"/>
  <sheetViews>
    <sheetView showGridLines="0" zoomScale="75" zoomScaleNormal="75" workbookViewId="0">
      <selection activeCell="J13" sqref="J13"/>
    </sheetView>
  </sheetViews>
  <sheetFormatPr defaultColWidth="9" defaultRowHeight="14.25"/>
  <cols>
    <col min="1" max="1" width="3.375" style="65" customWidth="1"/>
    <col min="2" max="2" width="7.875" style="65" customWidth="1"/>
    <col min="3" max="3" width="20.75" style="65" customWidth="1"/>
    <col min="4" max="4" width="11" style="65" customWidth="1"/>
    <col min="5" max="5" width="12.625" style="66" customWidth="1"/>
    <col min="6" max="6" width="76.5" style="65" customWidth="1"/>
    <col min="7" max="7" width="5.25" style="65" customWidth="1"/>
    <col min="8" max="8" width="18.25" style="65" customWidth="1"/>
    <col min="9" max="9" width="12.625" style="65" customWidth="1"/>
    <col min="10" max="10" width="14.125" style="65" customWidth="1"/>
    <col min="11" max="11" width="12.75" style="65" customWidth="1"/>
    <col min="12" max="12" width="20.5" style="66" hidden="1" customWidth="1"/>
    <col min="13" max="14" width="12.625" style="66" hidden="1" customWidth="1"/>
    <col min="15" max="15" width="13.5" style="66" hidden="1" customWidth="1"/>
    <col min="16" max="17" width="14" style="66" hidden="1" customWidth="1"/>
    <col min="18" max="18" width="15" style="66" hidden="1" customWidth="1"/>
    <col min="19" max="19" width="16.25" style="66" hidden="1" customWidth="1"/>
    <col min="20" max="20" width="14.5" style="66" hidden="1" customWidth="1"/>
    <col min="21" max="21" width="12.625" style="242" hidden="1" customWidth="1"/>
    <col min="22" max="22" width="13.75" style="242" hidden="1" customWidth="1"/>
    <col min="23" max="23" width="14.125" style="242" hidden="1" customWidth="1"/>
    <col min="24" max="25" width="12.625" style="242" hidden="1" customWidth="1"/>
    <col min="26" max="26" width="12.75" style="242" hidden="1" customWidth="1"/>
    <col min="27" max="27" width="12.5" style="242" hidden="1" customWidth="1"/>
    <col min="28" max="28" width="11.375" style="242" hidden="1" customWidth="1"/>
    <col min="29" max="29" width="11.625" style="242" hidden="1" customWidth="1"/>
    <col min="30" max="30" width="12.375" style="242" hidden="1" customWidth="1"/>
    <col min="31" max="31" width="12" style="242" hidden="1" customWidth="1"/>
    <col min="32" max="32" width="12.375" style="242" hidden="1" customWidth="1"/>
    <col min="33" max="33" width="14.125" style="242" hidden="1" customWidth="1"/>
    <col min="34" max="34" width="11.5" style="242" hidden="1" customWidth="1"/>
    <col min="35" max="35" width="12.25" style="242" hidden="1" customWidth="1"/>
    <col min="36" max="40" width="3.125" style="242" hidden="1" customWidth="1"/>
    <col min="41" max="41" width="5.125" style="242" hidden="1" customWidth="1"/>
    <col min="42" max="42" width="4" style="242" hidden="1" customWidth="1"/>
    <col min="43" max="44" width="9" style="242" hidden="1" customWidth="1"/>
    <col min="45" max="78" width="9" style="65" hidden="1" customWidth="1"/>
    <col min="79" max="16384" width="9" style="65"/>
  </cols>
  <sheetData>
    <row r="1" spans="2:36" ht="18">
      <c r="B1" s="67" t="s">
        <v>1030</v>
      </c>
      <c r="C1" s="67"/>
      <c r="F1" s="68" t="s">
        <v>1031</v>
      </c>
      <c r="G1" s="65" t="s">
        <v>77</v>
      </c>
      <c r="H1" s="70" t="s">
        <v>696</v>
      </c>
      <c r="I1" s="42"/>
      <c r="J1" s="108"/>
      <c r="K1"/>
      <c r="L1" s="247"/>
      <c r="M1" s="247"/>
      <c r="N1" s="2"/>
    </row>
    <row r="2" spans="2:36">
      <c r="B2" s="64" t="s">
        <v>695</v>
      </c>
      <c r="H2" s="241"/>
      <c r="I2" s="194"/>
      <c r="J2" s="194"/>
      <c r="K2" s="194"/>
      <c r="L2" s="247"/>
      <c r="M2" s="247"/>
      <c r="N2" s="247"/>
      <c r="O2" s="247"/>
      <c r="P2" s="247"/>
      <c r="Q2" s="247"/>
      <c r="R2" s="247"/>
    </row>
    <row r="3" spans="2:36">
      <c r="B3" s="141" t="s">
        <v>1032</v>
      </c>
      <c r="C3" s="142" t="s">
        <v>1033</v>
      </c>
      <c r="D3" s="192"/>
      <c r="E3" s="192"/>
      <c r="F3" s="193" t="s">
        <v>1034</v>
      </c>
      <c r="G3"/>
      <c r="H3" s="194"/>
      <c r="I3" s="194"/>
      <c r="J3" s="194"/>
      <c r="K3" s="194"/>
      <c r="L3" s="131"/>
      <c r="M3" s="131"/>
      <c r="N3" s="131"/>
      <c r="O3" s="131"/>
      <c r="P3" s="131"/>
      <c r="Q3" s="131"/>
      <c r="R3" s="131"/>
      <c r="S3" s="131"/>
      <c r="T3" s="131"/>
      <c r="U3" s="131"/>
      <c r="V3" s="131"/>
      <c r="W3" s="131"/>
      <c r="X3" s="131"/>
      <c r="Y3" s="131"/>
      <c r="Z3" s="266"/>
      <c r="AJ3" s="266"/>
    </row>
    <row r="4" spans="2:36">
      <c r="B4" s="93" t="s">
        <v>1035</v>
      </c>
      <c r="C4" s="89" t="s">
        <v>1036</v>
      </c>
      <c r="D4" s="510" t="s">
        <v>1037</v>
      </c>
      <c r="E4" s="511" t="s">
        <v>1038</v>
      </c>
      <c r="F4" s="243" t="s">
        <v>1039</v>
      </c>
      <c r="G4" s="194">
        <f>HEX2DEC(E4)</f>
        <v>0</v>
      </c>
      <c r="H4" s="194"/>
      <c r="I4" s="194"/>
      <c r="J4" s="194"/>
      <c r="K4" s="194"/>
      <c r="L4" s="248" t="s">
        <v>1040</v>
      </c>
      <c r="M4" s="131"/>
      <c r="N4" s="131"/>
      <c r="O4" s="131"/>
      <c r="P4" s="131"/>
      <c r="Q4" s="131"/>
      <c r="R4" s="131"/>
      <c r="S4" s="131"/>
      <c r="T4" s="131"/>
      <c r="U4" s="131"/>
      <c r="V4" s="131"/>
      <c r="W4" s="131"/>
      <c r="X4" s="131"/>
      <c r="Y4" s="131"/>
      <c r="Z4" s="266"/>
      <c r="AJ4" s="266"/>
    </row>
    <row r="5" spans="2:36">
      <c r="B5" s="93" t="s">
        <v>1035</v>
      </c>
      <c r="C5" s="89" t="s">
        <v>1036</v>
      </c>
      <c r="D5" s="510" t="s">
        <v>1041</v>
      </c>
      <c r="E5" s="511" t="s">
        <v>1042</v>
      </c>
      <c r="F5" s="243"/>
      <c r="G5" s="194">
        <f>HEX2DEC(E5)</f>
        <v>255</v>
      </c>
      <c r="H5" s="194"/>
      <c r="I5" s="194"/>
      <c r="J5" s="194"/>
      <c r="K5" s="194"/>
      <c r="L5" s="248" t="s">
        <v>1040</v>
      </c>
      <c r="M5" s="131"/>
      <c r="N5" s="131"/>
      <c r="O5" s="131"/>
      <c r="P5" s="131"/>
      <c r="Q5" s="131"/>
      <c r="R5" s="131"/>
      <c r="S5" s="131"/>
      <c r="T5" s="131"/>
      <c r="U5" s="131"/>
      <c r="V5" s="131"/>
      <c r="W5" s="131"/>
      <c r="X5" s="131"/>
      <c r="Y5" s="131"/>
      <c r="Z5" s="266"/>
      <c r="AJ5" s="266"/>
    </row>
    <row r="6" spans="2:36">
      <c r="B6" s="93" t="s">
        <v>1035</v>
      </c>
      <c r="C6" s="89" t="s">
        <v>1036</v>
      </c>
      <c r="D6" s="510" t="s">
        <v>1043</v>
      </c>
      <c r="E6" s="511" t="s">
        <v>1042</v>
      </c>
      <c r="F6" s="243"/>
      <c r="G6" s="194">
        <f t="shared" ref="G6:G69" si="0">HEX2DEC(E6)</f>
        <v>255</v>
      </c>
      <c r="H6" s="194"/>
      <c r="I6" s="194"/>
      <c r="J6" s="194"/>
      <c r="K6" s="194"/>
      <c r="L6" s="248" t="s">
        <v>1040</v>
      </c>
      <c r="M6" s="131"/>
      <c r="N6" s="131"/>
      <c r="O6" s="131"/>
      <c r="P6" s="131"/>
      <c r="Q6" s="131"/>
      <c r="R6" s="131"/>
      <c r="S6" s="131"/>
      <c r="T6" s="131"/>
      <c r="U6" s="131"/>
      <c r="V6" s="131"/>
      <c r="W6" s="131"/>
      <c r="X6" s="131"/>
      <c r="Y6" s="131"/>
      <c r="Z6" s="266"/>
      <c r="AJ6" s="266"/>
    </row>
    <row r="7" spans="2:36">
      <c r="B7" s="93" t="s">
        <v>1035</v>
      </c>
      <c r="C7" s="89" t="s">
        <v>1036</v>
      </c>
      <c r="D7" s="510" t="s">
        <v>1044</v>
      </c>
      <c r="E7" s="511" t="s">
        <v>1042</v>
      </c>
      <c r="F7" s="243"/>
      <c r="G7" s="194">
        <f t="shared" si="0"/>
        <v>255</v>
      </c>
      <c r="H7" s="194"/>
      <c r="I7" s="194"/>
      <c r="J7" s="241"/>
      <c r="K7" s="241"/>
      <c r="L7" s="248" t="s">
        <v>1040</v>
      </c>
      <c r="M7" s="131"/>
      <c r="N7" s="131"/>
      <c r="O7" s="131"/>
      <c r="P7" s="131"/>
      <c r="Q7" s="131"/>
      <c r="R7" s="131"/>
      <c r="S7" s="131"/>
      <c r="T7" s="131"/>
      <c r="U7" s="131"/>
      <c r="V7" s="131"/>
      <c r="W7" s="131"/>
      <c r="X7" s="131"/>
      <c r="Y7" s="131"/>
      <c r="Z7" s="266"/>
      <c r="AJ7" s="266"/>
    </row>
    <row r="8" spans="2:36">
      <c r="B8" s="93" t="s">
        <v>1035</v>
      </c>
      <c r="C8" s="89" t="s">
        <v>1036</v>
      </c>
      <c r="D8" s="510" t="s">
        <v>1045</v>
      </c>
      <c r="E8" s="511" t="s">
        <v>1042</v>
      </c>
      <c r="F8" s="243"/>
      <c r="G8" s="194">
        <f t="shared" si="0"/>
        <v>255</v>
      </c>
      <c r="H8" s="194"/>
      <c r="I8" s="194"/>
      <c r="J8" s="249" t="str">
        <f>UPPER(J13)</f>
        <v>TSB</v>
      </c>
      <c r="K8" s="194"/>
      <c r="L8" s="248" t="s">
        <v>1040</v>
      </c>
      <c r="M8" s="131"/>
      <c r="N8" s="131"/>
      <c r="O8" s="131"/>
      <c r="P8" s="131"/>
      <c r="Q8" s="131"/>
      <c r="R8" s="131"/>
      <c r="S8" s="131"/>
      <c r="T8" s="131"/>
      <c r="U8" s="131"/>
      <c r="V8" s="131"/>
      <c r="W8" s="131"/>
      <c r="X8" s="131"/>
      <c r="Y8" s="131"/>
      <c r="Z8" s="266"/>
      <c r="AJ8" s="266"/>
    </row>
    <row r="9" spans="2:36">
      <c r="B9" s="93" t="s">
        <v>1035</v>
      </c>
      <c r="C9" s="89" t="s">
        <v>1036</v>
      </c>
      <c r="D9" s="510" t="s">
        <v>1046</v>
      </c>
      <c r="E9" s="511" t="s">
        <v>1042</v>
      </c>
      <c r="F9" s="243"/>
      <c r="G9" s="194">
        <f t="shared" si="0"/>
        <v>255</v>
      </c>
      <c r="H9" s="194"/>
      <c r="I9" s="194"/>
      <c r="J9" s="194">
        <f>CODE(MID($J$8,1,1))</f>
        <v>84</v>
      </c>
      <c r="K9" s="194" t="str">
        <f>DEC2BIN(IF(AND(J9&gt;64,J9&lt;91),J9-64,24),5)</f>
        <v>10100</v>
      </c>
      <c r="L9" s="248" t="s">
        <v>1040</v>
      </c>
      <c r="M9" s="131"/>
      <c r="N9" s="131"/>
      <c r="O9" s="131"/>
      <c r="P9" s="131"/>
      <c r="Q9" s="131"/>
      <c r="R9" s="131"/>
      <c r="S9" s="131"/>
      <c r="T9" s="131"/>
      <c r="U9" s="131"/>
      <c r="V9" s="131"/>
      <c r="W9" s="131"/>
      <c r="X9" s="131"/>
      <c r="Y9" s="131"/>
      <c r="Z9" s="266"/>
      <c r="AJ9" s="266"/>
    </row>
    <row r="10" spans="2:36">
      <c r="B10" s="93" t="s">
        <v>1035</v>
      </c>
      <c r="C10" s="89" t="s">
        <v>1036</v>
      </c>
      <c r="D10" s="510" t="s">
        <v>1047</v>
      </c>
      <c r="E10" s="511" t="s">
        <v>1042</v>
      </c>
      <c r="F10" s="243"/>
      <c r="G10" s="194">
        <f t="shared" si="0"/>
        <v>255</v>
      </c>
      <c r="H10" s="194"/>
      <c r="I10" s="194"/>
      <c r="J10" s="194">
        <f>CODE(MID($J$8,2,1))</f>
        <v>83</v>
      </c>
      <c r="K10" s="194" t="str">
        <f t="shared" ref="K10:K11" si="1">DEC2BIN(IF(AND(J10&gt;64,J10&lt;91),J10-64,24),5)</f>
        <v>10011</v>
      </c>
      <c r="L10" s="248" t="s">
        <v>1040</v>
      </c>
      <c r="M10" s="131"/>
      <c r="N10" s="131"/>
      <c r="O10" s="131"/>
      <c r="P10" s="131"/>
      <c r="Q10" s="131"/>
      <c r="R10" s="131"/>
      <c r="S10" s="131"/>
      <c r="T10" s="131"/>
      <c r="U10" s="131"/>
      <c r="V10" s="131"/>
      <c r="W10" s="131"/>
      <c r="X10" s="131"/>
      <c r="Y10" s="131"/>
      <c r="Z10" s="266"/>
      <c r="AJ10" s="266"/>
    </row>
    <row r="11" spans="2:36">
      <c r="B11" s="93" t="s">
        <v>1035</v>
      </c>
      <c r="C11" s="89" t="s">
        <v>1036</v>
      </c>
      <c r="D11" s="510" t="s">
        <v>1048</v>
      </c>
      <c r="E11" s="511" t="s">
        <v>1038</v>
      </c>
      <c r="F11" s="243" t="s">
        <v>1049</v>
      </c>
      <c r="G11" s="194">
        <f t="shared" si="0"/>
        <v>0</v>
      </c>
      <c r="H11" s="241"/>
      <c r="I11" s="241"/>
      <c r="J11" s="194">
        <f>CODE(MID($J$8,3,1))</f>
        <v>66</v>
      </c>
      <c r="K11" s="194" t="str">
        <f t="shared" si="1"/>
        <v>00010</v>
      </c>
      <c r="L11" s="248" t="s">
        <v>1040</v>
      </c>
      <c r="M11" s="131"/>
      <c r="N11" s="131"/>
      <c r="O11" s="131"/>
      <c r="P11" s="131"/>
      <c r="Q11" s="131"/>
      <c r="R11" s="131"/>
      <c r="S11" s="131"/>
      <c r="T11" s="131"/>
      <c r="U11" s="131"/>
      <c r="V11" s="131"/>
      <c r="W11" s="131"/>
      <c r="X11" s="131"/>
      <c r="Y11" s="131"/>
      <c r="Z11" s="266"/>
      <c r="AJ11" s="266"/>
    </row>
    <row r="12" spans="2:36" ht="15">
      <c r="B12" s="93" t="s">
        <v>1035</v>
      </c>
      <c r="C12" s="89" t="s">
        <v>1036</v>
      </c>
      <c r="D12" s="510" t="s">
        <v>1050</v>
      </c>
      <c r="E12" s="512" t="str">
        <f>BIN2HEX(K9&amp;LEFT(K10,2),2)</f>
        <v>52</v>
      </c>
      <c r="F12" s="244" t="s">
        <v>1051</v>
      </c>
      <c r="G12" s="194">
        <f t="shared" si="0"/>
        <v>82</v>
      </c>
      <c r="H12" s="587" t="s">
        <v>1052</v>
      </c>
      <c r="I12" s="587"/>
      <c r="J12" s="587"/>
      <c r="K12" s="250" t="s">
        <v>1053</v>
      </c>
      <c r="L12" s="248" t="s">
        <v>1054</v>
      </c>
      <c r="M12" s="131"/>
      <c r="N12" s="131"/>
      <c r="O12" s="131"/>
      <c r="P12" s="131"/>
      <c r="Q12" s="131"/>
      <c r="R12" s="131"/>
      <c r="S12" s="131"/>
      <c r="T12" s="131"/>
      <c r="U12" s="131"/>
      <c r="V12" s="131"/>
      <c r="W12" s="131"/>
      <c r="X12" s="131"/>
      <c r="Y12" s="131"/>
      <c r="Z12" s="266"/>
      <c r="AJ12" s="266"/>
    </row>
    <row r="13" spans="2:36" ht="15">
      <c r="B13" s="93" t="s">
        <v>1035</v>
      </c>
      <c r="C13" s="89" t="s">
        <v>1036</v>
      </c>
      <c r="D13" s="510" t="s">
        <v>1055</v>
      </c>
      <c r="E13" s="512" t="str">
        <f>BIN2HEX(RIGHT(K10,3)&amp;K11,2)</f>
        <v>62</v>
      </c>
      <c r="F13" s="244"/>
      <c r="G13" s="194">
        <f t="shared" si="0"/>
        <v>98</v>
      </c>
      <c r="H13" s="586" t="s">
        <v>1056</v>
      </c>
      <c r="I13" s="586"/>
      <c r="J13" s="251" t="s">
        <v>1057</v>
      </c>
      <c r="K13" s="209" t="str">
        <f>CHAR(BIN2DEC(K9)+64)&amp;CHAR(BIN2DEC(K10)+64)&amp;CHAR(BIN2DEC(K11)+64)</f>
        <v>TSB</v>
      </c>
      <c r="L13" s="248" t="s">
        <v>1054</v>
      </c>
      <c r="M13" s="215"/>
      <c r="N13" s="131"/>
      <c r="O13" s="131"/>
      <c r="P13" s="131"/>
      <c r="Q13" s="131"/>
      <c r="R13" s="131"/>
      <c r="S13" s="131"/>
      <c r="T13" s="131"/>
      <c r="U13" s="131"/>
      <c r="V13" s="131"/>
      <c r="W13" s="131"/>
      <c r="X13" s="131"/>
      <c r="Y13" s="131"/>
      <c r="Z13" s="247"/>
      <c r="AA13" s="66"/>
      <c r="AB13" s="66"/>
      <c r="AC13" s="66"/>
      <c r="AD13" s="66"/>
      <c r="AJ13" s="266"/>
    </row>
    <row r="14" spans="2:36" ht="15">
      <c r="B14" s="93" t="s">
        <v>1035</v>
      </c>
      <c r="C14" s="89" t="s">
        <v>1036</v>
      </c>
      <c r="D14" s="510" t="s">
        <v>1058</v>
      </c>
      <c r="E14" s="512" t="str">
        <f>DEC2HEX(J14,2)</f>
        <v>88</v>
      </c>
      <c r="F14" s="244" t="s">
        <v>1059</v>
      </c>
      <c r="G14" s="194">
        <f t="shared" si="0"/>
        <v>136</v>
      </c>
      <c r="H14" s="583" t="s">
        <v>1060</v>
      </c>
      <c r="I14" s="583"/>
      <c r="J14" s="252">
        <v>136</v>
      </c>
      <c r="K14" s="209" t="str">
        <f t="shared" ref="K14:K19" si="2">IF(J14&lt;&gt;"",IF(J14&gt;=0,IF(J14&lt;=255,"OK","NG")),"NG")</f>
        <v>OK</v>
      </c>
      <c r="L14" s="253"/>
      <c r="M14" s="253"/>
      <c r="N14" s="131"/>
      <c r="O14" s="131"/>
      <c r="P14" s="131"/>
      <c r="Q14" s="131"/>
      <c r="R14" s="131"/>
      <c r="S14" s="131"/>
      <c r="T14" s="131"/>
      <c r="U14" s="131"/>
      <c r="V14" s="131"/>
      <c r="W14" s="131"/>
      <c r="X14" s="131"/>
      <c r="Y14" s="131"/>
      <c r="Z14" s="247"/>
      <c r="AA14" s="66"/>
      <c r="AB14" s="66"/>
      <c r="AC14" s="66"/>
      <c r="AD14" s="66"/>
      <c r="AJ14" s="266"/>
    </row>
    <row r="15" spans="2:36" ht="15">
      <c r="B15" s="93" t="s">
        <v>1035</v>
      </c>
      <c r="C15" s="89" t="s">
        <v>1036</v>
      </c>
      <c r="D15" s="510" t="s">
        <v>1061</v>
      </c>
      <c r="E15" s="512" t="str">
        <f t="shared" ref="E15:E20" si="3">DEC2HEX(J15,2)</f>
        <v>88</v>
      </c>
      <c r="F15" s="244"/>
      <c r="G15" s="194">
        <f t="shared" si="0"/>
        <v>136</v>
      </c>
      <c r="H15" s="583" t="s">
        <v>1062</v>
      </c>
      <c r="I15" s="583"/>
      <c r="J15" s="252">
        <v>136</v>
      </c>
      <c r="K15" s="209" t="str">
        <f t="shared" si="2"/>
        <v>OK</v>
      </c>
      <c r="L15" s="253"/>
      <c r="M15" s="253"/>
      <c r="N15" s="131"/>
      <c r="O15" s="131"/>
      <c r="P15" s="131"/>
      <c r="Q15" s="131"/>
      <c r="R15" s="131"/>
      <c r="S15" s="131"/>
      <c r="T15" s="131"/>
      <c r="U15" s="131"/>
      <c r="V15" s="131"/>
      <c r="W15" s="131"/>
      <c r="X15" s="131"/>
      <c r="Y15" s="131"/>
      <c r="Z15" s="247"/>
      <c r="AA15" s="66"/>
      <c r="AB15" s="66"/>
      <c r="AC15" s="66"/>
      <c r="AD15" s="66"/>
      <c r="AJ15" s="266"/>
    </row>
    <row r="16" spans="2:36" ht="15">
      <c r="B16" s="93" t="s">
        <v>1035</v>
      </c>
      <c r="C16" s="89" t="s">
        <v>1036</v>
      </c>
      <c r="D16" s="510" t="s">
        <v>1063</v>
      </c>
      <c r="E16" s="512" t="str">
        <f t="shared" si="3"/>
        <v>00</v>
      </c>
      <c r="F16" s="244" t="s">
        <v>1064</v>
      </c>
      <c r="G16" s="194">
        <f t="shared" si="0"/>
        <v>0</v>
      </c>
      <c r="H16" s="586" t="s">
        <v>1065</v>
      </c>
      <c r="I16" s="586"/>
      <c r="J16" s="252">
        <v>0</v>
      </c>
      <c r="K16" s="209" t="str">
        <f t="shared" si="2"/>
        <v>OK</v>
      </c>
      <c r="L16" s="253"/>
      <c r="M16" s="253"/>
      <c r="N16" s="131"/>
      <c r="O16" s="131"/>
      <c r="P16" s="131"/>
      <c r="Q16" s="131"/>
      <c r="R16" s="131"/>
      <c r="S16" s="131"/>
      <c r="T16" s="131"/>
      <c r="U16" s="131"/>
      <c r="V16" s="131"/>
      <c r="W16" s="131"/>
      <c r="X16" s="131"/>
      <c r="Y16" s="131"/>
      <c r="Z16" s="247"/>
      <c r="AA16" s="66"/>
      <c r="AB16" s="66"/>
      <c r="AC16" s="66"/>
      <c r="AD16" s="66"/>
      <c r="AJ16" s="266"/>
    </row>
    <row r="17" spans="2:36" ht="15">
      <c r="B17" s="93" t="s">
        <v>1035</v>
      </c>
      <c r="C17" s="89" t="s">
        <v>1036</v>
      </c>
      <c r="D17" s="510" t="s">
        <v>1066</v>
      </c>
      <c r="E17" s="512" t="str">
        <f t="shared" si="3"/>
        <v>88</v>
      </c>
      <c r="F17" s="244"/>
      <c r="G17" s="194">
        <f t="shared" si="0"/>
        <v>136</v>
      </c>
      <c r="H17" s="586" t="s">
        <v>1067</v>
      </c>
      <c r="I17" s="586"/>
      <c r="J17" s="252">
        <v>136</v>
      </c>
      <c r="K17" s="209" t="str">
        <f t="shared" si="2"/>
        <v>OK</v>
      </c>
      <c r="L17" s="253"/>
      <c r="M17" s="253"/>
      <c r="N17" s="131"/>
      <c r="O17" s="131"/>
      <c r="P17" s="131"/>
      <c r="Q17" s="131"/>
      <c r="R17" s="131"/>
      <c r="S17" s="131"/>
      <c r="T17" s="131"/>
      <c r="U17" s="131"/>
      <c r="V17" s="131"/>
      <c r="W17" s="131"/>
      <c r="X17" s="131"/>
      <c r="Y17" s="131"/>
      <c r="Z17" s="247"/>
      <c r="AA17" s="66"/>
      <c r="AB17" s="66"/>
      <c r="AC17" s="66"/>
      <c r="AD17" s="66"/>
      <c r="AJ17" s="266"/>
    </row>
    <row r="18" spans="2:36" ht="15">
      <c r="B18" s="93" t="s">
        <v>1035</v>
      </c>
      <c r="C18" s="89" t="s">
        <v>1036</v>
      </c>
      <c r="D18" s="510" t="s">
        <v>1068</v>
      </c>
      <c r="E18" s="512" t="str">
        <f t="shared" si="3"/>
        <v>88</v>
      </c>
      <c r="F18" s="244"/>
      <c r="G18" s="194">
        <f t="shared" si="0"/>
        <v>136</v>
      </c>
      <c r="H18" s="586" t="s">
        <v>1069</v>
      </c>
      <c r="I18" s="586"/>
      <c r="J18" s="252">
        <v>136</v>
      </c>
      <c r="K18" s="209" t="str">
        <f t="shared" si="2"/>
        <v>OK</v>
      </c>
      <c r="L18" s="253"/>
      <c r="M18" s="253"/>
      <c r="N18" s="131"/>
      <c r="O18" s="131"/>
      <c r="P18" s="131"/>
      <c r="Q18" s="131"/>
      <c r="R18" s="131"/>
      <c r="S18" s="131"/>
      <c r="T18" s="131"/>
      <c r="U18" s="131"/>
      <c r="V18" s="131"/>
      <c r="W18" s="131"/>
      <c r="X18" s="131"/>
      <c r="Y18" s="131"/>
      <c r="Z18" s="247"/>
      <c r="AA18" s="66"/>
      <c r="AB18" s="66"/>
      <c r="AC18" s="66"/>
      <c r="AD18" s="66"/>
      <c r="AJ18" s="266"/>
    </row>
    <row r="19" spans="2:36" ht="15">
      <c r="B19" s="93" t="s">
        <v>1035</v>
      </c>
      <c r="C19" s="89" t="s">
        <v>1036</v>
      </c>
      <c r="D19" s="510" t="s">
        <v>1070</v>
      </c>
      <c r="E19" s="512" t="str">
        <f t="shared" si="3"/>
        <v>88</v>
      </c>
      <c r="F19" s="244"/>
      <c r="G19" s="194">
        <f t="shared" si="0"/>
        <v>136</v>
      </c>
      <c r="H19" s="586" t="s">
        <v>1071</v>
      </c>
      <c r="I19" s="586"/>
      <c r="J19" s="252">
        <v>136</v>
      </c>
      <c r="K19" s="209" t="str">
        <f t="shared" si="2"/>
        <v>OK</v>
      </c>
      <c r="L19" s="253"/>
      <c r="M19" s="253"/>
      <c r="N19" s="131"/>
      <c r="O19" s="131"/>
      <c r="P19" s="131"/>
      <c r="Q19" s="131"/>
      <c r="R19" s="131"/>
      <c r="S19" s="131"/>
      <c r="T19" s="131"/>
      <c r="U19" s="131"/>
      <c r="V19" s="131"/>
      <c r="W19" s="131"/>
      <c r="X19" s="131"/>
      <c r="Y19" s="131"/>
      <c r="Z19" s="247"/>
      <c r="AA19" s="66"/>
      <c r="AB19" s="66"/>
      <c r="AC19" s="66"/>
      <c r="AD19" s="66"/>
      <c r="AJ19" s="266"/>
    </row>
    <row r="20" spans="2:36" ht="15">
      <c r="B20" s="93" t="s">
        <v>1035</v>
      </c>
      <c r="C20" s="89" t="s">
        <v>1036</v>
      </c>
      <c r="D20" s="510" t="s">
        <v>1072</v>
      </c>
      <c r="E20" s="512" t="str">
        <f t="shared" si="3"/>
        <v>1C</v>
      </c>
      <c r="F20" s="244" t="s">
        <v>1073</v>
      </c>
      <c r="G20" s="194">
        <f t="shared" si="0"/>
        <v>28</v>
      </c>
      <c r="H20" s="583" t="s">
        <v>1074</v>
      </c>
      <c r="I20" s="583"/>
      <c r="J20" s="252">
        <v>28</v>
      </c>
      <c r="K20" s="209" t="str">
        <f>IF(J20&lt;&gt;"",IF(J20&gt;=0,IF(J20&lt;=53,"OK","NG")),"NG")</f>
        <v>OK</v>
      </c>
      <c r="L20" s="253"/>
      <c r="M20" s="253"/>
      <c r="N20" s="131"/>
      <c r="O20" s="131"/>
      <c r="P20" s="131"/>
      <c r="Q20" s="131"/>
      <c r="R20" s="131"/>
      <c r="S20" s="131"/>
      <c r="T20" s="131"/>
      <c r="U20" s="131"/>
      <c r="V20" s="131"/>
      <c r="W20" s="131"/>
      <c r="X20" s="131"/>
      <c r="Y20" s="131"/>
      <c r="Z20" s="247"/>
      <c r="AA20" s="66"/>
      <c r="AB20" s="66"/>
      <c r="AC20" s="66"/>
      <c r="AD20" s="66"/>
      <c r="AJ20" s="266"/>
    </row>
    <row r="21" spans="2:36" ht="15">
      <c r="B21" s="93" t="s">
        <v>1035</v>
      </c>
      <c r="C21" s="89" t="s">
        <v>1036</v>
      </c>
      <c r="D21" s="510" t="s">
        <v>1075</v>
      </c>
      <c r="E21" s="512" t="str">
        <f>DEC2HEX(J21-1990,2)</f>
        <v>15</v>
      </c>
      <c r="F21" s="244" t="s">
        <v>1076</v>
      </c>
      <c r="G21" s="194">
        <f t="shared" si="0"/>
        <v>21</v>
      </c>
      <c r="H21" s="586" t="s">
        <v>1077</v>
      </c>
      <c r="I21" s="586"/>
      <c r="J21" s="252">
        <v>2011</v>
      </c>
      <c r="K21" s="209" t="str">
        <f>IF(J21&lt;&gt;"",IF(J21&gt;=1990,IF(J21&lt;=2245,"OK","NG")),"NG")</f>
        <v>OK</v>
      </c>
      <c r="L21" s="253"/>
      <c r="M21" s="253"/>
      <c r="N21" s="131"/>
      <c r="O21" s="131"/>
      <c r="P21" s="131"/>
      <c r="Q21" s="131"/>
      <c r="R21" s="131"/>
      <c r="S21" s="131"/>
      <c r="T21" s="131"/>
      <c r="U21" s="131"/>
      <c r="V21" s="131"/>
      <c r="W21" s="131"/>
      <c r="X21" s="131"/>
      <c r="Y21" s="131"/>
      <c r="Z21" s="247"/>
      <c r="AA21" s="66"/>
      <c r="AB21" s="66"/>
      <c r="AC21" s="66"/>
      <c r="AD21" s="66"/>
      <c r="AJ21" s="266"/>
    </row>
    <row r="22" spans="2:36">
      <c r="B22" s="93" t="s">
        <v>1035</v>
      </c>
      <c r="C22" s="89" t="s">
        <v>1036</v>
      </c>
      <c r="D22" s="510" t="s">
        <v>1078</v>
      </c>
      <c r="E22" s="511" t="s">
        <v>1079</v>
      </c>
      <c r="F22" s="244" t="s">
        <v>1080</v>
      </c>
      <c r="G22" s="194">
        <f t="shared" si="0"/>
        <v>1</v>
      </c>
      <c r="H22"/>
      <c r="I22"/>
      <c r="J22"/>
      <c r="K22"/>
      <c r="L22" s="248" t="s">
        <v>1081</v>
      </c>
      <c r="M22" s="131"/>
      <c r="N22" s="131"/>
      <c r="O22" s="131"/>
      <c r="P22" s="131"/>
      <c r="Q22" s="131"/>
      <c r="R22" s="131"/>
      <c r="S22" s="131"/>
      <c r="T22" s="131"/>
      <c r="U22" s="131"/>
      <c r="V22" s="131"/>
      <c r="W22" s="131"/>
      <c r="X22" s="131"/>
      <c r="Y22" s="131"/>
      <c r="Z22" s="247"/>
      <c r="AA22" s="66"/>
      <c r="AB22" s="66"/>
      <c r="AC22" s="66"/>
      <c r="AD22" s="66"/>
      <c r="AJ22" s="266"/>
    </row>
    <row r="23" spans="2:36">
      <c r="B23" s="93" t="s">
        <v>1035</v>
      </c>
      <c r="C23" s="89" t="s">
        <v>1036</v>
      </c>
      <c r="D23" s="510" t="s">
        <v>1082</v>
      </c>
      <c r="E23" s="511" t="s">
        <v>1083</v>
      </c>
      <c r="F23" s="244" t="s">
        <v>1084</v>
      </c>
      <c r="G23" s="194">
        <f t="shared" si="0"/>
        <v>3</v>
      </c>
      <c r="H23"/>
      <c r="I23"/>
      <c r="J23"/>
      <c r="K23"/>
      <c r="L23" s="248" t="s">
        <v>1085</v>
      </c>
      <c r="M23" s="131"/>
      <c r="N23" s="131"/>
      <c r="O23" s="131"/>
      <c r="P23" s="131"/>
      <c r="Q23" s="131"/>
      <c r="R23" s="131"/>
      <c r="S23" s="131"/>
      <c r="T23" s="131"/>
      <c r="U23" s="131"/>
      <c r="V23" s="131"/>
      <c r="W23" s="131"/>
      <c r="X23" s="131"/>
      <c r="Y23" s="131"/>
      <c r="Z23" s="247"/>
      <c r="AA23" s="66"/>
      <c r="AB23" s="66"/>
      <c r="AC23" s="66"/>
      <c r="AD23" s="66"/>
      <c r="AJ23" s="266"/>
    </row>
    <row r="24" spans="2:36">
      <c r="B24" s="93" t="s">
        <v>1035</v>
      </c>
      <c r="C24" s="89" t="s">
        <v>1036</v>
      </c>
      <c r="D24" s="510" t="s">
        <v>1086</v>
      </c>
      <c r="E24" s="511" t="s">
        <v>1087</v>
      </c>
      <c r="F24" s="243" t="s">
        <v>1088</v>
      </c>
      <c r="G24" s="245">
        <f t="shared" si="0"/>
        <v>128</v>
      </c>
      <c r="H24" s="592" t="s">
        <v>1089</v>
      </c>
      <c r="I24" s="593"/>
      <c r="J24" s="593"/>
      <c r="K24" s="594"/>
      <c r="L24" s="248" t="s">
        <v>1090</v>
      </c>
      <c r="M24" s="131"/>
      <c r="N24" s="131"/>
      <c r="O24" s="131"/>
      <c r="P24" s="131"/>
      <c r="Q24" s="131"/>
      <c r="R24" s="131"/>
      <c r="S24" s="131"/>
      <c r="T24" s="131"/>
      <c r="U24" s="131"/>
      <c r="V24" s="131"/>
      <c r="W24" s="131"/>
      <c r="X24" s="131"/>
      <c r="Y24" s="131"/>
      <c r="Z24" s="247"/>
      <c r="AA24" s="66"/>
      <c r="AB24" s="66"/>
      <c r="AC24" s="66"/>
      <c r="AD24" s="66"/>
      <c r="AJ24" s="266"/>
    </row>
    <row r="25" spans="2:36" ht="15">
      <c r="B25" s="93" t="s">
        <v>1035</v>
      </c>
      <c r="C25" s="89" t="s">
        <v>1036</v>
      </c>
      <c r="D25" s="510" t="s">
        <v>1091</v>
      </c>
      <c r="E25" s="91" t="str">
        <f>DEC2HEX(L25,2)</f>
        <v>00</v>
      </c>
      <c r="F25" s="243" t="s">
        <v>1092</v>
      </c>
      <c r="G25" s="245">
        <f t="shared" si="0"/>
        <v>0</v>
      </c>
      <c r="H25" s="244" t="s">
        <v>1093</v>
      </c>
      <c r="I25" s="584" t="s">
        <v>1094</v>
      </c>
      <c r="J25" s="252">
        <v>20</v>
      </c>
      <c r="K25" s="209" t="str">
        <f>IF(J25&lt;&gt;"",IF(J25&gt;=0,IF(J25&lt;=255,"OK","NG")),"NG")</f>
        <v>OK</v>
      </c>
      <c r="L25" s="254">
        <f>IF(I25="Unknown",0,IF($AI$144&lt;&gt;0,INT(Main_Parameters!$O$23/10),J25))</f>
        <v>0</v>
      </c>
      <c r="M25" s="131"/>
      <c r="N25" s="131"/>
      <c r="O25" s="131"/>
      <c r="P25" s="131"/>
      <c r="Q25" s="131"/>
      <c r="R25" s="131"/>
      <c r="S25" s="131"/>
      <c r="T25" s="131"/>
      <c r="U25" s="131"/>
      <c r="V25" s="131"/>
      <c r="W25" s="131"/>
      <c r="X25" s="131"/>
      <c r="Y25" s="131"/>
      <c r="Z25" s="247"/>
      <c r="AA25" s="66"/>
      <c r="AB25" s="66"/>
      <c r="AC25" s="66"/>
      <c r="AD25" s="66"/>
      <c r="AJ25" s="266"/>
    </row>
    <row r="26" spans="2:36" ht="15">
      <c r="B26" s="93" t="s">
        <v>1035</v>
      </c>
      <c r="C26" s="89" t="s">
        <v>1036</v>
      </c>
      <c r="D26" s="510" t="s">
        <v>1095</v>
      </c>
      <c r="E26" s="91" t="str">
        <f>DEC2HEX(L26,2)</f>
        <v>00</v>
      </c>
      <c r="F26" s="243" t="s">
        <v>1096</v>
      </c>
      <c r="G26" s="245">
        <f t="shared" si="0"/>
        <v>0</v>
      </c>
      <c r="H26" s="246" t="s">
        <v>1097</v>
      </c>
      <c r="I26" s="585"/>
      <c r="J26" s="252">
        <v>10</v>
      </c>
      <c r="K26" s="209" t="str">
        <f>IF(J26&lt;&gt;"",IF(J26&gt;=0,IF(J26&lt;=255,"OK","NG")),"NG")</f>
        <v>OK</v>
      </c>
      <c r="L26" s="254">
        <f>IF(I25="Unknown",0,IF($AI$144&lt;&gt;0,INT(Main_Parameters!$O$24/10),J26))</f>
        <v>0</v>
      </c>
      <c r="M26" s="131"/>
      <c r="N26" s="131"/>
      <c r="O26" s="131"/>
      <c r="P26" s="131"/>
      <c r="Q26" s="131"/>
      <c r="R26" s="131"/>
      <c r="S26" s="131"/>
      <c r="T26" s="131"/>
      <c r="U26" s="131"/>
      <c r="V26" s="131"/>
      <c r="W26" s="131"/>
      <c r="X26" s="131"/>
      <c r="Y26" s="131"/>
      <c r="Z26" s="247"/>
      <c r="AA26" s="66"/>
      <c r="AB26" s="66"/>
      <c r="AC26" s="66"/>
      <c r="AD26" s="66"/>
      <c r="AJ26" s="266"/>
    </row>
    <row r="27" spans="2:36">
      <c r="B27" s="93" t="s">
        <v>1035</v>
      </c>
      <c r="C27" s="89" t="s">
        <v>1036</v>
      </c>
      <c r="D27" s="510" t="s">
        <v>1098</v>
      </c>
      <c r="E27" s="511" t="s">
        <v>1099</v>
      </c>
      <c r="F27" s="243" t="s">
        <v>1100</v>
      </c>
      <c r="G27" s="245">
        <f t="shared" si="0"/>
        <v>120</v>
      </c>
      <c r="H27"/>
      <c r="I27"/>
      <c r="J27"/>
      <c r="K27"/>
      <c r="L27" s="248" t="s">
        <v>1090</v>
      </c>
      <c r="M27" s="131"/>
      <c r="N27" s="131"/>
      <c r="O27" s="131"/>
      <c r="P27" s="131"/>
      <c r="Q27" s="131"/>
      <c r="R27" s="131"/>
      <c r="S27" s="131"/>
      <c r="T27" s="131"/>
      <c r="U27" s="131"/>
      <c r="V27" s="131"/>
      <c r="W27" s="131"/>
      <c r="X27" s="131"/>
      <c r="Y27" s="131"/>
      <c r="Z27" s="247"/>
      <c r="AA27" s="66"/>
      <c r="AB27" s="66"/>
      <c r="AC27" s="66"/>
      <c r="AD27" s="66"/>
      <c r="AJ27" s="266"/>
    </row>
    <row r="28" spans="2:36">
      <c r="B28" s="93" t="s">
        <v>1035</v>
      </c>
      <c r="C28" s="89" t="s">
        <v>1036</v>
      </c>
      <c r="D28" s="510" t="s">
        <v>1101</v>
      </c>
      <c r="E28" s="511" t="s">
        <v>1102</v>
      </c>
      <c r="F28" s="243" t="s">
        <v>1103</v>
      </c>
      <c r="G28" s="245">
        <f t="shared" si="0"/>
        <v>10</v>
      </c>
      <c r="H28"/>
      <c r="I28"/>
      <c r="J28"/>
      <c r="K28"/>
      <c r="L28" s="248" t="s">
        <v>1090</v>
      </c>
      <c r="M28" s="131"/>
      <c r="N28" s="131"/>
      <c r="O28" s="131"/>
      <c r="P28" s="131"/>
      <c r="Q28" s="131"/>
      <c r="R28" s="131"/>
      <c r="S28" s="131"/>
      <c r="T28" s="131"/>
      <c r="U28" s="131"/>
      <c r="V28" s="131"/>
      <c r="W28" s="131"/>
      <c r="X28" s="131"/>
      <c r="Y28" s="131"/>
      <c r="Z28" s="247"/>
      <c r="AA28" s="66"/>
      <c r="AB28" s="66"/>
      <c r="AC28" s="66"/>
      <c r="AD28" s="66"/>
      <c r="AJ28" s="266"/>
    </row>
    <row r="29" spans="2:36">
      <c r="B29" s="93" t="s">
        <v>1035</v>
      </c>
      <c r="C29" s="89" t="s">
        <v>1036</v>
      </c>
      <c r="D29" s="510" t="s">
        <v>1104</v>
      </c>
      <c r="E29" s="511" t="s">
        <v>1105</v>
      </c>
      <c r="F29" s="243" t="s">
        <v>1106</v>
      </c>
      <c r="G29" s="245">
        <f t="shared" si="0"/>
        <v>13</v>
      </c>
      <c r="H29"/>
      <c r="I29"/>
      <c r="J29"/>
      <c r="K29"/>
      <c r="L29" s="248" t="s">
        <v>1107</v>
      </c>
      <c r="M29" s="131"/>
      <c r="N29" s="131"/>
      <c r="O29" s="131"/>
      <c r="P29" s="131"/>
      <c r="Q29" s="131"/>
      <c r="R29" s="131"/>
      <c r="S29" s="131"/>
      <c r="T29" s="131"/>
      <c r="U29" s="131"/>
      <c r="V29" s="131"/>
      <c r="W29" s="131"/>
      <c r="X29" s="131"/>
      <c r="Y29" s="131"/>
      <c r="Z29" s="247"/>
      <c r="AA29" s="66"/>
      <c r="AB29" s="66"/>
      <c r="AC29" s="66"/>
      <c r="AD29" s="66"/>
      <c r="AJ29" s="266"/>
    </row>
    <row r="30" spans="2:36">
      <c r="B30" s="93" t="s">
        <v>1035</v>
      </c>
      <c r="C30" s="89" t="s">
        <v>1036</v>
      </c>
      <c r="D30" s="510" t="s">
        <v>1108</v>
      </c>
      <c r="E30" s="511" t="s">
        <v>1109</v>
      </c>
      <c r="F30" s="243" t="s">
        <v>1110</v>
      </c>
      <c r="G30" s="245">
        <f t="shared" si="0"/>
        <v>201</v>
      </c>
      <c r="H30"/>
      <c r="I30"/>
      <c r="J30"/>
      <c r="K30"/>
      <c r="L30" s="248" t="s">
        <v>1107</v>
      </c>
      <c r="M30" s="131"/>
      <c r="N30" s="131"/>
      <c r="O30" s="131"/>
      <c r="P30" s="131"/>
      <c r="Q30" s="131"/>
      <c r="R30" s="131"/>
      <c r="S30" s="131"/>
      <c r="T30" s="131"/>
      <c r="U30" s="131"/>
      <c r="V30" s="131"/>
      <c r="W30" s="131"/>
      <c r="X30" s="131"/>
      <c r="Y30" s="131"/>
      <c r="Z30" s="247"/>
      <c r="AA30" s="66"/>
      <c r="AB30" s="66"/>
      <c r="AC30" s="66"/>
      <c r="AD30" s="66"/>
      <c r="AJ30" s="266"/>
    </row>
    <row r="31" spans="2:36">
      <c r="B31" s="93" t="s">
        <v>1035</v>
      </c>
      <c r="C31" s="89" t="s">
        <v>1036</v>
      </c>
      <c r="D31" s="510" t="s">
        <v>1111</v>
      </c>
      <c r="E31" s="511" t="s">
        <v>803</v>
      </c>
      <c r="F31" s="243" t="s">
        <v>1112</v>
      </c>
      <c r="G31" s="245">
        <f t="shared" si="0"/>
        <v>160</v>
      </c>
      <c r="H31"/>
      <c r="I31"/>
      <c r="J31"/>
      <c r="K31"/>
      <c r="L31" s="248" t="s">
        <v>1107</v>
      </c>
      <c r="M31" s="131"/>
      <c r="N31" s="131"/>
      <c r="O31" s="131"/>
      <c r="P31" s="131"/>
      <c r="Q31" s="131"/>
      <c r="R31" s="131"/>
      <c r="S31" s="131"/>
      <c r="T31" s="131"/>
      <c r="U31" s="131"/>
      <c r="V31" s="131"/>
      <c r="W31" s="131"/>
      <c r="X31" s="131"/>
      <c r="Y31" s="131"/>
      <c r="Z31" s="247"/>
      <c r="AA31" s="66"/>
      <c r="AB31" s="66"/>
      <c r="AC31" s="66"/>
      <c r="AD31" s="66"/>
      <c r="AJ31" s="266"/>
    </row>
    <row r="32" spans="2:36">
      <c r="B32" s="93" t="s">
        <v>1035</v>
      </c>
      <c r="C32" s="89" t="s">
        <v>1036</v>
      </c>
      <c r="D32" s="510" t="s">
        <v>1113</v>
      </c>
      <c r="E32" s="511" t="s">
        <v>1114</v>
      </c>
      <c r="F32" s="243" t="s">
        <v>1115</v>
      </c>
      <c r="G32" s="245">
        <f t="shared" si="0"/>
        <v>87</v>
      </c>
      <c r="H32"/>
      <c r="I32"/>
      <c r="J32"/>
      <c r="K32"/>
      <c r="L32" s="248" t="s">
        <v>1107</v>
      </c>
      <c r="M32" s="131"/>
      <c r="N32" s="131"/>
      <c r="O32" s="131"/>
      <c r="P32" s="131"/>
      <c r="Q32" s="131"/>
      <c r="R32" s="131"/>
      <c r="S32" s="131"/>
      <c r="T32" s="131"/>
      <c r="U32" s="131"/>
      <c r="V32" s="131"/>
      <c r="W32" s="131"/>
      <c r="X32" s="131"/>
      <c r="Y32" s="131"/>
      <c r="Z32" s="247"/>
      <c r="AA32" s="66"/>
      <c r="AB32" s="66"/>
      <c r="AC32" s="66"/>
      <c r="AD32" s="66"/>
      <c r="AJ32" s="266"/>
    </row>
    <row r="33" spans="2:36">
      <c r="B33" s="93" t="s">
        <v>1035</v>
      </c>
      <c r="C33" s="89" t="s">
        <v>1036</v>
      </c>
      <c r="D33" s="510" t="s">
        <v>1116</v>
      </c>
      <c r="E33" s="511" t="s">
        <v>1117</v>
      </c>
      <c r="F33" s="243" t="s">
        <v>1118</v>
      </c>
      <c r="G33" s="245">
        <f t="shared" si="0"/>
        <v>71</v>
      </c>
      <c r="H33"/>
      <c r="I33"/>
      <c r="J33"/>
      <c r="K33"/>
      <c r="L33" s="248" t="s">
        <v>1107</v>
      </c>
      <c r="M33" s="131"/>
      <c r="N33" s="131"/>
      <c r="O33" s="131"/>
      <c r="P33" s="131"/>
      <c r="Q33" s="131"/>
      <c r="R33" s="131"/>
      <c r="S33" s="131"/>
      <c r="T33" s="131"/>
      <c r="U33" s="131"/>
      <c r="V33" s="131"/>
      <c r="W33" s="131"/>
      <c r="X33" s="131"/>
      <c r="Y33" s="131"/>
      <c r="Z33" s="247"/>
      <c r="AA33" s="66"/>
      <c r="AB33" s="66"/>
      <c r="AC33" s="66"/>
      <c r="AD33" s="66"/>
      <c r="AJ33" s="266"/>
    </row>
    <row r="34" spans="2:36">
      <c r="B34" s="93" t="s">
        <v>1035</v>
      </c>
      <c r="C34" s="89" t="s">
        <v>1036</v>
      </c>
      <c r="D34" s="510" t="s">
        <v>1119</v>
      </c>
      <c r="E34" s="511" t="s">
        <v>1120</v>
      </c>
      <c r="F34" s="243" t="s">
        <v>1121</v>
      </c>
      <c r="G34" s="245">
        <f t="shared" si="0"/>
        <v>152</v>
      </c>
      <c r="H34"/>
      <c r="I34"/>
      <c r="J34"/>
      <c r="K34"/>
      <c r="L34" s="248" t="s">
        <v>1107</v>
      </c>
      <c r="M34" s="131"/>
      <c r="N34" s="131"/>
      <c r="O34" s="131"/>
      <c r="P34" s="131"/>
      <c r="Q34" s="131"/>
      <c r="R34" s="131"/>
      <c r="S34" s="131"/>
      <c r="T34" s="131"/>
      <c r="U34" s="131"/>
      <c r="V34" s="131"/>
      <c r="W34" s="131"/>
      <c r="X34" s="131"/>
      <c r="Y34" s="131"/>
      <c r="Z34" s="247"/>
      <c r="AA34" s="66"/>
      <c r="AB34" s="66"/>
      <c r="AC34" s="66"/>
      <c r="AD34" s="66"/>
      <c r="AJ34" s="266"/>
    </row>
    <row r="35" spans="2:36">
      <c r="B35" s="93" t="s">
        <v>1035</v>
      </c>
      <c r="C35" s="89" t="s">
        <v>1036</v>
      </c>
      <c r="D35" s="510" t="s">
        <v>1122</v>
      </c>
      <c r="E35" s="511" t="s">
        <v>1123</v>
      </c>
      <c r="F35" s="243" t="s">
        <v>1124</v>
      </c>
      <c r="G35" s="245">
        <f t="shared" si="0"/>
        <v>39</v>
      </c>
      <c r="H35"/>
      <c r="I35"/>
      <c r="J35"/>
      <c r="K35"/>
      <c r="L35" s="248" t="s">
        <v>1107</v>
      </c>
      <c r="M35" s="131"/>
      <c r="N35" s="131"/>
      <c r="O35" s="131"/>
      <c r="P35" s="131"/>
      <c r="Q35" s="131"/>
      <c r="R35" s="131"/>
      <c r="S35" s="131"/>
      <c r="T35" s="131"/>
      <c r="U35" s="131"/>
      <c r="V35" s="131"/>
      <c r="W35" s="131"/>
      <c r="X35" s="131"/>
      <c r="Y35" s="131"/>
      <c r="Z35" s="247"/>
      <c r="AA35" s="66"/>
      <c r="AB35" s="66"/>
      <c r="AC35" s="66"/>
      <c r="AD35" s="66"/>
      <c r="AJ35" s="266"/>
    </row>
    <row r="36" spans="2:36">
      <c r="B36" s="93" t="s">
        <v>1035</v>
      </c>
      <c r="C36" s="89" t="s">
        <v>1036</v>
      </c>
      <c r="D36" s="510" t="s">
        <v>1125</v>
      </c>
      <c r="E36" s="511" t="s">
        <v>1126</v>
      </c>
      <c r="F36" s="243" t="s">
        <v>1127</v>
      </c>
      <c r="G36" s="245">
        <f t="shared" si="0"/>
        <v>18</v>
      </c>
      <c r="H36"/>
      <c r="I36"/>
      <c r="J36"/>
      <c r="K36"/>
      <c r="L36" s="248" t="s">
        <v>1107</v>
      </c>
      <c r="M36" s="131"/>
      <c r="N36" s="131"/>
      <c r="O36" s="131"/>
      <c r="P36" s="131"/>
      <c r="Q36" s="131"/>
      <c r="R36" s="131"/>
      <c r="S36" s="131"/>
      <c r="T36" s="131"/>
      <c r="U36" s="131"/>
      <c r="V36" s="131"/>
      <c r="W36" s="131"/>
      <c r="X36" s="131"/>
      <c r="Y36" s="131"/>
      <c r="Z36" s="247"/>
      <c r="AA36" s="66"/>
      <c r="AB36" s="66"/>
      <c r="AC36" s="66"/>
      <c r="AD36" s="66"/>
      <c r="AJ36" s="266"/>
    </row>
    <row r="37" spans="2:36">
      <c r="B37" s="93" t="s">
        <v>1035</v>
      </c>
      <c r="C37" s="89" t="s">
        <v>1036</v>
      </c>
      <c r="D37" s="510" t="s">
        <v>1128</v>
      </c>
      <c r="E37" s="511" t="s">
        <v>1129</v>
      </c>
      <c r="F37" s="243" t="s">
        <v>1130</v>
      </c>
      <c r="G37" s="245">
        <f t="shared" si="0"/>
        <v>72</v>
      </c>
      <c r="H37"/>
      <c r="I37"/>
      <c r="J37"/>
      <c r="K37"/>
      <c r="L37" s="248" t="s">
        <v>1107</v>
      </c>
      <c r="M37" s="131"/>
      <c r="N37" s="131"/>
      <c r="O37" s="131"/>
      <c r="P37" s="131"/>
      <c r="Q37" s="131"/>
      <c r="R37" s="131"/>
      <c r="S37" s="131"/>
      <c r="T37" s="131"/>
      <c r="U37" s="131"/>
      <c r="V37" s="131"/>
      <c r="W37" s="131"/>
      <c r="X37" s="131"/>
      <c r="Y37" s="131"/>
      <c r="Z37" s="247"/>
      <c r="AA37" s="66"/>
      <c r="AB37" s="66"/>
      <c r="AC37" s="66"/>
      <c r="AD37" s="66"/>
      <c r="AJ37" s="266"/>
    </row>
    <row r="38" spans="2:36">
      <c r="B38" s="93" t="s">
        <v>1035</v>
      </c>
      <c r="C38" s="89" t="s">
        <v>1036</v>
      </c>
      <c r="D38" s="510" t="s">
        <v>1131</v>
      </c>
      <c r="E38" s="511" t="s">
        <v>1132</v>
      </c>
      <c r="F38" s="243" t="s">
        <v>1133</v>
      </c>
      <c r="G38" s="245">
        <f t="shared" si="0"/>
        <v>76</v>
      </c>
      <c r="H38"/>
      <c r="I38"/>
      <c r="J38"/>
      <c r="K38"/>
      <c r="L38" s="248" t="s">
        <v>1107</v>
      </c>
      <c r="M38" s="131"/>
      <c r="N38" s="131"/>
      <c r="O38" s="131"/>
      <c r="P38" s="131"/>
      <c r="Q38" s="131"/>
      <c r="R38" s="131"/>
      <c r="S38" s="131"/>
      <c r="T38" s="131"/>
      <c r="U38" s="131"/>
      <c r="V38" s="131"/>
      <c r="W38" s="131"/>
      <c r="X38" s="131"/>
      <c r="Y38" s="131"/>
      <c r="Z38" s="247"/>
      <c r="AA38" s="66"/>
      <c r="AB38" s="66"/>
      <c r="AC38" s="66"/>
      <c r="AD38" s="66"/>
      <c r="AJ38" s="266"/>
    </row>
    <row r="39" spans="2:36">
      <c r="B39" s="93" t="s">
        <v>1035</v>
      </c>
      <c r="C39" s="89" t="s">
        <v>1036</v>
      </c>
      <c r="D39" s="510" t="s">
        <v>1134</v>
      </c>
      <c r="E39" s="511" t="s">
        <v>1038</v>
      </c>
      <c r="F39" s="243" t="s">
        <v>1135</v>
      </c>
      <c r="G39" s="245">
        <f t="shared" si="0"/>
        <v>0</v>
      </c>
      <c r="H39"/>
      <c r="I39"/>
      <c r="J39"/>
      <c r="K39"/>
      <c r="L39" s="248" t="s">
        <v>1136</v>
      </c>
      <c r="M39" s="131"/>
      <c r="N39" s="131"/>
      <c r="O39" s="131"/>
      <c r="P39" s="131"/>
      <c r="Q39" s="131"/>
      <c r="R39" s="131"/>
      <c r="S39" s="131"/>
      <c r="T39" s="131"/>
      <c r="U39" s="131"/>
      <c r="V39" s="131"/>
      <c r="W39" s="131"/>
      <c r="X39" s="131"/>
      <c r="Y39" s="131"/>
      <c r="Z39" s="247"/>
      <c r="AA39" s="66"/>
      <c r="AB39" s="66"/>
      <c r="AC39" s="66"/>
      <c r="AD39" s="66"/>
      <c r="AJ39" s="266"/>
    </row>
    <row r="40" spans="2:36">
      <c r="B40" s="93" t="s">
        <v>1035</v>
      </c>
      <c r="C40" s="89" t="s">
        <v>1036</v>
      </c>
      <c r="D40" s="510" t="s">
        <v>1137</v>
      </c>
      <c r="E40" s="511" t="s">
        <v>1038</v>
      </c>
      <c r="F40" s="243" t="s">
        <v>1138</v>
      </c>
      <c r="G40" s="245">
        <f t="shared" si="0"/>
        <v>0</v>
      </c>
      <c r="H40"/>
      <c r="I40"/>
      <c r="J40"/>
      <c r="K40"/>
      <c r="L40" s="248" t="s">
        <v>1136</v>
      </c>
      <c r="M40" s="131"/>
      <c r="N40" s="131"/>
      <c r="O40" s="131"/>
      <c r="P40" s="131"/>
      <c r="Q40" s="131"/>
      <c r="R40" s="131"/>
      <c r="S40" s="131"/>
      <c r="T40" s="131"/>
      <c r="U40" s="131"/>
      <c r="V40" s="131"/>
      <c r="W40" s="131"/>
      <c r="X40" s="131"/>
      <c r="Y40" s="131"/>
      <c r="Z40" s="247"/>
      <c r="AA40" s="66"/>
      <c r="AB40" s="66"/>
      <c r="AC40" s="66"/>
      <c r="AD40" s="66"/>
      <c r="AJ40" s="266"/>
    </row>
    <row r="41" spans="2:36">
      <c r="B41" s="93" t="s">
        <v>1035</v>
      </c>
      <c r="C41" s="89" t="s">
        <v>1036</v>
      </c>
      <c r="D41" s="510" t="s">
        <v>1139</v>
      </c>
      <c r="E41" s="511" t="s">
        <v>1038</v>
      </c>
      <c r="F41" s="243" t="s">
        <v>1140</v>
      </c>
      <c r="G41" s="245">
        <f t="shared" si="0"/>
        <v>0</v>
      </c>
      <c r="H41"/>
      <c r="I41"/>
      <c r="J41"/>
      <c r="K41"/>
      <c r="L41" s="248" t="s">
        <v>1136</v>
      </c>
      <c r="M41" s="131"/>
      <c r="N41" s="131"/>
      <c r="O41" s="131"/>
      <c r="P41" s="131"/>
      <c r="Q41" s="131"/>
      <c r="R41" s="131"/>
      <c r="S41" s="131"/>
      <c r="T41" s="131"/>
      <c r="U41" s="131"/>
      <c r="V41" s="131"/>
      <c r="W41" s="131"/>
      <c r="X41" s="131"/>
      <c r="Y41" s="131"/>
      <c r="Z41" s="247"/>
      <c r="AA41" s="66"/>
      <c r="AB41" s="66"/>
      <c r="AC41" s="66"/>
      <c r="AD41" s="66"/>
      <c r="AJ41" s="266"/>
    </row>
    <row r="42" spans="2:36">
      <c r="B42" s="93" t="s">
        <v>1035</v>
      </c>
      <c r="C42" s="89" t="s">
        <v>1036</v>
      </c>
      <c r="D42" s="510" t="s">
        <v>1141</v>
      </c>
      <c r="E42" s="511" t="s">
        <v>1079</v>
      </c>
      <c r="F42" s="243" t="s">
        <v>1142</v>
      </c>
      <c r="G42" s="245">
        <f t="shared" si="0"/>
        <v>1</v>
      </c>
      <c r="H42"/>
      <c r="I42"/>
      <c r="J42"/>
      <c r="K42"/>
      <c r="L42" s="248" t="s">
        <v>1142</v>
      </c>
      <c r="M42" s="131"/>
      <c r="N42" s="131"/>
      <c r="O42" s="131"/>
      <c r="P42" s="131"/>
      <c r="Q42" s="131"/>
      <c r="R42" s="131"/>
      <c r="S42" s="131"/>
      <c r="T42" s="131"/>
      <c r="U42" s="131"/>
      <c r="V42" s="131"/>
      <c r="W42" s="131"/>
      <c r="X42" s="131"/>
      <c r="Y42" s="131"/>
      <c r="Z42" s="247"/>
      <c r="AA42" s="66"/>
      <c r="AB42" s="66"/>
      <c r="AC42" s="66"/>
      <c r="AD42" s="66"/>
      <c r="AJ42" s="266"/>
    </row>
    <row r="43" spans="2:36">
      <c r="B43" s="93" t="s">
        <v>1035</v>
      </c>
      <c r="C43" s="89" t="s">
        <v>1036</v>
      </c>
      <c r="D43" s="510" t="s">
        <v>1143</v>
      </c>
      <c r="E43" s="511" t="s">
        <v>1079</v>
      </c>
      <c r="F43" s="243"/>
      <c r="G43" s="245">
        <f t="shared" si="0"/>
        <v>1</v>
      </c>
      <c r="H43"/>
      <c r="I43"/>
      <c r="J43"/>
      <c r="K43"/>
      <c r="L43" s="248" t="s">
        <v>1142</v>
      </c>
      <c r="M43" s="131"/>
      <c r="N43" s="131"/>
      <c r="O43" s="131"/>
      <c r="P43" s="131"/>
      <c r="Q43" s="131"/>
      <c r="R43" s="131"/>
      <c r="S43" s="131"/>
      <c r="T43" s="131"/>
      <c r="U43" s="131"/>
      <c r="V43" s="131"/>
      <c r="W43" s="131"/>
      <c r="X43" s="131"/>
      <c r="Y43" s="131"/>
      <c r="Z43" s="247"/>
      <c r="AA43" s="66"/>
      <c r="AB43" s="66"/>
      <c r="AC43" s="66"/>
      <c r="AD43" s="66"/>
      <c r="AJ43" s="266"/>
    </row>
    <row r="44" spans="2:36">
      <c r="B44" s="93" t="s">
        <v>1035</v>
      </c>
      <c r="C44" s="89" t="s">
        <v>1036</v>
      </c>
      <c r="D44" s="510" t="s">
        <v>1144</v>
      </c>
      <c r="E44" s="511" t="s">
        <v>1079</v>
      </c>
      <c r="F44" s="243" t="s">
        <v>1145</v>
      </c>
      <c r="G44" s="194">
        <f t="shared" si="0"/>
        <v>1</v>
      </c>
      <c r="H44"/>
      <c r="I44"/>
      <c r="J44"/>
      <c r="K44"/>
      <c r="L44" s="248" t="s">
        <v>1145</v>
      </c>
      <c r="M44" s="131"/>
      <c r="N44" s="131"/>
      <c r="O44" s="131"/>
      <c r="P44" s="131"/>
      <c r="Q44" s="131"/>
      <c r="R44" s="131"/>
      <c r="S44" s="131"/>
      <c r="T44" s="131"/>
      <c r="U44" s="131"/>
      <c r="V44" s="131"/>
      <c r="W44" s="131"/>
      <c r="X44" s="131"/>
      <c r="Y44" s="131"/>
      <c r="Z44" s="247"/>
      <c r="AA44" s="66"/>
      <c r="AB44" s="66"/>
      <c r="AC44" s="66"/>
      <c r="AD44" s="66"/>
      <c r="AJ44" s="266"/>
    </row>
    <row r="45" spans="2:36">
      <c r="B45" s="93" t="s">
        <v>1035</v>
      </c>
      <c r="C45" s="89" t="s">
        <v>1036</v>
      </c>
      <c r="D45" s="510" t="s">
        <v>1146</v>
      </c>
      <c r="E45" s="511" t="s">
        <v>1079</v>
      </c>
      <c r="F45" s="243"/>
      <c r="G45" s="194">
        <f t="shared" si="0"/>
        <v>1</v>
      </c>
      <c r="H45"/>
      <c r="I45"/>
      <c r="J45"/>
      <c r="K45"/>
      <c r="L45" s="248" t="s">
        <v>1145</v>
      </c>
      <c r="M45" s="131"/>
      <c r="N45" s="131"/>
      <c r="O45" s="131"/>
      <c r="P45" s="131"/>
      <c r="Q45" s="131"/>
      <c r="R45" s="131"/>
      <c r="S45" s="131"/>
      <c r="T45" s="131"/>
      <c r="U45" s="131"/>
      <c r="V45" s="131"/>
      <c r="W45" s="131"/>
      <c r="X45" s="131"/>
      <c r="Y45" s="131"/>
      <c r="Z45" s="247"/>
      <c r="AA45" s="66"/>
      <c r="AB45" s="66"/>
      <c r="AC45" s="66"/>
      <c r="AD45" s="66"/>
      <c r="AJ45" s="266"/>
    </row>
    <row r="46" spans="2:36">
      <c r="B46" s="93" t="s">
        <v>1035</v>
      </c>
      <c r="C46" s="89" t="s">
        <v>1036</v>
      </c>
      <c r="D46" s="510" t="s">
        <v>1147</v>
      </c>
      <c r="E46" s="511" t="s">
        <v>1079</v>
      </c>
      <c r="F46" s="243" t="s">
        <v>1148</v>
      </c>
      <c r="G46" s="194">
        <f t="shared" si="0"/>
        <v>1</v>
      </c>
      <c r="H46"/>
      <c r="I46"/>
      <c r="J46"/>
      <c r="K46"/>
      <c r="L46" s="248" t="s">
        <v>1148</v>
      </c>
      <c r="M46" s="131"/>
      <c r="N46" s="131"/>
      <c r="O46" s="131"/>
      <c r="P46" s="131"/>
      <c r="Q46" s="131"/>
      <c r="R46" s="131"/>
      <c r="S46" s="131"/>
      <c r="T46" s="131"/>
      <c r="U46" s="131"/>
      <c r="V46" s="131"/>
      <c r="W46" s="131"/>
      <c r="X46" s="131"/>
      <c r="Y46" s="131"/>
      <c r="Z46" s="247"/>
      <c r="AA46" s="66"/>
      <c r="AB46" s="66"/>
      <c r="AC46" s="66"/>
      <c r="AD46" s="66"/>
      <c r="AJ46" s="266"/>
    </row>
    <row r="47" spans="2:36">
      <c r="B47" s="93" t="s">
        <v>1035</v>
      </c>
      <c r="C47" s="89" t="s">
        <v>1036</v>
      </c>
      <c r="D47" s="510" t="s">
        <v>1149</v>
      </c>
      <c r="E47" s="511" t="s">
        <v>1079</v>
      </c>
      <c r="F47" s="243"/>
      <c r="G47" s="194">
        <f t="shared" si="0"/>
        <v>1</v>
      </c>
      <c r="H47"/>
      <c r="I47"/>
      <c r="J47"/>
      <c r="K47"/>
      <c r="L47" s="248" t="s">
        <v>1148</v>
      </c>
      <c r="M47" s="131"/>
      <c r="N47" s="131"/>
      <c r="O47" s="131"/>
      <c r="P47" s="131"/>
      <c r="Q47" s="131"/>
      <c r="R47" s="131"/>
      <c r="S47" s="131"/>
      <c r="T47" s="131"/>
      <c r="U47" s="131"/>
      <c r="V47" s="131"/>
      <c r="W47" s="131"/>
      <c r="X47" s="131"/>
      <c r="Y47" s="131"/>
      <c r="Z47" s="247"/>
      <c r="AA47" s="66"/>
      <c r="AB47" s="66"/>
      <c r="AC47" s="66"/>
      <c r="AD47" s="66"/>
      <c r="AJ47" s="266"/>
    </row>
    <row r="48" spans="2:36">
      <c r="B48" s="93" t="s">
        <v>1035</v>
      </c>
      <c r="C48" s="89" t="s">
        <v>1036</v>
      </c>
      <c r="D48" s="510" t="s">
        <v>1150</v>
      </c>
      <c r="E48" s="511" t="s">
        <v>1079</v>
      </c>
      <c r="F48" s="243" t="s">
        <v>1151</v>
      </c>
      <c r="G48" s="194">
        <f t="shared" si="0"/>
        <v>1</v>
      </c>
      <c r="H48"/>
      <c r="I48"/>
      <c r="J48"/>
      <c r="K48"/>
      <c r="L48" s="248" t="s">
        <v>1151</v>
      </c>
      <c r="M48" s="131"/>
      <c r="N48" s="131"/>
      <c r="O48" s="131"/>
      <c r="P48" s="131"/>
      <c r="Q48" s="131"/>
      <c r="R48" s="131"/>
      <c r="S48" s="131"/>
      <c r="T48" s="131"/>
      <c r="U48" s="131"/>
      <c r="V48" s="131"/>
      <c r="W48" s="131"/>
      <c r="X48" s="131"/>
      <c r="Y48" s="131"/>
      <c r="Z48" s="247"/>
      <c r="AA48" s="66"/>
      <c r="AB48" s="66"/>
      <c r="AC48" s="66"/>
      <c r="AD48" s="66"/>
      <c r="AJ48" s="266"/>
    </row>
    <row r="49" spans="2:36">
      <c r="B49" s="93" t="s">
        <v>1035</v>
      </c>
      <c r="C49" s="89" t="s">
        <v>1036</v>
      </c>
      <c r="D49" s="510" t="s">
        <v>1152</v>
      </c>
      <c r="E49" s="511" t="s">
        <v>1079</v>
      </c>
      <c r="F49" s="243"/>
      <c r="G49" s="194">
        <f t="shared" si="0"/>
        <v>1</v>
      </c>
      <c r="H49"/>
      <c r="I49"/>
      <c r="J49"/>
      <c r="K49"/>
      <c r="L49" s="248" t="s">
        <v>1151</v>
      </c>
      <c r="M49" s="131"/>
      <c r="N49" s="131"/>
      <c r="O49" s="131"/>
      <c r="P49" s="131"/>
      <c r="Q49" s="131"/>
      <c r="R49" s="131"/>
      <c r="S49" s="131"/>
      <c r="T49" s="131"/>
      <c r="U49" s="131"/>
      <c r="V49" s="131"/>
      <c r="W49" s="131"/>
      <c r="X49" s="131"/>
      <c r="Y49" s="131"/>
      <c r="Z49" s="247"/>
      <c r="AA49" s="66"/>
      <c r="AB49" s="66"/>
      <c r="AC49" s="66"/>
      <c r="AD49" s="66"/>
      <c r="AJ49" s="266"/>
    </row>
    <row r="50" spans="2:36">
      <c r="B50" s="93" t="s">
        <v>1035</v>
      </c>
      <c r="C50" s="89" t="s">
        <v>1036</v>
      </c>
      <c r="D50" s="510" t="s">
        <v>1153</v>
      </c>
      <c r="E50" s="511" t="s">
        <v>1079</v>
      </c>
      <c r="F50" s="243" t="s">
        <v>1154</v>
      </c>
      <c r="G50" s="194">
        <f t="shared" si="0"/>
        <v>1</v>
      </c>
      <c r="H50"/>
      <c r="I50"/>
      <c r="J50"/>
      <c r="K50"/>
      <c r="L50" s="248" t="s">
        <v>1154</v>
      </c>
      <c r="M50" s="131"/>
      <c r="N50" s="131"/>
      <c r="O50" s="131"/>
      <c r="P50" s="131"/>
      <c r="Q50" s="131"/>
      <c r="R50" s="131"/>
      <c r="S50" s="131"/>
      <c r="T50" s="131"/>
      <c r="U50" s="131"/>
      <c r="V50" s="131"/>
      <c r="W50" s="131"/>
      <c r="X50" s="131"/>
      <c r="Y50" s="131"/>
      <c r="Z50" s="247"/>
      <c r="AA50" s="66"/>
      <c r="AB50" s="66"/>
      <c r="AC50" s="66"/>
      <c r="AD50" s="66"/>
      <c r="AJ50" s="266"/>
    </row>
    <row r="51" spans="2:36">
      <c r="B51" s="93" t="s">
        <v>1035</v>
      </c>
      <c r="C51" s="89" t="s">
        <v>1036</v>
      </c>
      <c r="D51" s="510" t="s">
        <v>1155</v>
      </c>
      <c r="E51" s="511" t="s">
        <v>1079</v>
      </c>
      <c r="F51" s="243"/>
      <c r="G51" s="194">
        <f t="shared" si="0"/>
        <v>1</v>
      </c>
      <c r="H51"/>
      <c r="I51"/>
      <c r="J51"/>
      <c r="K51"/>
      <c r="L51" s="248" t="s">
        <v>1154</v>
      </c>
      <c r="M51" s="131"/>
      <c r="N51" s="131"/>
      <c r="O51" s="131"/>
      <c r="P51" s="131"/>
      <c r="Q51" s="131"/>
      <c r="R51" s="131"/>
      <c r="S51" s="131"/>
      <c r="T51" s="131"/>
      <c r="U51" s="131"/>
      <c r="V51" s="131"/>
      <c r="W51" s="131"/>
      <c r="X51" s="131"/>
      <c r="Y51" s="131"/>
      <c r="Z51" s="247"/>
      <c r="AA51" s="66"/>
      <c r="AB51" s="66"/>
      <c r="AC51" s="66"/>
      <c r="AD51" s="66"/>
      <c r="AJ51" s="266"/>
    </row>
    <row r="52" spans="2:36">
      <c r="B52" s="93" t="s">
        <v>1035</v>
      </c>
      <c r="C52" s="89" t="s">
        <v>1036</v>
      </c>
      <c r="D52" s="510" t="s">
        <v>1156</v>
      </c>
      <c r="E52" s="511" t="s">
        <v>1079</v>
      </c>
      <c r="F52" s="243" t="s">
        <v>1157</v>
      </c>
      <c r="G52" s="194">
        <f t="shared" si="0"/>
        <v>1</v>
      </c>
      <c r="H52"/>
      <c r="I52"/>
      <c r="J52"/>
      <c r="K52"/>
      <c r="L52" s="248" t="s">
        <v>1157</v>
      </c>
      <c r="M52" s="131"/>
      <c r="N52" s="131"/>
      <c r="O52" s="131"/>
      <c r="P52" s="131"/>
      <c r="Q52" s="131"/>
      <c r="R52" s="131"/>
      <c r="S52" s="131"/>
      <c r="T52" s="131"/>
      <c r="U52" s="131"/>
      <c r="V52" s="131"/>
      <c r="W52" s="131"/>
      <c r="X52" s="131"/>
      <c r="Y52" s="131"/>
      <c r="Z52" s="247"/>
      <c r="AA52" s="66"/>
      <c r="AB52" s="66"/>
      <c r="AC52" s="66"/>
      <c r="AD52" s="66"/>
      <c r="AJ52" s="266"/>
    </row>
    <row r="53" spans="2:36">
      <c r="B53" s="93" t="s">
        <v>1035</v>
      </c>
      <c r="C53" s="89" t="s">
        <v>1036</v>
      </c>
      <c r="D53" s="510" t="s">
        <v>1158</v>
      </c>
      <c r="E53" s="511" t="s">
        <v>1079</v>
      </c>
      <c r="F53" s="243"/>
      <c r="G53" s="194">
        <f t="shared" si="0"/>
        <v>1</v>
      </c>
      <c r="H53"/>
      <c r="I53"/>
      <c r="J53"/>
      <c r="K53"/>
      <c r="L53" s="248" t="s">
        <v>1157</v>
      </c>
      <c r="M53" s="131"/>
      <c r="N53" s="131"/>
      <c r="O53" s="131"/>
      <c r="P53" s="131"/>
      <c r="Q53" s="131"/>
      <c r="R53" s="131"/>
      <c r="S53" s="131"/>
      <c r="T53" s="131"/>
      <c r="U53" s="131"/>
      <c r="V53" s="131"/>
      <c r="W53" s="131"/>
      <c r="X53" s="131"/>
      <c r="Y53" s="131"/>
      <c r="Z53" s="247"/>
      <c r="AA53" s="66"/>
      <c r="AB53" s="66"/>
      <c r="AC53" s="66"/>
      <c r="AD53" s="66"/>
      <c r="AJ53" s="266"/>
    </row>
    <row r="54" spans="2:36">
      <c r="B54" s="93" t="s">
        <v>1035</v>
      </c>
      <c r="C54" s="89" t="s">
        <v>1036</v>
      </c>
      <c r="D54" s="510" t="s">
        <v>1159</v>
      </c>
      <c r="E54" s="511" t="s">
        <v>1079</v>
      </c>
      <c r="F54" s="243" t="s">
        <v>1160</v>
      </c>
      <c r="G54" s="194">
        <f t="shared" si="0"/>
        <v>1</v>
      </c>
      <c r="H54"/>
      <c r="I54"/>
      <c r="J54"/>
      <c r="K54"/>
      <c r="L54" s="248" t="s">
        <v>1160</v>
      </c>
      <c r="M54" s="131"/>
      <c r="N54" s="131"/>
      <c r="O54" s="131"/>
      <c r="P54" s="131"/>
      <c r="Q54" s="131"/>
      <c r="R54" s="131"/>
      <c r="S54" s="131"/>
      <c r="T54" s="131"/>
      <c r="U54" s="131"/>
      <c r="V54" s="131"/>
      <c r="W54" s="131"/>
      <c r="X54" s="131"/>
      <c r="Y54" s="131"/>
      <c r="Z54" s="247"/>
      <c r="AA54" s="66"/>
      <c r="AB54" s="66"/>
      <c r="AC54" s="66"/>
      <c r="AD54" s="66"/>
      <c r="AJ54" s="266"/>
    </row>
    <row r="55" spans="2:36">
      <c r="B55" s="93" t="s">
        <v>1035</v>
      </c>
      <c r="C55" s="89" t="s">
        <v>1036</v>
      </c>
      <c r="D55" s="510" t="s">
        <v>1161</v>
      </c>
      <c r="E55" s="511" t="s">
        <v>1079</v>
      </c>
      <c r="F55" s="243"/>
      <c r="G55" s="194">
        <f t="shared" si="0"/>
        <v>1</v>
      </c>
      <c r="H55"/>
      <c r="I55"/>
      <c r="J55"/>
      <c r="K55"/>
      <c r="L55" s="248" t="s">
        <v>1160</v>
      </c>
      <c r="M55" s="131"/>
      <c r="N55" s="131"/>
      <c r="O55" s="131"/>
      <c r="P55" s="131"/>
      <c r="Q55" s="131"/>
      <c r="R55" s="131"/>
      <c r="S55" s="131"/>
      <c r="T55" s="131"/>
      <c r="U55" s="131"/>
      <c r="V55" s="131"/>
      <c r="W55" s="131"/>
      <c r="X55" s="131"/>
      <c r="Y55" s="131"/>
      <c r="Z55" s="247"/>
      <c r="AA55" s="66"/>
      <c r="AB55" s="66"/>
      <c r="AC55" s="66"/>
      <c r="AD55" s="66"/>
      <c r="AJ55" s="266"/>
    </row>
    <row r="56" spans="2:36">
      <c r="B56" s="93" t="s">
        <v>1035</v>
      </c>
      <c r="C56" s="89" t="s">
        <v>1036</v>
      </c>
      <c r="D56" s="510" t="s">
        <v>1162</v>
      </c>
      <c r="E56" s="511" t="s">
        <v>1079</v>
      </c>
      <c r="F56" s="243" t="s">
        <v>1163</v>
      </c>
      <c r="G56" s="194">
        <f t="shared" si="0"/>
        <v>1</v>
      </c>
      <c r="H56"/>
      <c r="I56"/>
      <c r="J56"/>
      <c r="K56"/>
      <c r="L56" s="248" t="s">
        <v>1163</v>
      </c>
      <c r="M56" s="131"/>
      <c r="N56" s="131"/>
      <c r="O56" s="131"/>
      <c r="P56" s="131"/>
      <c r="Q56" s="131"/>
      <c r="R56" s="131"/>
      <c r="S56" s="131"/>
      <c r="T56" s="131"/>
      <c r="U56" s="131"/>
      <c r="V56" s="131"/>
      <c r="W56" s="131"/>
      <c r="X56" s="131"/>
      <c r="Y56" s="131"/>
      <c r="Z56" s="247"/>
      <c r="AA56" s="66"/>
      <c r="AB56" s="66"/>
      <c r="AC56" s="66"/>
      <c r="AD56" s="66"/>
      <c r="AJ56" s="266"/>
    </row>
    <row r="57" spans="2:36">
      <c r="B57" s="93" t="s">
        <v>1035</v>
      </c>
      <c r="C57" s="89" t="s">
        <v>1036</v>
      </c>
      <c r="D57" s="510" t="s">
        <v>1164</v>
      </c>
      <c r="E57" s="511" t="s">
        <v>1079</v>
      </c>
      <c r="F57" s="243"/>
      <c r="G57" s="194">
        <f t="shared" si="0"/>
        <v>1</v>
      </c>
      <c r="H57"/>
      <c r="I57"/>
      <c r="J57"/>
      <c r="K57" s="194" t="str">
        <f>IF(Main_Parameters!$R$3="Select","Disable","Enable")</f>
        <v>Enable</v>
      </c>
      <c r="L57" s="248" t="s">
        <v>1163</v>
      </c>
      <c r="M57" s="131"/>
      <c r="N57" s="256" t="s">
        <v>1165</v>
      </c>
      <c r="O57" s="256" t="s">
        <v>1166</v>
      </c>
      <c r="P57" s="257" t="s">
        <v>1167</v>
      </c>
      <c r="Q57" s="256" t="s">
        <v>1168</v>
      </c>
      <c r="R57" s="256" t="s">
        <v>1169</v>
      </c>
      <c r="S57" s="256" t="s">
        <v>1170</v>
      </c>
      <c r="T57" s="256" t="s">
        <v>1171</v>
      </c>
      <c r="U57" s="256" t="s">
        <v>1172</v>
      </c>
      <c r="V57" s="256" t="s">
        <v>1173</v>
      </c>
      <c r="W57" s="256" t="s">
        <v>1174</v>
      </c>
      <c r="X57" s="131"/>
      <c r="Y57" s="131"/>
      <c r="Z57" s="247"/>
      <c r="AA57" s="66"/>
      <c r="AB57" s="66"/>
      <c r="AC57" s="66"/>
      <c r="AD57" s="66"/>
      <c r="AJ57" s="266"/>
    </row>
    <row r="58" spans="2:36" ht="15">
      <c r="B58" s="93" t="s">
        <v>1035</v>
      </c>
      <c r="C58" s="89" t="s">
        <v>1036</v>
      </c>
      <c r="D58" s="510" t="s">
        <v>1175</v>
      </c>
      <c r="E58" s="91" t="str">
        <f>DEC2HEX(N58,2)</f>
        <v>28</v>
      </c>
      <c r="F58" s="244" t="s">
        <v>1176</v>
      </c>
      <c r="G58" s="194">
        <f t="shared" si="0"/>
        <v>40</v>
      </c>
      <c r="H58" s="588" t="s">
        <v>1177</v>
      </c>
      <c r="I58" s="588"/>
      <c r="J58" s="588"/>
      <c r="K58" s="258" t="s">
        <v>1053</v>
      </c>
      <c r="L58" s="259" t="s">
        <v>1166</v>
      </c>
      <c r="M58" s="215"/>
      <c r="N58" s="260">
        <f>IF(Main_Parameters!$S$3="640x480p60Hz (1)",P58,IF(Main_Parameters!$S$3="720x480p60Hz (2)",Q58,IF(Main_Parameters!$S$3="1280x720p60Hz (4)",R58,IF(Main_Parameters!$S$3="1920x1080p60Hz (16)",S58,IF(Main_Parameters!$S$3="1920x1200p60Hz (68)",V58,IF(Main_Parameters!$S$3="2560x1600p60Hz (76)",W58,O58))))))</f>
        <v>40</v>
      </c>
      <c r="O58" s="260">
        <f>HEX2DEC(RIGHT(DEC2HEX(L59*100,4),2))</f>
        <v>40</v>
      </c>
      <c r="P58" s="261">
        <v>216</v>
      </c>
      <c r="Q58" s="261">
        <v>140</v>
      </c>
      <c r="R58" s="261">
        <v>1</v>
      </c>
      <c r="S58" s="261">
        <v>2</v>
      </c>
      <c r="T58" s="261">
        <v>100</v>
      </c>
      <c r="U58" s="261">
        <v>188</v>
      </c>
      <c r="V58" s="261">
        <v>40</v>
      </c>
      <c r="W58" s="261">
        <v>236</v>
      </c>
      <c r="X58" s="64"/>
      <c r="Y58" s="64"/>
      <c r="Z58" s="247"/>
      <c r="AA58" s="66"/>
      <c r="AB58" s="66"/>
      <c r="AC58" s="66"/>
      <c r="AD58" s="66"/>
      <c r="AJ58" s="266"/>
    </row>
    <row r="59" spans="2:36" ht="15">
      <c r="B59" s="93" t="s">
        <v>1035</v>
      </c>
      <c r="C59" s="89" t="s">
        <v>1036</v>
      </c>
      <c r="D59" s="510" t="s">
        <v>1178</v>
      </c>
      <c r="E59" s="91" t="str">
        <f t="shared" ref="E59:E93" si="4">DEC2HEX(N59,2)</f>
        <v>3C</v>
      </c>
      <c r="F59" s="244"/>
      <c r="G59" s="194">
        <f t="shared" si="0"/>
        <v>60</v>
      </c>
      <c r="H59" s="586" t="s">
        <v>1179</v>
      </c>
      <c r="I59" s="586"/>
      <c r="J59" s="262">
        <v>148</v>
      </c>
      <c r="K59" s="209" t="str">
        <f>IF(O137="Enable",IF(L59*100&gt;65535,"NG","OK"),"-")</f>
        <v>-</v>
      </c>
      <c r="L59" s="215">
        <f>IF(Main_Parameters!$S$3="Original",Main_Parameters!$C$20,J59)</f>
        <v>154</v>
      </c>
      <c r="M59" s="263"/>
      <c r="N59" s="264">
        <f>IF(Main_Parameters!$S$3="640x480p60Hz (1)",P59,IF(Main_Parameters!$S$3="720x480p60Hz (2)",Q59,IF(Main_Parameters!$S$3="1280x720p60Hz (4)",R59,IF(Main_Parameters!$S$3="1920x1080p60Hz (16)",S59,IF(Main_Parameters!$S$3="1920x1200p60Hz (68)",V59,IF(Main_Parameters!$S$3="2560x1600p60Hz (76)",W59,O59))))))</f>
        <v>60</v>
      </c>
      <c r="O59" s="264">
        <f>HEX2DEC(LEFT(DEC2HEX(L59*100,4),2))</f>
        <v>60</v>
      </c>
      <c r="P59" s="265">
        <v>9</v>
      </c>
      <c r="Q59" s="265">
        <v>10</v>
      </c>
      <c r="R59" s="265">
        <v>29</v>
      </c>
      <c r="S59" s="265">
        <v>58</v>
      </c>
      <c r="T59" s="265">
        <v>25</v>
      </c>
      <c r="U59" s="265">
        <v>27</v>
      </c>
      <c r="V59" s="265">
        <v>60</v>
      </c>
      <c r="W59" s="265">
        <v>104</v>
      </c>
      <c r="X59" s="131"/>
      <c r="Y59" s="131"/>
      <c r="Z59" s="247"/>
      <c r="AA59" s="66"/>
      <c r="AB59" s="66"/>
      <c r="AC59" s="66"/>
      <c r="AD59" s="66"/>
      <c r="AJ59" s="266"/>
    </row>
    <row r="60" spans="2:36" ht="15">
      <c r="B60" s="93" t="s">
        <v>1035</v>
      </c>
      <c r="C60" s="89" t="s">
        <v>1036</v>
      </c>
      <c r="D60" s="510" t="s">
        <v>1180</v>
      </c>
      <c r="E60" s="91" t="str">
        <f t="shared" si="4"/>
        <v>38</v>
      </c>
      <c r="F60" s="244" t="s">
        <v>1181</v>
      </c>
      <c r="G60" s="194">
        <f t="shared" si="0"/>
        <v>56</v>
      </c>
      <c r="H60" s="586" t="s">
        <v>1182</v>
      </c>
      <c r="I60" s="586"/>
      <c r="J60" s="252">
        <v>1080</v>
      </c>
      <c r="K60" s="209" t="str">
        <f>IF(O137="Enable",IF(L60&gt;4095,"NG","OK"),"-")</f>
        <v>-</v>
      </c>
      <c r="L60" s="215">
        <f>IF(Main_Parameters!$S$3="Original",Main_Parameters!$F$20,J60)</f>
        <v>1080</v>
      </c>
      <c r="M60" s="263"/>
      <c r="N60" s="264">
        <f>IF(Main_Parameters!$S$3="640x480p60Hz (1)",P60,IF(Main_Parameters!$S$3="720x480p60Hz (2)",Q60,IF(Main_Parameters!$S$3="1280x720p60Hz (4)",R60,IF(Main_Parameters!$S$3="1920x1080p60Hz (16)",S60,IF(Main_Parameters!$S$3="1920x1200p60Hz (68)",V60,IF(Main_Parameters!$S$3="2560x1600p60Hz (76)",W60,O60))))))</f>
        <v>56</v>
      </c>
      <c r="O60" s="264">
        <f>HEX2DEC(RIGHT(DEC2HEX(L60,3),2))</f>
        <v>56</v>
      </c>
      <c r="P60" s="265">
        <v>128</v>
      </c>
      <c r="Q60" s="265">
        <v>208</v>
      </c>
      <c r="R60" s="265">
        <v>0</v>
      </c>
      <c r="S60" s="265">
        <v>128</v>
      </c>
      <c r="T60" s="265">
        <v>0</v>
      </c>
      <c r="U60" s="265">
        <v>0</v>
      </c>
      <c r="V60" s="265">
        <v>128</v>
      </c>
      <c r="W60" s="265">
        <v>0</v>
      </c>
      <c r="X60" s="131"/>
      <c r="Y60" s="131"/>
      <c r="Z60" s="247"/>
      <c r="AA60" s="66"/>
      <c r="AB60" s="66"/>
      <c r="AC60" s="66"/>
      <c r="AD60" s="66"/>
      <c r="AJ60" s="266"/>
    </row>
    <row r="61" spans="2:36" ht="15">
      <c r="B61" s="93" t="s">
        <v>1035</v>
      </c>
      <c r="C61" s="89" t="s">
        <v>1036</v>
      </c>
      <c r="D61" s="510" t="s">
        <v>1183</v>
      </c>
      <c r="E61" s="91" t="str">
        <f t="shared" si="4"/>
        <v>FA</v>
      </c>
      <c r="F61" s="244" t="s">
        <v>1184</v>
      </c>
      <c r="G61" s="194">
        <f t="shared" si="0"/>
        <v>250</v>
      </c>
      <c r="H61" s="586" t="s">
        <v>1185</v>
      </c>
      <c r="I61" s="586"/>
      <c r="J61" s="252">
        <v>72</v>
      </c>
      <c r="K61" s="209" t="str">
        <f>IF(O137="Enable",IF(L61&gt;1023,"NG","OK"),"-")</f>
        <v>-</v>
      </c>
      <c r="L61" s="215">
        <f>IF(Main_Parameters!$S$3="Original",Main_Parameters!$D$20,J61)</f>
        <v>50</v>
      </c>
      <c r="M61" s="263"/>
      <c r="N61" s="264">
        <f>IF(Main_Parameters!$S$3="640x480p60Hz (1)",P61,IF(Main_Parameters!$S$3="720x480p60Hz (2)",Q61,IF(Main_Parameters!$S$3="1280x720p60Hz (4)",R61,IF(Main_Parameters!$S$3="1920x1080p60Hz (16)",S61,IF(Main_Parameters!$S$3="1920x1200p60Hz (68)",V61,IF(Main_Parameters!$S$3="2560x1600p60Hz (76)",W61,O61))))))</f>
        <v>250</v>
      </c>
      <c r="O61" s="264">
        <f>HEX2DEC(RIGHT(DEC2HEX(L61+L62+L63,3),2))</f>
        <v>250</v>
      </c>
      <c r="P61" s="265">
        <v>160</v>
      </c>
      <c r="Q61" s="265">
        <v>138</v>
      </c>
      <c r="R61" s="265">
        <v>114</v>
      </c>
      <c r="S61" s="265">
        <v>24</v>
      </c>
      <c r="T61" s="265">
        <v>64</v>
      </c>
      <c r="U61" s="265">
        <v>160</v>
      </c>
      <c r="V61" s="265">
        <v>160</v>
      </c>
      <c r="W61" s="265">
        <v>160</v>
      </c>
      <c r="X61" s="131"/>
      <c r="Y61" s="131"/>
      <c r="Z61" s="247"/>
      <c r="AA61" s="66"/>
      <c r="AB61" s="66"/>
      <c r="AC61" s="66"/>
      <c r="AD61" s="66"/>
      <c r="AJ61" s="266"/>
    </row>
    <row r="62" spans="2:36" ht="15">
      <c r="B62" s="93" t="s">
        <v>1035</v>
      </c>
      <c r="C62" s="89" t="s">
        <v>1036</v>
      </c>
      <c r="D62" s="510" t="s">
        <v>1186</v>
      </c>
      <c r="E62" s="91" t="str">
        <f t="shared" si="4"/>
        <v>40</v>
      </c>
      <c r="F62" s="244" t="s">
        <v>1187</v>
      </c>
      <c r="G62" s="194">
        <f t="shared" si="0"/>
        <v>64</v>
      </c>
      <c r="H62" s="586" t="s">
        <v>1188</v>
      </c>
      <c r="I62" s="586"/>
      <c r="J62" s="252">
        <v>128</v>
      </c>
      <c r="K62" s="209" t="str">
        <f>IF(O137="Enable",IF(L61+L62+L63&gt;4095,"NG","OK"),"-")</f>
        <v>-</v>
      </c>
      <c r="L62" s="215">
        <f>IF(Main_Parameters!$S$3="Original",Main_Parameters!$E$20,J62)</f>
        <v>100</v>
      </c>
      <c r="M62" s="263"/>
      <c r="N62" s="264">
        <f>IF(Main_Parameters!$S$3="640x480p60Hz (1)",P62,IF(Main_Parameters!$S$3="720x480p60Hz (2)",Q62,IF(Main_Parameters!$S$3="1280x720p60Hz (4)",R62,IF(Main_Parameters!$S$3="1920x1080p60Hz (16)",S62,IF(Main_Parameters!$S$3="1920x1200p60Hz (68)",V62,IF(Main_Parameters!$S$3="2560x1600p60Hz (76)",W62,O62))))))</f>
        <v>64</v>
      </c>
      <c r="O62" s="264">
        <f>HEX2DEC((LEFT(DEC2HEX(L60,3),1)))*2^4+HEX2DEC(LEFT(DEC2HEX(L61+L62+L63,3),1))</f>
        <v>64</v>
      </c>
      <c r="P62" s="265">
        <v>32</v>
      </c>
      <c r="Q62" s="265">
        <v>32</v>
      </c>
      <c r="R62" s="265">
        <v>81</v>
      </c>
      <c r="S62" s="265">
        <v>113</v>
      </c>
      <c r="T62" s="265">
        <v>65</v>
      </c>
      <c r="U62" s="265">
        <v>80</v>
      </c>
      <c r="V62" s="265">
        <v>112</v>
      </c>
      <c r="W62" s="265">
        <v>160</v>
      </c>
      <c r="X62" s="131"/>
      <c r="Y62" s="131"/>
      <c r="Z62" s="247"/>
      <c r="AA62" s="66"/>
      <c r="AB62" s="66"/>
      <c r="AC62" s="66"/>
      <c r="AD62" s="66"/>
      <c r="AJ62" s="266"/>
    </row>
    <row r="63" spans="2:36" ht="15">
      <c r="B63" s="93" t="s">
        <v>1035</v>
      </c>
      <c r="C63" s="89" t="s">
        <v>1036</v>
      </c>
      <c r="D63" s="510" t="s">
        <v>1189</v>
      </c>
      <c r="E63" s="91" t="str">
        <f t="shared" si="4"/>
        <v>80</v>
      </c>
      <c r="F63" s="244" t="s">
        <v>1190</v>
      </c>
      <c r="G63" s="194">
        <f t="shared" si="0"/>
        <v>128</v>
      </c>
      <c r="H63" s="586" t="s">
        <v>1191</v>
      </c>
      <c r="I63" s="586"/>
      <c r="J63" s="252">
        <v>56</v>
      </c>
      <c r="K63" s="209" t="str">
        <f>IF(O137="Enable",IF(L63&gt;1023,"NG","OK"),"-")</f>
        <v>-</v>
      </c>
      <c r="L63" s="215">
        <f>IF(Main_Parameters!$S$3="Original",Main_Parameters!$G$20,J63)</f>
        <v>100</v>
      </c>
      <c r="M63" s="263"/>
      <c r="N63" s="264">
        <f>IF(Main_Parameters!$S$3="640x480p60Hz (1)",P63,IF(Main_Parameters!$S$3="720x480p60Hz (2)",Q63,IF(Main_Parameters!$S$3="1280x720p60Hz (4)",R63,IF(Main_Parameters!$S$3="1920x1080p60Hz (16)",S63,IF(Main_Parameters!$S$3="1920x1200p60Hz (68)",V63,IF(Main_Parameters!$S$3="2560x1600p60Hz (76)",W63,O63))))))</f>
        <v>128</v>
      </c>
      <c r="O63" s="264">
        <f>HEX2DEC(RIGHT(DEC2HEX(L64,3),2))</f>
        <v>128</v>
      </c>
      <c r="P63" s="265">
        <v>224</v>
      </c>
      <c r="Q63" s="265">
        <v>224</v>
      </c>
      <c r="R63" s="265">
        <v>208</v>
      </c>
      <c r="S63" s="265">
        <v>56</v>
      </c>
      <c r="T63" s="265">
        <v>0</v>
      </c>
      <c r="U63" s="265">
        <v>32</v>
      </c>
      <c r="V63" s="265">
        <v>176</v>
      </c>
      <c r="W63" s="265">
        <v>64</v>
      </c>
      <c r="X63" s="131"/>
      <c r="Y63" s="131"/>
      <c r="Z63" s="247"/>
      <c r="AA63" s="66"/>
      <c r="AB63" s="66"/>
      <c r="AC63" s="66"/>
      <c r="AD63" s="66"/>
      <c r="AJ63" s="266"/>
    </row>
    <row r="64" spans="2:36" ht="15">
      <c r="B64" s="93" t="s">
        <v>1035</v>
      </c>
      <c r="C64" s="89" t="s">
        <v>1036</v>
      </c>
      <c r="D64" s="510" t="s">
        <v>1192</v>
      </c>
      <c r="E64" s="91" t="str">
        <f t="shared" si="4"/>
        <v>0C</v>
      </c>
      <c r="F64" s="244" t="s">
        <v>1193</v>
      </c>
      <c r="G64" s="194">
        <f t="shared" si="0"/>
        <v>12</v>
      </c>
      <c r="H64" s="586" t="s">
        <v>1194</v>
      </c>
      <c r="I64" s="586"/>
      <c r="J64" s="252">
        <v>1920</v>
      </c>
      <c r="K64" s="209" t="str">
        <f>IF(O137="Enable",IF(L64&gt;4095,"NG","OK"),"-")</f>
        <v>-</v>
      </c>
      <c r="L64" s="215">
        <f>IF(Main_Parameters!$S$3="Original",Main_Parameters!$J$20,J64)</f>
        <v>1920</v>
      </c>
      <c r="M64" s="263"/>
      <c r="N64" s="264">
        <f>IF(Main_Parameters!$S$3="640x480p60Hz (1)",P64,IF(Main_Parameters!$S$3="720x480p60Hz (2)",Q64,IF(Main_Parameters!$S$3="1280x720p60Hz (4)",R64,IF(Main_Parameters!$S$3="1920x1080p60Hz (16)",S64,IF(Main_Parameters!$S$3="1920x1200p60Hz (68)",V64,IF(Main_Parameters!$S$3="2560x1600p60Hz (76)",W64,O64))))))</f>
        <v>12</v>
      </c>
      <c r="O64" s="264">
        <f>HEX2DEC(RIGHT(DEC2HEX(L65+L66+L67,3),2))</f>
        <v>12</v>
      </c>
      <c r="P64" s="265">
        <v>45</v>
      </c>
      <c r="Q64" s="265">
        <v>45</v>
      </c>
      <c r="R64" s="265">
        <v>30</v>
      </c>
      <c r="S64" s="265">
        <v>45</v>
      </c>
      <c r="T64" s="265">
        <v>38</v>
      </c>
      <c r="U64" s="265">
        <v>23</v>
      </c>
      <c r="V64" s="265">
        <v>35</v>
      </c>
      <c r="W64" s="265">
        <v>46</v>
      </c>
      <c r="X64" s="131"/>
      <c r="Y64" s="131"/>
      <c r="Z64" s="247"/>
      <c r="AA64" s="66"/>
      <c r="AB64" s="66"/>
      <c r="AC64" s="66"/>
      <c r="AD64" s="66"/>
      <c r="AJ64" s="266"/>
    </row>
    <row r="65" spans="2:36" ht="15">
      <c r="B65" s="93" t="s">
        <v>1035</v>
      </c>
      <c r="C65" s="89" t="s">
        <v>1036</v>
      </c>
      <c r="D65" s="510" t="s">
        <v>1195</v>
      </c>
      <c r="E65" s="91" t="str">
        <f t="shared" si="4"/>
        <v>70</v>
      </c>
      <c r="F65" s="244" t="s">
        <v>1196</v>
      </c>
      <c r="G65" s="194">
        <f t="shared" si="0"/>
        <v>112</v>
      </c>
      <c r="H65" s="586" t="s">
        <v>1197</v>
      </c>
      <c r="I65" s="586"/>
      <c r="J65" s="252">
        <v>10</v>
      </c>
      <c r="K65" s="209" t="str">
        <f>IF(O137="Enable",IF(L65&gt;15,"NG","OK"),"-")</f>
        <v>-</v>
      </c>
      <c r="L65" s="215">
        <f>IF(Main_Parameters!$S$3="Original",Main_Parameters!$H$20,J65)</f>
        <v>4</v>
      </c>
      <c r="M65" s="263"/>
      <c r="N65" s="264">
        <f>IF(Main_Parameters!$S$3="640x480p60Hz (1)",P65,IF(Main_Parameters!$S$3="720x480p60Hz (2)",Q65,IF(Main_Parameters!$S$3="1280x720p60Hz (4)",R65,IF(Main_Parameters!$S$3="1920x1080p60Hz (16)",S65,IF(Main_Parameters!$S$3="1920x1200p60Hz (68)",V65,IF(Main_Parameters!$S$3="2560x1600p60Hz (76)",W65,O65))))))</f>
        <v>112</v>
      </c>
      <c r="O65" s="264">
        <f>HEX2DEC((LEFT(DEC2HEX(L64,3),1)))*2^4+HEX2DEC(LEFT(DEC2HEX(L65+L66+L67,3),1))</f>
        <v>112</v>
      </c>
      <c r="P65" s="265">
        <v>16</v>
      </c>
      <c r="Q65" s="265">
        <v>16</v>
      </c>
      <c r="R65" s="265">
        <v>32</v>
      </c>
      <c r="S65" s="265">
        <v>64</v>
      </c>
      <c r="T65" s="265">
        <v>48</v>
      </c>
      <c r="U65" s="265">
        <v>48</v>
      </c>
      <c r="V65" s="265">
        <v>64</v>
      </c>
      <c r="W65" s="265">
        <v>96</v>
      </c>
      <c r="X65" s="131"/>
      <c r="Y65" s="131"/>
      <c r="Z65" s="247"/>
      <c r="AA65" s="66"/>
      <c r="AB65" s="66"/>
      <c r="AC65" s="66"/>
      <c r="AD65" s="66"/>
      <c r="AJ65" s="266"/>
    </row>
    <row r="66" spans="2:36" ht="15">
      <c r="B66" s="93" t="s">
        <v>1035</v>
      </c>
      <c r="C66" s="89" t="s">
        <v>1036</v>
      </c>
      <c r="D66" s="510" t="s">
        <v>1198</v>
      </c>
      <c r="E66" s="91" t="str">
        <f t="shared" si="4"/>
        <v>64</v>
      </c>
      <c r="F66" s="244" t="s">
        <v>1199</v>
      </c>
      <c r="G66" s="194">
        <f t="shared" si="0"/>
        <v>100</v>
      </c>
      <c r="H66" s="586" t="s">
        <v>1200</v>
      </c>
      <c r="I66" s="586"/>
      <c r="J66" s="252">
        <v>34</v>
      </c>
      <c r="K66" s="209" t="str">
        <f>IF(O137="Enable",IF(L65+L66+L67&gt;4095,"NG","OK"),"-")</f>
        <v>-</v>
      </c>
      <c r="L66" s="215">
        <f>IF(Main_Parameters!$S$3="Original",Main_Parameters!$I$20,J66)</f>
        <v>4</v>
      </c>
      <c r="M66" s="263"/>
      <c r="N66" s="264">
        <f>IF(Main_Parameters!$S$3="640x480p60Hz (1)",P66,IF(Main_Parameters!$S$3="720x480p60Hz (2)",Q66,IF(Main_Parameters!$S$3="1280x720p60Hz (4)",R66,IF(Main_Parameters!$S$3="1920x1080p60Hz (16)",S66,IF(Main_Parameters!$S$3="1920x1200p60Hz (68)",V66,IF(Main_Parameters!$S$3="2560x1600p60Hz (76)",W66,O66))))))</f>
        <v>100</v>
      </c>
      <c r="O66" s="264">
        <f>HEX2DEC(RIGHT(DEC2HEX(L63,3),2))</f>
        <v>100</v>
      </c>
      <c r="P66" s="265">
        <v>16</v>
      </c>
      <c r="Q66" s="265">
        <v>16</v>
      </c>
      <c r="R66" s="265">
        <v>110</v>
      </c>
      <c r="S66" s="265">
        <v>88</v>
      </c>
      <c r="T66" s="265">
        <v>24</v>
      </c>
      <c r="U66" s="265">
        <v>48</v>
      </c>
      <c r="V66" s="265">
        <v>48</v>
      </c>
      <c r="W66" s="265">
        <v>48</v>
      </c>
      <c r="X66" s="131"/>
      <c r="Y66" s="131"/>
      <c r="Z66" s="247"/>
      <c r="AA66" s="66"/>
      <c r="AB66" s="66"/>
      <c r="AC66" s="66"/>
      <c r="AD66" s="66"/>
      <c r="AJ66" s="266"/>
    </row>
    <row r="67" spans="2:36" ht="15">
      <c r="B67" s="93" t="s">
        <v>1035</v>
      </c>
      <c r="C67" s="89" t="s">
        <v>1036</v>
      </c>
      <c r="D67" s="510" t="s">
        <v>1201</v>
      </c>
      <c r="E67" s="91" t="str">
        <f t="shared" si="4"/>
        <v>32</v>
      </c>
      <c r="F67" s="244" t="s">
        <v>1202</v>
      </c>
      <c r="G67" s="194">
        <f t="shared" si="0"/>
        <v>50</v>
      </c>
      <c r="H67" s="586" t="s">
        <v>1203</v>
      </c>
      <c r="I67" s="586"/>
      <c r="J67" s="252">
        <v>3</v>
      </c>
      <c r="K67" s="209" t="str">
        <f>IF(O137="Enable",IF(L67&gt;15,"NG","OK"),"-")</f>
        <v>-</v>
      </c>
      <c r="L67" s="215">
        <f>IF(Main_Parameters!$S$3="Original",Main_Parameters!$K$20,J67)</f>
        <v>4</v>
      </c>
      <c r="M67" s="263"/>
      <c r="N67" s="264">
        <f>IF(Main_Parameters!$S$3="640x480p60Hz (1)",P67,IF(Main_Parameters!$S$3="720x480p60Hz (2)",Q67,IF(Main_Parameters!$S$3="1280x720p60Hz (4)",R67,IF(Main_Parameters!$S$3="1920x1080p60Hz (16)",S67,IF(Main_Parameters!$S$3="1920x1200p60Hz (68)",V67,IF(Main_Parameters!$S$3="2560x1600p60Hz (76)",W67,O67))))))</f>
        <v>50</v>
      </c>
      <c r="O67" s="264">
        <f>HEX2DEC(RIGHT(DEC2HEX(L61,3),2))</f>
        <v>50</v>
      </c>
      <c r="P67" s="265">
        <v>96</v>
      </c>
      <c r="Q67" s="265">
        <v>62</v>
      </c>
      <c r="R67" s="265">
        <v>40</v>
      </c>
      <c r="S67" s="265">
        <v>44</v>
      </c>
      <c r="T67" s="265">
        <v>136</v>
      </c>
      <c r="U67" s="265">
        <v>32</v>
      </c>
      <c r="V67" s="265">
        <v>32</v>
      </c>
      <c r="W67" s="265">
        <v>32</v>
      </c>
      <c r="X67" s="131"/>
      <c r="Y67" s="131"/>
      <c r="Z67" s="247"/>
      <c r="AA67" s="66"/>
      <c r="AB67" s="66"/>
      <c r="AC67" s="66"/>
      <c r="AD67" s="66"/>
      <c r="AJ67" s="266"/>
    </row>
    <row r="68" spans="2:36" ht="15">
      <c r="B68" s="93" t="s">
        <v>1035</v>
      </c>
      <c r="C68" s="89" t="s">
        <v>1036</v>
      </c>
      <c r="D68" s="510" t="s">
        <v>1204</v>
      </c>
      <c r="E68" s="91" t="str">
        <f t="shared" si="4"/>
        <v>44</v>
      </c>
      <c r="F68" s="244" t="s">
        <v>1205</v>
      </c>
      <c r="G68" s="194">
        <f t="shared" si="0"/>
        <v>68</v>
      </c>
      <c r="H68" s="586" t="s">
        <v>1206</v>
      </c>
      <c r="I68" s="586"/>
      <c r="J68" s="252">
        <v>192</v>
      </c>
      <c r="K68" s="209" t="str">
        <f>IF(AI137="Disable",IF(L68&gt;4095,"NG","OK"),"-")</f>
        <v>-</v>
      </c>
      <c r="L68" s="215">
        <f>IF(Main_Parameters!$S$3="Original",Main_Parameters!$O$23,J68)</f>
        <v>192</v>
      </c>
      <c r="M68" s="263"/>
      <c r="N68" s="264">
        <f>IF(Main_Parameters!$S$3="640x480p60Hz (1)",P68,IF(Main_Parameters!$S$3="720x480p60Hz (2)",Q68,IF(Main_Parameters!$S$3="1280x720p60Hz (4)",R68,IF(Main_Parameters!$S$3="1920x1080p60Hz (16)",S68,IF(Main_Parameters!$S$3="1920x1200p60Hz (68)",V68,IF(Main_Parameters!$S$3="2560x1600p60Hz (76)",W68,O68))))))</f>
        <v>68</v>
      </c>
      <c r="O68" s="264">
        <f>HEX2DEC(RIGHT(DEC2HEX(L67,2),1))*2^4+HEX2DEC(RIGHT(DEC2HEX(L65,2),1))</f>
        <v>68</v>
      </c>
      <c r="P68" s="265">
        <v>162</v>
      </c>
      <c r="Q68" s="265">
        <v>150</v>
      </c>
      <c r="R68" s="265">
        <v>85</v>
      </c>
      <c r="S68" s="265">
        <v>69</v>
      </c>
      <c r="T68" s="265">
        <v>54</v>
      </c>
      <c r="U68" s="265">
        <v>54</v>
      </c>
      <c r="V68" s="265">
        <v>54</v>
      </c>
      <c r="W68" s="265">
        <v>54</v>
      </c>
      <c r="X68" s="131"/>
      <c r="Y68" s="131"/>
      <c r="Z68" s="247"/>
      <c r="AA68" s="66"/>
      <c r="AB68" s="66"/>
      <c r="AC68" s="66"/>
      <c r="AD68" s="66"/>
      <c r="AJ68" s="266"/>
    </row>
    <row r="69" spans="2:36" ht="15">
      <c r="B69" s="93" t="s">
        <v>1035</v>
      </c>
      <c r="C69" s="89" t="s">
        <v>1036</v>
      </c>
      <c r="D69" s="510" t="s">
        <v>1207</v>
      </c>
      <c r="E69" s="91" t="str">
        <f t="shared" si="4"/>
        <v>00</v>
      </c>
      <c r="F69" s="244" t="s">
        <v>1208</v>
      </c>
      <c r="G69" s="194">
        <f t="shared" si="0"/>
        <v>0</v>
      </c>
      <c r="H69" s="586" t="s">
        <v>1209</v>
      </c>
      <c r="I69" s="586"/>
      <c r="J69" s="252">
        <v>120</v>
      </c>
      <c r="K69" s="209" t="str">
        <f>IF(AI137="Disable",IF(L69&gt;4095,"NG","OK"),"-")</f>
        <v>-</v>
      </c>
      <c r="L69" s="215">
        <f>IF(Main_Parameters!$S$3="Original",Main_Parameters!$O$24,J69)</f>
        <v>120</v>
      </c>
      <c r="M69" s="263"/>
      <c r="N69" s="264">
        <f>IF(Main_Parameters!$S$3="640x480p60Hz (1)",P69,IF(Main_Parameters!$S$3="720x480p60Hz (2)",Q69,IF(Main_Parameters!$S$3="1280x720p60Hz (4)",R69,IF(Main_Parameters!$S$3="1920x1080p60Hz (16)",S69,IF(Main_Parameters!$S$3="1920x1200p60Hz (68)",V69,IF(Main_Parameters!$S$3="2560x1600p60Hz (76)",W69,O69))))))</f>
        <v>0</v>
      </c>
      <c r="O69" s="264">
        <f>HEX2DEC(LEFT(DEC2HEX(L63,3),1))*2^6+HEX2DEC(LEFT(DEC2HEX(L61,3),1))*2^4+HEX2DEC(LEFT(DEC2HEX(L67,2),1))*2^2+HEX2DEC(LEFT(DEC2HEX(L65,2),1))</f>
        <v>0</v>
      </c>
      <c r="P69" s="265">
        <v>0</v>
      </c>
      <c r="Q69" s="265">
        <v>0</v>
      </c>
      <c r="R69" s="265">
        <v>0</v>
      </c>
      <c r="S69" s="265">
        <v>0</v>
      </c>
      <c r="T69" s="265">
        <v>0</v>
      </c>
      <c r="U69" s="265">
        <v>0</v>
      </c>
      <c r="V69" s="265">
        <v>0</v>
      </c>
      <c r="W69" s="265">
        <v>0</v>
      </c>
      <c r="X69" s="131"/>
      <c r="Y69" s="131"/>
      <c r="Z69" s="247"/>
      <c r="AA69" s="66"/>
      <c r="AB69" s="66"/>
      <c r="AC69" s="66"/>
      <c r="AD69" s="66"/>
      <c r="AJ69" s="266"/>
    </row>
    <row r="70" spans="2:36" ht="13.5" customHeight="1">
      <c r="B70" s="93" t="s">
        <v>1035</v>
      </c>
      <c r="C70" s="89" t="s">
        <v>1036</v>
      </c>
      <c r="D70" s="510" t="s">
        <v>1210</v>
      </c>
      <c r="E70" s="91" t="str">
        <f t="shared" si="4"/>
        <v>C0</v>
      </c>
      <c r="F70" s="244" t="s">
        <v>1211</v>
      </c>
      <c r="G70" s="194">
        <f t="shared" ref="G70:G133" si="5">HEX2DEC(E70)</f>
        <v>192</v>
      </c>
      <c r="H70" s="586" t="s">
        <v>1212</v>
      </c>
      <c r="I70" s="586"/>
      <c r="J70" s="270" t="s">
        <v>768</v>
      </c>
      <c r="K70" s="194">
        <f>IF(L70="Interlace",1,0)</f>
        <v>0</v>
      </c>
      <c r="L70" s="215" t="str">
        <f>IF(Main_Parameters!$S$3="Original",Main_Parameters!$M$21,J70)</f>
        <v>Progressive</v>
      </c>
      <c r="M70" s="271"/>
      <c r="N70" s="264">
        <f>IF(Main_Parameters!$S$3="640x480p60Hz (1)",P70,IF(Main_Parameters!$S$3="720x480p60Hz (2)",Q70,IF(Main_Parameters!$S$3="1280x720p60Hz (4)",R70,IF(Main_Parameters!$S$3="1920x1080p60Hz (16)",S70,IF(Main_Parameters!$S$3="1920x1200p60Hz (68)",V70,IF(Main_Parameters!$S$3="2560x1600p60Hz (76)",W70,O70))))))</f>
        <v>192</v>
      </c>
      <c r="O70" s="264">
        <f>HEX2DEC(RIGHT(DEC2HEX(L68,3),2))</f>
        <v>192</v>
      </c>
      <c r="P70" s="265">
        <v>196</v>
      </c>
      <c r="Q70" s="265">
        <v>19</v>
      </c>
      <c r="R70" s="265">
        <v>196</v>
      </c>
      <c r="S70" s="265">
        <v>196</v>
      </c>
      <c r="T70" s="265">
        <v>0</v>
      </c>
      <c r="U70" s="265">
        <v>0</v>
      </c>
      <c r="V70" s="265">
        <v>128</v>
      </c>
      <c r="W70" s="265">
        <v>0</v>
      </c>
      <c r="X70" s="131"/>
      <c r="Y70" s="131"/>
      <c r="Z70" s="247"/>
      <c r="AA70" s="66"/>
      <c r="AB70" s="66"/>
      <c r="AC70" s="66"/>
      <c r="AD70" s="66"/>
      <c r="AJ70" s="266"/>
    </row>
    <row r="71" spans="2:36" ht="15">
      <c r="B71" s="93" t="s">
        <v>1035</v>
      </c>
      <c r="C71" s="89" t="s">
        <v>1036</v>
      </c>
      <c r="D71" s="510" t="s">
        <v>1213</v>
      </c>
      <c r="E71" s="91" t="str">
        <f t="shared" si="4"/>
        <v>78</v>
      </c>
      <c r="F71" s="244" t="s">
        <v>1214</v>
      </c>
      <c r="G71" s="194">
        <f t="shared" si="5"/>
        <v>120</v>
      </c>
      <c r="H71" s="586" t="s">
        <v>1215</v>
      </c>
      <c r="I71" s="586"/>
      <c r="J71" s="270" t="s">
        <v>774</v>
      </c>
      <c r="K71" s="194">
        <f>IF(L71="H Active",1,0)</f>
        <v>0</v>
      </c>
      <c r="L71" s="215" t="str">
        <f>IF(Main_Parameters!$S$3="Original",Main_Parameters!$M$24,J71)</f>
        <v>L Active</v>
      </c>
      <c r="M71" s="271"/>
      <c r="N71" s="264">
        <f>IF(Main_Parameters!$S$3="640x480p60Hz (1)",P71,IF(Main_Parameters!$S$3="720x480p60Hz (2)",Q71,IF(Main_Parameters!$S$3="1280x720p60Hz (4)",R71,IF(Main_Parameters!$S$3="1920x1080p60Hz (16)",S71,IF(Main_Parameters!$S$3="1920x1200p60Hz (68)",V71,IF(Main_Parameters!$S$3="2560x1600p60Hz (76)",W71,O71))))))</f>
        <v>120</v>
      </c>
      <c r="O71" s="264">
        <f>HEX2DEC(RIGHT(DEC2HEX(L69,3),2))</f>
        <v>120</v>
      </c>
      <c r="P71" s="265">
        <v>142</v>
      </c>
      <c r="Q71" s="265">
        <v>142</v>
      </c>
      <c r="R71" s="265">
        <v>142</v>
      </c>
      <c r="S71" s="265">
        <v>142</v>
      </c>
      <c r="T71" s="265">
        <v>0</v>
      </c>
      <c r="U71" s="265">
        <v>32</v>
      </c>
      <c r="V71" s="265">
        <v>176</v>
      </c>
      <c r="W71" s="265">
        <v>64</v>
      </c>
      <c r="X71" s="131"/>
      <c r="Y71" s="131"/>
      <c r="Z71" s="247"/>
      <c r="AA71" s="66"/>
      <c r="AB71" s="66"/>
      <c r="AC71" s="66"/>
      <c r="AD71" s="66"/>
      <c r="AJ71" s="266"/>
    </row>
    <row r="72" spans="2:36" ht="15">
      <c r="B72" s="93" t="s">
        <v>1035</v>
      </c>
      <c r="C72" s="89" t="s">
        <v>1036</v>
      </c>
      <c r="D72" s="510" t="s">
        <v>1216</v>
      </c>
      <c r="E72" s="91" t="str">
        <f t="shared" si="4"/>
        <v>00</v>
      </c>
      <c r="F72" s="244" t="s">
        <v>1217</v>
      </c>
      <c r="G72" s="194">
        <f t="shared" si="5"/>
        <v>0</v>
      </c>
      <c r="H72" s="586" t="s">
        <v>1218</v>
      </c>
      <c r="I72" s="586"/>
      <c r="J72" s="270" t="s">
        <v>774</v>
      </c>
      <c r="K72" s="194">
        <f>IF(L72="H Active",1,0)</f>
        <v>0</v>
      </c>
      <c r="L72" s="215" t="str">
        <f>IF(Main_Parameters!$S$3="Original",Main_Parameters!$M$23,J72)</f>
        <v>L Active</v>
      </c>
      <c r="M72" s="271"/>
      <c r="N72" s="264">
        <f>IF(Main_Parameters!$S$3="640x480p60Hz (1)",P72,IF(Main_Parameters!$S$3="720x480p60Hz (2)",Q72,IF(Main_Parameters!$S$3="1280x720p60Hz (4)",R72,IF(Main_Parameters!$S$3="1920x1080p60Hz (16)",S72,IF(Main_Parameters!$S$3="1920x1200p60Hz (68)",V72,IF(Main_Parameters!$S$3="2560x1600p60Hz (76)",W72,O72))))))</f>
        <v>0</v>
      </c>
      <c r="O72" s="264">
        <f>HEX2DEC((LEFT(DEC2HEX(L68,3),1)))*2^4+HEX2DEC(LEFT(DEC2HEX(L69,3),1))</f>
        <v>0</v>
      </c>
      <c r="P72" s="265">
        <v>33</v>
      </c>
      <c r="Q72" s="265">
        <v>33</v>
      </c>
      <c r="R72" s="265">
        <v>33</v>
      </c>
      <c r="S72" s="265">
        <v>33</v>
      </c>
      <c r="T72" s="265">
        <v>67</v>
      </c>
      <c r="U72" s="265">
        <v>83</v>
      </c>
      <c r="V72" s="265">
        <v>116</v>
      </c>
      <c r="W72" s="265">
        <v>166</v>
      </c>
      <c r="X72" s="131"/>
      <c r="Y72" s="131"/>
      <c r="Z72" s="247"/>
      <c r="AA72" s="66"/>
      <c r="AB72" s="66"/>
      <c r="AC72" s="66"/>
      <c r="AD72" s="66"/>
      <c r="AJ72" s="266"/>
    </row>
    <row r="73" spans="2:36">
      <c r="B73" s="93" t="s">
        <v>1035</v>
      </c>
      <c r="C73" s="89" t="s">
        <v>1036</v>
      </c>
      <c r="D73" s="510" t="s">
        <v>1219</v>
      </c>
      <c r="E73" s="91" t="str">
        <f t="shared" si="4"/>
        <v>00</v>
      </c>
      <c r="F73" s="244" t="s">
        <v>1220</v>
      </c>
      <c r="G73" s="194">
        <f t="shared" si="5"/>
        <v>0</v>
      </c>
      <c r="H73"/>
      <c r="I73"/>
      <c r="J73"/>
      <c r="K73" s="194">
        <f>K70*2^7+3*2^3+K71*2^2+K72*2^1</f>
        <v>24</v>
      </c>
      <c r="L73" s="271"/>
      <c r="M73" s="271"/>
      <c r="N73" s="264">
        <f>IF(Main_Parameters!$S$3="640x480p60Hz (1)",P73,IF(Main_Parameters!$S$3="720x480p60Hz (2)",Q73,IF(Main_Parameters!$S$3="1280x720p60Hz (4)",R73,IF(Main_Parameters!$S$3="1920x1080p60Hz (16)",S73,IF(Main_Parameters!$S$3="1920x1200p60Hz (68)",V73,IF(Main_Parameters!$S$3="2560x1600p60Hz (76)",W73,O73))))))</f>
        <v>0</v>
      </c>
      <c r="O73" s="264">
        <v>0</v>
      </c>
      <c r="P73" s="265">
        <v>0</v>
      </c>
      <c r="Q73" s="265">
        <v>0</v>
      </c>
      <c r="R73" s="265">
        <v>0</v>
      </c>
      <c r="S73" s="265">
        <v>0</v>
      </c>
      <c r="T73" s="265">
        <v>0</v>
      </c>
      <c r="U73" s="265">
        <v>0</v>
      </c>
      <c r="V73" s="265">
        <v>0</v>
      </c>
      <c r="W73" s="265">
        <v>0</v>
      </c>
      <c r="X73" s="131"/>
      <c r="Y73" s="131"/>
      <c r="Z73" s="247"/>
      <c r="AA73" s="66"/>
      <c r="AB73" s="66"/>
      <c r="AC73" s="66"/>
      <c r="AD73" s="66"/>
      <c r="AJ73" s="266"/>
    </row>
    <row r="74" spans="2:36">
      <c r="B74" s="93" t="s">
        <v>1035</v>
      </c>
      <c r="C74" s="89" t="s">
        <v>1036</v>
      </c>
      <c r="D74" s="510" t="s">
        <v>1221</v>
      </c>
      <c r="E74" s="91" t="str">
        <f t="shared" si="4"/>
        <v>00</v>
      </c>
      <c r="F74" s="244" t="s">
        <v>1222</v>
      </c>
      <c r="G74" s="194">
        <f t="shared" si="5"/>
        <v>0</v>
      </c>
      <c r="H74"/>
      <c r="I74"/>
      <c r="J74"/>
      <c r="K74"/>
      <c r="L74" s="271"/>
      <c r="M74" s="271"/>
      <c r="N74" s="264">
        <f>IF(Main_Parameters!$S$3="640x480p60Hz (1)",P74,IF(Main_Parameters!$S$3="720x480p60Hz (2)",Q74,IF(Main_Parameters!$S$3="1280x720p60Hz (4)",R74,IF(Main_Parameters!$S$3="1920x1080p60Hz (16)",S74,IF(Main_Parameters!$S$3="1920x1200p60Hz (68)",V74,IF(Main_Parameters!$S$3="2560x1600p60Hz (76)",W74,O74))))))</f>
        <v>0</v>
      </c>
      <c r="O74" s="264">
        <v>0</v>
      </c>
      <c r="P74" s="265">
        <v>0</v>
      </c>
      <c r="Q74" s="265">
        <v>0</v>
      </c>
      <c r="R74" s="265">
        <v>0</v>
      </c>
      <c r="S74" s="265">
        <v>0</v>
      </c>
      <c r="T74" s="265">
        <v>0</v>
      </c>
      <c r="U74" s="265">
        <v>0</v>
      </c>
      <c r="V74" s="265">
        <v>0</v>
      </c>
      <c r="W74" s="265">
        <v>0</v>
      </c>
      <c r="X74" s="131"/>
      <c r="Y74" s="131"/>
      <c r="Z74" s="247"/>
      <c r="AA74" s="66"/>
      <c r="AB74" s="66"/>
      <c r="AC74" s="66"/>
      <c r="AD74" s="66"/>
      <c r="AJ74" s="266"/>
    </row>
    <row r="75" spans="2:36">
      <c r="B75" s="93" t="s">
        <v>1035</v>
      </c>
      <c r="C75" s="89" t="s">
        <v>1036</v>
      </c>
      <c r="D75" s="510" t="s">
        <v>1223</v>
      </c>
      <c r="E75" s="91" t="str">
        <f t="shared" si="4"/>
        <v>18</v>
      </c>
      <c r="F75" s="244" t="s">
        <v>1224</v>
      </c>
      <c r="G75" s="194">
        <f t="shared" si="5"/>
        <v>24</v>
      </c>
      <c r="H75"/>
      <c r="I75"/>
      <c r="J75"/>
      <c r="K75" s="194" t="str">
        <f>IF(Main_Parameters!$R$4="Select","Disable","Enable")</f>
        <v>Enable</v>
      </c>
      <c r="L75" s="271"/>
      <c r="M75" s="271"/>
      <c r="N75" s="272">
        <f>IF(Main_Parameters!$S$3="640x480p60Hz (1)",P75,IF(Main_Parameters!$S$3="720x480p60Hz (2)",Q75,IF(Main_Parameters!$S$3="1280x720p60Hz (4)",R75,IF(Main_Parameters!$S$3="1920x1080p60Hz (16)",S75,IF(Main_Parameters!$S$3="1920x1200p60Hz (68)",V75,IF(Main_Parameters!$S$3="2560x1600p60Hz (76)",W75,O75))))))</f>
        <v>24</v>
      </c>
      <c r="O75" s="272">
        <f>K73</f>
        <v>24</v>
      </c>
      <c r="P75" s="273">
        <v>24</v>
      </c>
      <c r="Q75" s="273">
        <v>24</v>
      </c>
      <c r="R75" s="273">
        <v>30</v>
      </c>
      <c r="S75" s="273">
        <v>30</v>
      </c>
      <c r="T75" s="273">
        <v>24</v>
      </c>
      <c r="U75" s="273">
        <v>26</v>
      </c>
      <c r="V75" s="273">
        <v>26</v>
      </c>
      <c r="W75" s="273">
        <v>26</v>
      </c>
      <c r="X75" s="131"/>
      <c r="Y75" s="131"/>
      <c r="Z75" s="247"/>
      <c r="AA75" s="66"/>
      <c r="AB75" s="66"/>
      <c r="AC75" s="66"/>
      <c r="AD75" s="66"/>
      <c r="AJ75" s="266"/>
    </row>
    <row r="76" spans="2:36" ht="15" customHeight="1">
      <c r="B76" s="93" t="s">
        <v>1035</v>
      </c>
      <c r="C76" s="89" t="s">
        <v>1036</v>
      </c>
      <c r="D76" s="510" t="s">
        <v>1225</v>
      </c>
      <c r="E76" s="91" t="str">
        <f t="shared" si="4"/>
        <v>28</v>
      </c>
      <c r="F76" s="243" t="s">
        <v>1226</v>
      </c>
      <c r="G76" s="194">
        <f t="shared" si="5"/>
        <v>40</v>
      </c>
      <c r="H76" s="587" t="s">
        <v>1227</v>
      </c>
      <c r="I76" s="587"/>
      <c r="J76" s="587"/>
      <c r="K76" s="250" t="s">
        <v>1053</v>
      </c>
      <c r="L76" s="259" t="s">
        <v>1166</v>
      </c>
      <c r="M76" s="215"/>
      <c r="N76" s="260">
        <f>IF(Main_Parameters!$S$4="640x480p60Hz (1)",P76,IF(Main_Parameters!$S$4="720x480p60Hz (2)",Q76,IF(Main_Parameters!$S$4="1280x720p60Hz (4)",R76,IF(Main_Parameters!$S$4="1920x1080p60Hz (16)",S76,IF(Main_Parameters!$S$4="1920x1200p60Hz (68)",V76,IF(Main_Parameters!$S$4="2560x1600p60Hz (76)",W76,O76))))))</f>
        <v>40</v>
      </c>
      <c r="O76" s="260">
        <f>HEX2DEC(RIGHT(DEC2HEX(L77*100,4),2))</f>
        <v>40</v>
      </c>
      <c r="P76" s="261">
        <v>216</v>
      </c>
      <c r="Q76" s="261">
        <v>140</v>
      </c>
      <c r="R76" s="261">
        <v>1</v>
      </c>
      <c r="S76" s="261">
        <v>2</v>
      </c>
      <c r="T76" s="261">
        <v>100</v>
      </c>
      <c r="U76" s="261">
        <v>188</v>
      </c>
      <c r="V76" s="261">
        <v>40</v>
      </c>
      <c r="W76" s="261">
        <v>236</v>
      </c>
      <c r="X76" s="131"/>
      <c r="Y76" s="131"/>
      <c r="Z76" s="247"/>
      <c r="AA76" s="66"/>
      <c r="AB76" s="66"/>
      <c r="AC76" s="66"/>
      <c r="AD76" s="66"/>
      <c r="AJ76" s="266"/>
    </row>
    <row r="77" spans="2:36" ht="15">
      <c r="B77" s="93" t="s">
        <v>1035</v>
      </c>
      <c r="C77" s="89" t="s">
        <v>1036</v>
      </c>
      <c r="D77" s="510" t="s">
        <v>1228</v>
      </c>
      <c r="E77" s="91" t="str">
        <f t="shared" si="4"/>
        <v>3C</v>
      </c>
      <c r="F77" s="267"/>
      <c r="G77" s="194">
        <f t="shared" si="5"/>
        <v>60</v>
      </c>
      <c r="H77" s="583" t="s">
        <v>1179</v>
      </c>
      <c r="I77" s="583"/>
      <c r="J77" s="252">
        <v>27</v>
      </c>
      <c r="K77" s="209" t="str">
        <f>IF(O138="Enable",IF(L77*100&gt;65535,"NG","OK"),"-")</f>
        <v>-</v>
      </c>
      <c r="L77" s="215">
        <f>IF(Main_Parameters!$S$4="Original",Main_Parameters!$C$20,J77)</f>
        <v>154</v>
      </c>
      <c r="M77" s="263"/>
      <c r="N77" s="264">
        <f>IF(Main_Parameters!$S$4="640x480p60Hz (1)",P77,IF(Main_Parameters!$S$4="720x480p60Hz (2)",Q77,IF(Main_Parameters!$S$4="1280x720p60Hz (4)",R77,IF(Main_Parameters!$S$4="1920x1080p60Hz (16)",S77,IF(Main_Parameters!$S$4="1920x1200p60Hz (68)",V77,IF(Main_Parameters!$S$4="2560x1600p60Hz (76)",W77,O77))))))</f>
        <v>60</v>
      </c>
      <c r="O77" s="264">
        <f>HEX2DEC(LEFT(DEC2HEX(L77*100,4),2))</f>
        <v>60</v>
      </c>
      <c r="P77" s="265">
        <v>9</v>
      </c>
      <c r="Q77" s="265">
        <v>10</v>
      </c>
      <c r="R77" s="265">
        <v>29</v>
      </c>
      <c r="S77" s="265">
        <v>58</v>
      </c>
      <c r="T77" s="265">
        <v>25</v>
      </c>
      <c r="U77" s="265">
        <v>27</v>
      </c>
      <c r="V77" s="265">
        <v>60</v>
      </c>
      <c r="W77" s="265">
        <v>104</v>
      </c>
      <c r="X77" s="131"/>
      <c r="Y77" s="131"/>
      <c r="Z77" s="247"/>
      <c r="AA77" s="66"/>
      <c r="AB77" s="66"/>
      <c r="AC77" s="66"/>
      <c r="AD77" s="66"/>
      <c r="AJ77" s="266"/>
    </row>
    <row r="78" spans="2:36" ht="15">
      <c r="B78" s="93" t="s">
        <v>1035</v>
      </c>
      <c r="C78" s="89" t="s">
        <v>1036</v>
      </c>
      <c r="D78" s="510" t="s">
        <v>1229</v>
      </c>
      <c r="E78" s="91" t="str">
        <f t="shared" si="4"/>
        <v>38</v>
      </c>
      <c r="F78" s="243" t="s">
        <v>1230</v>
      </c>
      <c r="G78" s="194">
        <f t="shared" si="5"/>
        <v>56</v>
      </c>
      <c r="H78" s="583" t="s">
        <v>1182</v>
      </c>
      <c r="I78" s="583"/>
      <c r="J78" s="252">
        <v>720</v>
      </c>
      <c r="K78" s="209" t="str">
        <f>IF(O138="Enable",IF(L78&gt;4095,"NG","OK"),"-")</f>
        <v>-</v>
      </c>
      <c r="L78" s="215">
        <f>IF(Main_Parameters!$S$4="Original",Main_Parameters!$F$20,J78)</f>
        <v>1080</v>
      </c>
      <c r="M78" s="263"/>
      <c r="N78" s="264">
        <f>IF(Main_Parameters!$S$4="640x480p60Hz (1)",P78,IF(Main_Parameters!$S$4="720x480p60Hz (2)",Q78,IF(Main_Parameters!$S$4="1280x720p60Hz (4)",R78,IF(Main_Parameters!$S$4="1920x1080p60Hz (16)",S78,IF(Main_Parameters!$S$4="1920x1200p60Hz (68)",V78,IF(Main_Parameters!$S$4="2560x1600p60Hz (76)",W78,O78))))))</f>
        <v>56</v>
      </c>
      <c r="O78" s="264">
        <f>HEX2DEC(RIGHT(DEC2HEX(L78,3),2))</f>
        <v>56</v>
      </c>
      <c r="P78" s="265">
        <v>128</v>
      </c>
      <c r="Q78" s="265">
        <v>208</v>
      </c>
      <c r="R78" s="265">
        <v>0</v>
      </c>
      <c r="S78" s="265">
        <v>128</v>
      </c>
      <c r="T78" s="265">
        <v>0</v>
      </c>
      <c r="U78" s="265">
        <v>0</v>
      </c>
      <c r="V78" s="265">
        <v>128</v>
      </c>
      <c r="W78" s="265">
        <v>0</v>
      </c>
      <c r="X78" s="131"/>
      <c r="Y78" s="131"/>
      <c r="Z78" s="247"/>
      <c r="AA78" s="66"/>
      <c r="AB78" s="66"/>
      <c r="AC78" s="66"/>
      <c r="AD78" s="66"/>
      <c r="AJ78" s="266"/>
    </row>
    <row r="79" spans="2:36" ht="15">
      <c r="B79" s="93" t="s">
        <v>1035</v>
      </c>
      <c r="C79" s="89" t="s">
        <v>1036</v>
      </c>
      <c r="D79" s="510" t="s">
        <v>1231</v>
      </c>
      <c r="E79" s="91" t="str">
        <f t="shared" si="4"/>
        <v>FA</v>
      </c>
      <c r="F79" s="243" t="s">
        <v>1232</v>
      </c>
      <c r="G79" s="194">
        <f t="shared" si="5"/>
        <v>250</v>
      </c>
      <c r="H79" s="583" t="s">
        <v>1185</v>
      </c>
      <c r="I79" s="583"/>
      <c r="J79" s="252">
        <v>62</v>
      </c>
      <c r="K79" s="209" t="str">
        <f>IF(O138="Enable",IF(L79&gt;1023,"NG","OK"),"-")</f>
        <v>-</v>
      </c>
      <c r="L79" s="215">
        <f>IF(Main_Parameters!$S$4="Original",Main_Parameters!$D$20,J79)</f>
        <v>50</v>
      </c>
      <c r="M79" s="263"/>
      <c r="N79" s="264">
        <f>IF(Main_Parameters!$S$4="640x480p60Hz (1)",P79,IF(Main_Parameters!$S$4="720x480p60Hz (2)",Q79,IF(Main_Parameters!$S$4="1280x720p60Hz (4)",R79,IF(Main_Parameters!$S$4="1920x1080p60Hz (16)",S79,IF(Main_Parameters!$S$4="1920x1200p60Hz (68)",V79,IF(Main_Parameters!$S$4="2560x1600p60Hz (76)",W79,O79))))))</f>
        <v>250</v>
      </c>
      <c r="O79" s="264">
        <f>HEX2DEC(RIGHT(DEC2HEX(L79+L80+L81,3),2))</f>
        <v>250</v>
      </c>
      <c r="P79" s="265">
        <v>160</v>
      </c>
      <c r="Q79" s="265">
        <v>138</v>
      </c>
      <c r="R79" s="265">
        <v>114</v>
      </c>
      <c r="S79" s="265">
        <v>24</v>
      </c>
      <c r="T79" s="265">
        <v>64</v>
      </c>
      <c r="U79" s="265">
        <v>160</v>
      </c>
      <c r="V79" s="265">
        <v>160</v>
      </c>
      <c r="W79" s="265">
        <v>160</v>
      </c>
      <c r="X79" s="131"/>
      <c r="Y79" s="131"/>
      <c r="Z79" s="247"/>
      <c r="AA79" s="66"/>
      <c r="AB79" s="66"/>
      <c r="AC79" s="66"/>
      <c r="AD79" s="66"/>
      <c r="AJ79" s="266"/>
    </row>
    <row r="80" spans="2:36" ht="15">
      <c r="B80" s="93" t="s">
        <v>1035</v>
      </c>
      <c r="C80" s="89" t="s">
        <v>1036</v>
      </c>
      <c r="D80" s="510" t="s">
        <v>1233</v>
      </c>
      <c r="E80" s="91" t="str">
        <f t="shared" si="4"/>
        <v>40</v>
      </c>
      <c r="F80" s="243" t="s">
        <v>1234</v>
      </c>
      <c r="G80" s="194">
        <f t="shared" si="5"/>
        <v>64</v>
      </c>
      <c r="H80" s="583" t="s">
        <v>1188</v>
      </c>
      <c r="I80" s="583"/>
      <c r="J80" s="252">
        <v>60</v>
      </c>
      <c r="K80" s="209" t="str">
        <f>IF(O138="Enable",IF(L79+L80+L81&gt;4095,"NG","OK"),"-")</f>
        <v>-</v>
      </c>
      <c r="L80" s="215">
        <f>IF(Main_Parameters!$S$4="Original",Main_Parameters!$E$20,J80)</f>
        <v>100</v>
      </c>
      <c r="M80" s="263"/>
      <c r="N80" s="264">
        <f>IF(Main_Parameters!$S$4="640x480p60Hz (1)",P80,IF(Main_Parameters!$S$4="720x480p60Hz (2)",Q80,IF(Main_Parameters!$S$4="1280x720p60Hz (4)",R80,IF(Main_Parameters!$S$4="1920x1080p60Hz (16)",S80,IF(Main_Parameters!$S$4="1920x1200p60Hz (68)",V80,IF(Main_Parameters!$S$4="2560x1600p60Hz (76)",W80,O80))))))</f>
        <v>64</v>
      </c>
      <c r="O80" s="264">
        <f>HEX2DEC((LEFT(DEC2HEX(L78,3),1)))*2^4+HEX2DEC(LEFT(DEC2HEX(L79+L80+L81,3),1))</f>
        <v>64</v>
      </c>
      <c r="P80" s="265">
        <v>32</v>
      </c>
      <c r="Q80" s="265">
        <v>32</v>
      </c>
      <c r="R80" s="265">
        <v>81</v>
      </c>
      <c r="S80" s="265">
        <v>113</v>
      </c>
      <c r="T80" s="265">
        <v>65</v>
      </c>
      <c r="U80" s="265">
        <v>80</v>
      </c>
      <c r="V80" s="265">
        <v>112</v>
      </c>
      <c r="W80" s="265">
        <v>160</v>
      </c>
      <c r="X80" s="131"/>
      <c r="Y80" s="131"/>
      <c r="Z80" s="247"/>
      <c r="AA80" s="66"/>
      <c r="AB80" s="66"/>
      <c r="AC80" s="66"/>
      <c r="AD80" s="66"/>
      <c r="AJ80" s="266"/>
    </row>
    <row r="81" spans="2:36" ht="15">
      <c r="B81" s="93" t="s">
        <v>1035</v>
      </c>
      <c r="C81" s="89" t="s">
        <v>1036</v>
      </c>
      <c r="D81" s="510" t="s">
        <v>1235</v>
      </c>
      <c r="E81" s="91" t="str">
        <f t="shared" si="4"/>
        <v>80</v>
      </c>
      <c r="F81" s="243" t="s">
        <v>1236</v>
      </c>
      <c r="G81" s="194">
        <f t="shared" si="5"/>
        <v>128</v>
      </c>
      <c r="H81" s="583" t="s">
        <v>1191</v>
      </c>
      <c r="I81" s="583"/>
      <c r="J81" s="252">
        <v>16</v>
      </c>
      <c r="K81" s="209" t="str">
        <f>IF(O138="Enable",IF(L81&gt;1023,"NG","OK"),"-")</f>
        <v>-</v>
      </c>
      <c r="L81" s="215">
        <f>IF(Main_Parameters!$S$4="Original",Main_Parameters!$G$20,J81)</f>
        <v>100</v>
      </c>
      <c r="M81" s="263"/>
      <c r="N81" s="264">
        <f>IF(Main_Parameters!$S$4="640x480p60Hz (1)",P81,IF(Main_Parameters!$S$4="720x480p60Hz (2)",Q81,IF(Main_Parameters!$S$4="1280x720p60Hz (4)",R81,IF(Main_Parameters!$S$4="1920x1080p60Hz (16)",S81,IF(Main_Parameters!$S$4="1920x1200p60Hz (68)",V81,IF(Main_Parameters!$S$4="2560x1600p60Hz (76)",W81,O81))))))</f>
        <v>128</v>
      </c>
      <c r="O81" s="264">
        <f>HEX2DEC(RIGHT(DEC2HEX(L82,3),2))</f>
        <v>128</v>
      </c>
      <c r="P81" s="265">
        <v>224</v>
      </c>
      <c r="Q81" s="265">
        <v>224</v>
      </c>
      <c r="R81" s="265">
        <v>208</v>
      </c>
      <c r="S81" s="265">
        <v>56</v>
      </c>
      <c r="T81" s="265">
        <v>0</v>
      </c>
      <c r="U81" s="265">
        <v>32</v>
      </c>
      <c r="V81" s="265">
        <v>176</v>
      </c>
      <c r="W81" s="265">
        <v>64</v>
      </c>
      <c r="X81" s="131"/>
      <c r="Y81" s="131"/>
      <c r="Z81" s="247"/>
      <c r="AA81" s="66"/>
      <c r="AB81" s="66"/>
      <c r="AC81" s="66"/>
      <c r="AD81" s="66"/>
      <c r="AJ81" s="266"/>
    </row>
    <row r="82" spans="2:36" ht="15">
      <c r="B82" s="93" t="s">
        <v>1035</v>
      </c>
      <c r="C82" s="89" t="s">
        <v>1036</v>
      </c>
      <c r="D82" s="510" t="s">
        <v>1237</v>
      </c>
      <c r="E82" s="91" t="str">
        <f t="shared" si="4"/>
        <v>0C</v>
      </c>
      <c r="F82" s="243" t="s">
        <v>1238</v>
      </c>
      <c r="G82" s="194">
        <f t="shared" si="5"/>
        <v>12</v>
      </c>
      <c r="H82" s="583" t="s">
        <v>1194</v>
      </c>
      <c r="I82" s="583"/>
      <c r="J82" s="252">
        <v>480</v>
      </c>
      <c r="K82" s="209" t="str">
        <f>IF(O138="Enable",IF(L82&gt;4095,"NG","OK"),"-")</f>
        <v>-</v>
      </c>
      <c r="L82" s="215">
        <f>IF(Main_Parameters!$S$4="Original",Main_Parameters!$J$20,J82)</f>
        <v>1920</v>
      </c>
      <c r="M82" s="263"/>
      <c r="N82" s="264">
        <f>IF(Main_Parameters!$S$4="640x480p60Hz (1)",P82,IF(Main_Parameters!$S$4="720x480p60Hz (2)",Q82,IF(Main_Parameters!$S$4="1280x720p60Hz (4)",R82,IF(Main_Parameters!$S$4="1920x1080p60Hz (16)",S82,IF(Main_Parameters!$S$4="1920x1200p60Hz (68)",V82,IF(Main_Parameters!$S$4="2560x1600p60Hz (76)",W82,O82))))))</f>
        <v>12</v>
      </c>
      <c r="O82" s="264">
        <f>HEX2DEC(RIGHT(DEC2HEX(L83+L84+L85,3),2))</f>
        <v>12</v>
      </c>
      <c r="P82" s="265">
        <v>45</v>
      </c>
      <c r="Q82" s="265">
        <v>45</v>
      </c>
      <c r="R82" s="265">
        <v>30</v>
      </c>
      <c r="S82" s="265">
        <v>45</v>
      </c>
      <c r="T82" s="265">
        <v>38</v>
      </c>
      <c r="U82" s="265">
        <v>23</v>
      </c>
      <c r="V82" s="265">
        <v>35</v>
      </c>
      <c r="W82" s="265">
        <v>46</v>
      </c>
      <c r="X82" s="131"/>
      <c r="Y82" s="131"/>
      <c r="Z82" s="247"/>
      <c r="AA82" s="66"/>
      <c r="AB82" s="66"/>
      <c r="AC82" s="66"/>
      <c r="AD82" s="66"/>
      <c r="AJ82" s="266"/>
    </row>
    <row r="83" spans="2:36" ht="15">
      <c r="B83" s="93" t="s">
        <v>1035</v>
      </c>
      <c r="C83" s="89" t="s">
        <v>1036</v>
      </c>
      <c r="D83" s="510" t="s">
        <v>1239</v>
      </c>
      <c r="E83" s="91" t="str">
        <f t="shared" si="4"/>
        <v>70</v>
      </c>
      <c r="F83" s="243" t="s">
        <v>1240</v>
      </c>
      <c r="G83" s="194">
        <f t="shared" si="5"/>
        <v>112</v>
      </c>
      <c r="H83" s="583" t="s">
        <v>1197</v>
      </c>
      <c r="I83" s="583"/>
      <c r="J83" s="252">
        <v>6</v>
      </c>
      <c r="K83" s="209" t="str">
        <f>IF(O138="Enable",IF(L83&gt;15,"NG","OK"),"-")</f>
        <v>-</v>
      </c>
      <c r="L83" s="215">
        <f>IF(Main_Parameters!$S$4="Original",Main_Parameters!$H$20,J83)</f>
        <v>4</v>
      </c>
      <c r="M83" s="263"/>
      <c r="N83" s="264">
        <f>IF(Main_Parameters!$S$4="640x480p60Hz (1)",P83,IF(Main_Parameters!$S$4="720x480p60Hz (2)",Q83,IF(Main_Parameters!$S$4="1280x720p60Hz (4)",R83,IF(Main_Parameters!$S$4="1920x1080p60Hz (16)",S83,IF(Main_Parameters!$S$4="1920x1200p60Hz (68)",V83,IF(Main_Parameters!$S$4="2560x1600p60Hz (76)",W83,O83))))))</f>
        <v>112</v>
      </c>
      <c r="O83" s="264">
        <f>HEX2DEC((LEFT(DEC2HEX(L82,3),1)))*2^4+HEX2DEC(LEFT(DEC2HEX(L83+L84+L85,3),1))</f>
        <v>112</v>
      </c>
      <c r="P83" s="265">
        <v>16</v>
      </c>
      <c r="Q83" s="265">
        <v>16</v>
      </c>
      <c r="R83" s="265">
        <v>32</v>
      </c>
      <c r="S83" s="265">
        <v>64</v>
      </c>
      <c r="T83" s="265">
        <v>48</v>
      </c>
      <c r="U83" s="265">
        <v>48</v>
      </c>
      <c r="V83" s="265">
        <v>64</v>
      </c>
      <c r="W83" s="265">
        <v>96</v>
      </c>
      <c r="X83" s="131"/>
      <c r="Y83" s="131"/>
      <c r="Z83" s="247"/>
      <c r="AA83" s="66"/>
      <c r="AB83" s="66"/>
      <c r="AC83" s="66"/>
      <c r="AD83" s="66"/>
      <c r="AJ83" s="266"/>
    </row>
    <row r="84" spans="2:36" ht="15">
      <c r="B84" s="93" t="s">
        <v>1035</v>
      </c>
      <c r="C84" s="89" t="s">
        <v>1036</v>
      </c>
      <c r="D84" s="510" t="s">
        <v>1241</v>
      </c>
      <c r="E84" s="91" t="str">
        <f t="shared" si="4"/>
        <v>64</v>
      </c>
      <c r="F84" s="243" t="s">
        <v>1242</v>
      </c>
      <c r="G84" s="194">
        <f t="shared" si="5"/>
        <v>100</v>
      </c>
      <c r="H84" s="583" t="s">
        <v>1200</v>
      </c>
      <c r="I84" s="583"/>
      <c r="J84" s="252">
        <v>30</v>
      </c>
      <c r="K84" s="209" t="str">
        <f>IF(O138="Enable",IF(L83+L84+L85&gt;4095,"NG","OK"),"-")</f>
        <v>-</v>
      </c>
      <c r="L84" s="215">
        <f>IF(Main_Parameters!$S$4="Original",Main_Parameters!$I$20,J84)</f>
        <v>4</v>
      </c>
      <c r="M84" s="263"/>
      <c r="N84" s="264">
        <f>IF(Main_Parameters!$S$4="640x480p60Hz (1)",P84,IF(Main_Parameters!$S$4="720x480p60Hz (2)",Q84,IF(Main_Parameters!$S$4="1280x720p60Hz (4)",R84,IF(Main_Parameters!$S$4="1920x1080p60Hz (16)",S84,IF(Main_Parameters!$S$4="1920x1200p60Hz (68)",V84,IF(Main_Parameters!$S$4="2560x1600p60Hz (76)",W84,O84))))))</f>
        <v>100</v>
      </c>
      <c r="O84" s="264">
        <f>HEX2DEC(RIGHT(DEC2HEX(L81,3),2))</f>
        <v>100</v>
      </c>
      <c r="P84" s="265">
        <v>16</v>
      </c>
      <c r="Q84" s="265">
        <v>16</v>
      </c>
      <c r="R84" s="265">
        <v>110</v>
      </c>
      <c r="S84" s="265">
        <v>88</v>
      </c>
      <c r="T84" s="265">
        <v>24</v>
      </c>
      <c r="U84" s="265">
        <v>48</v>
      </c>
      <c r="V84" s="265">
        <v>48</v>
      </c>
      <c r="W84" s="265">
        <v>48</v>
      </c>
      <c r="X84" s="131"/>
      <c r="Y84" s="131"/>
      <c r="Z84" s="247"/>
      <c r="AA84" s="66"/>
      <c r="AB84" s="66"/>
      <c r="AC84" s="66"/>
      <c r="AD84" s="66"/>
      <c r="AJ84" s="266"/>
    </row>
    <row r="85" spans="2:36" ht="15">
      <c r="B85" s="93" t="s">
        <v>1035</v>
      </c>
      <c r="C85" s="89" t="s">
        <v>1036</v>
      </c>
      <c r="D85" s="510" t="s">
        <v>1243</v>
      </c>
      <c r="E85" s="91" t="str">
        <f t="shared" si="4"/>
        <v>32</v>
      </c>
      <c r="F85" s="243" t="s">
        <v>1244</v>
      </c>
      <c r="G85" s="194">
        <f t="shared" si="5"/>
        <v>50</v>
      </c>
      <c r="H85" s="583" t="s">
        <v>1203</v>
      </c>
      <c r="I85" s="583"/>
      <c r="J85" s="252">
        <v>9</v>
      </c>
      <c r="K85" s="209" t="str">
        <f>IF(O138="Enable",IF(L85&gt;15,"NG","OK"),"-")</f>
        <v>-</v>
      </c>
      <c r="L85" s="215">
        <f>IF(Main_Parameters!$S$4="Original",Main_Parameters!$K$20,J85)</f>
        <v>4</v>
      </c>
      <c r="M85" s="263"/>
      <c r="N85" s="264">
        <f>IF(Main_Parameters!$S$4="640x480p60Hz (1)",P85,IF(Main_Parameters!$S$4="720x480p60Hz (2)",Q85,IF(Main_Parameters!$S$4="1280x720p60Hz (4)",R85,IF(Main_Parameters!$S$4="1920x1080p60Hz (16)",S85,IF(Main_Parameters!$S$4="1920x1200p60Hz (68)",V85,IF(Main_Parameters!$S$4="2560x1600p60Hz (76)",W85,O85))))))</f>
        <v>50</v>
      </c>
      <c r="O85" s="264">
        <f>HEX2DEC(RIGHT(DEC2HEX(L79,3),2))</f>
        <v>50</v>
      </c>
      <c r="P85" s="265">
        <v>96</v>
      </c>
      <c r="Q85" s="265">
        <v>62</v>
      </c>
      <c r="R85" s="265">
        <v>40</v>
      </c>
      <c r="S85" s="265">
        <v>44</v>
      </c>
      <c r="T85" s="265">
        <v>136</v>
      </c>
      <c r="U85" s="265">
        <v>32</v>
      </c>
      <c r="V85" s="265">
        <v>32</v>
      </c>
      <c r="W85" s="265">
        <v>32</v>
      </c>
      <c r="X85" s="131"/>
      <c r="Y85" s="131"/>
      <c r="Z85" s="247"/>
      <c r="AA85" s="66"/>
      <c r="AB85" s="66"/>
      <c r="AC85" s="66"/>
      <c r="AD85" s="66"/>
      <c r="AJ85" s="266"/>
    </row>
    <row r="86" spans="2:36" ht="15">
      <c r="B86" s="93" t="s">
        <v>1035</v>
      </c>
      <c r="C86" s="89" t="s">
        <v>1036</v>
      </c>
      <c r="D86" s="510" t="s">
        <v>1245</v>
      </c>
      <c r="E86" s="91" t="str">
        <f t="shared" si="4"/>
        <v>44</v>
      </c>
      <c r="F86" s="243" t="s">
        <v>1246</v>
      </c>
      <c r="G86" s="194">
        <f t="shared" si="5"/>
        <v>68</v>
      </c>
      <c r="H86" s="583" t="s">
        <v>1206</v>
      </c>
      <c r="I86" s="583"/>
      <c r="J86" s="252">
        <v>192</v>
      </c>
      <c r="K86" s="209" t="str">
        <f>IF(AI138="Disable",IF(L86&gt;4095,"NG","OK"),"-")</f>
        <v>-</v>
      </c>
      <c r="L86" s="215">
        <f>IF(Main_Parameters!$S$4="Original",Main_Parameters!$O$23,J86)</f>
        <v>192</v>
      </c>
      <c r="M86" s="263"/>
      <c r="N86" s="264">
        <f>IF(Main_Parameters!$S$4="640x480p60Hz (1)",P86,IF(Main_Parameters!$S$4="720x480p60Hz (2)",Q86,IF(Main_Parameters!$S$4="1280x720p60Hz (4)",R86,IF(Main_Parameters!$S$4="1920x1080p60Hz (16)",S86,IF(Main_Parameters!$S$4="1920x1200p60Hz (68)",V86,IF(Main_Parameters!$S$4="2560x1600p60Hz (76)",W86,O86))))))</f>
        <v>68</v>
      </c>
      <c r="O86" s="264">
        <f>HEX2DEC(RIGHT(DEC2HEX(L85,2),1))*2^4+HEX2DEC(RIGHT(DEC2HEX(L83,2),1))</f>
        <v>68</v>
      </c>
      <c r="P86" s="265">
        <v>162</v>
      </c>
      <c r="Q86" s="265">
        <v>150</v>
      </c>
      <c r="R86" s="265">
        <v>85</v>
      </c>
      <c r="S86" s="265">
        <v>69</v>
      </c>
      <c r="T86" s="265">
        <v>54</v>
      </c>
      <c r="U86" s="265">
        <v>54</v>
      </c>
      <c r="V86" s="265">
        <v>54</v>
      </c>
      <c r="W86" s="265">
        <v>54</v>
      </c>
      <c r="X86" s="131"/>
      <c r="Y86" s="131"/>
      <c r="Z86" s="247"/>
      <c r="AA86" s="66"/>
      <c r="AB86" s="66"/>
      <c r="AC86" s="66"/>
      <c r="AD86" s="66"/>
      <c r="AJ86" s="266"/>
    </row>
    <row r="87" spans="2:36" ht="15">
      <c r="B87" s="93" t="s">
        <v>1035</v>
      </c>
      <c r="C87" s="89" t="s">
        <v>1036</v>
      </c>
      <c r="D87" s="510" t="s">
        <v>1247</v>
      </c>
      <c r="E87" s="91" t="str">
        <f t="shared" si="4"/>
        <v>00</v>
      </c>
      <c r="F87" s="243" t="s">
        <v>1248</v>
      </c>
      <c r="G87" s="194">
        <f t="shared" si="5"/>
        <v>0</v>
      </c>
      <c r="H87" s="583" t="s">
        <v>1209</v>
      </c>
      <c r="I87" s="583"/>
      <c r="J87" s="252">
        <v>120</v>
      </c>
      <c r="K87" s="209" t="str">
        <f>IF(AI138="Disable",IF(L87&gt;4095,"NG","OK"),"-")</f>
        <v>-</v>
      </c>
      <c r="L87" s="215">
        <f>IF(Main_Parameters!$S$4="Original",Main_Parameters!$O$24,J87)</f>
        <v>120</v>
      </c>
      <c r="M87" s="263"/>
      <c r="N87" s="264">
        <f>IF(Main_Parameters!$S$4="640x480p60Hz (1)",P87,IF(Main_Parameters!$S$4="720x480p60Hz (2)",Q87,IF(Main_Parameters!$S$4="1280x720p60Hz (4)",R87,IF(Main_Parameters!$S$4="1920x1080p60Hz (16)",S87,IF(Main_Parameters!$S$4="1920x1200p60Hz (68)",V87,IF(Main_Parameters!$S$4="2560x1600p60Hz (76)",W87,O87))))))</f>
        <v>0</v>
      </c>
      <c r="O87" s="264">
        <f>HEX2DEC(LEFT(DEC2HEX(L81,3),1))*2^6+HEX2DEC(LEFT(DEC2HEX(L79,3),1))*2^4+HEX2DEC(LEFT(DEC2HEX(L85,2),1))*2^2+HEX2DEC(LEFT(DEC2HEX(L83,2),1))</f>
        <v>0</v>
      </c>
      <c r="P87" s="265">
        <v>0</v>
      </c>
      <c r="Q87" s="265">
        <v>0</v>
      </c>
      <c r="R87" s="265">
        <v>0</v>
      </c>
      <c r="S87" s="265">
        <v>0</v>
      </c>
      <c r="T87" s="265">
        <v>0</v>
      </c>
      <c r="U87" s="265">
        <v>0</v>
      </c>
      <c r="V87" s="265">
        <v>0</v>
      </c>
      <c r="W87" s="265">
        <v>0</v>
      </c>
      <c r="X87" s="131"/>
      <c r="Y87" s="131"/>
      <c r="Z87" s="247"/>
      <c r="AA87" s="66"/>
      <c r="AB87" s="66"/>
      <c r="AC87" s="66"/>
      <c r="AD87" s="66"/>
      <c r="AJ87" s="266"/>
    </row>
    <row r="88" spans="2:36" ht="15">
      <c r="B88" s="93" t="s">
        <v>1035</v>
      </c>
      <c r="C88" s="89" t="s">
        <v>1036</v>
      </c>
      <c r="D88" s="510" t="s">
        <v>1249</v>
      </c>
      <c r="E88" s="91" t="str">
        <f t="shared" si="4"/>
        <v>C0</v>
      </c>
      <c r="F88" s="243" t="s">
        <v>1250</v>
      </c>
      <c r="G88" s="194">
        <f t="shared" si="5"/>
        <v>192</v>
      </c>
      <c r="H88" s="583" t="s">
        <v>1212</v>
      </c>
      <c r="I88" s="583"/>
      <c r="J88" s="270" t="s">
        <v>768</v>
      </c>
      <c r="K88" s="194">
        <f>IF(L88="Interlace",1,0)</f>
        <v>0</v>
      </c>
      <c r="L88" s="215" t="str">
        <f>IF(Main_Parameters!$S$4="Original",Main_Parameters!$M$21,J88)</f>
        <v>Progressive</v>
      </c>
      <c r="M88" s="271"/>
      <c r="N88" s="264">
        <f>IF(Main_Parameters!$S$4="640x480p60Hz (1)",P88,IF(Main_Parameters!$S$4="720x480p60Hz (2)",Q88,IF(Main_Parameters!$S$4="1280x720p60Hz (4)",R88,IF(Main_Parameters!$S$4="1920x1080p60Hz (16)",S88,IF(Main_Parameters!$S$4="1920x1200p60Hz (68)",V88,IF(Main_Parameters!$S$4="2560x1600p60Hz (76)",W88,O88))))))</f>
        <v>192</v>
      </c>
      <c r="O88" s="264">
        <f>HEX2DEC(RIGHT(DEC2HEX(L86,3),2))</f>
        <v>192</v>
      </c>
      <c r="P88" s="265">
        <v>196</v>
      </c>
      <c r="Q88" s="265">
        <v>19</v>
      </c>
      <c r="R88" s="265">
        <v>196</v>
      </c>
      <c r="S88" s="265">
        <v>196</v>
      </c>
      <c r="T88" s="265">
        <v>0</v>
      </c>
      <c r="U88" s="265">
        <v>0</v>
      </c>
      <c r="V88" s="265">
        <v>128</v>
      </c>
      <c r="W88" s="265">
        <v>0</v>
      </c>
      <c r="X88" s="131"/>
      <c r="Y88" s="131"/>
      <c r="Z88" s="247"/>
      <c r="AA88" s="66"/>
      <c r="AB88" s="66"/>
      <c r="AC88" s="66"/>
      <c r="AD88" s="66"/>
      <c r="AJ88" s="266"/>
    </row>
    <row r="89" spans="2:36" ht="15">
      <c r="B89" s="93" t="s">
        <v>1035</v>
      </c>
      <c r="C89" s="89" t="s">
        <v>1036</v>
      </c>
      <c r="D89" s="510" t="s">
        <v>1251</v>
      </c>
      <c r="E89" s="91" t="str">
        <f t="shared" si="4"/>
        <v>78</v>
      </c>
      <c r="F89" s="243" t="s">
        <v>1252</v>
      </c>
      <c r="G89" s="194">
        <f t="shared" si="5"/>
        <v>120</v>
      </c>
      <c r="H89" s="583" t="s">
        <v>1215</v>
      </c>
      <c r="I89" s="583"/>
      <c r="J89" s="270" t="s">
        <v>774</v>
      </c>
      <c r="K89" s="194">
        <f>IF(L89="H Active",1,0)</f>
        <v>0</v>
      </c>
      <c r="L89" s="215" t="str">
        <f>IF(Main_Parameters!$S$4="Original",Main_Parameters!$M$24,J89)</f>
        <v>L Active</v>
      </c>
      <c r="M89" s="271"/>
      <c r="N89" s="264">
        <f>IF(Main_Parameters!$S$4="640x480p60Hz (1)",P89,IF(Main_Parameters!$S$4="720x480p60Hz (2)",Q89,IF(Main_Parameters!$S$4="1280x720p60Hz (4)",R89,IF(Main_Parameters!$S$4="1920x1080p60Hz (16)",S89,IF(Main_Parameters!$S$4="1920x1200p60Hz (68)",V89,IF(Main_Parameters!$S$4="2560x1600p60Hz (76)",W89,O89))))))</f>
        <v>120</v>
      </c>
      <c r="O89" s="264">
        <f>HEX2DEC(RIGHT(DEC2HEX(L87,3),2))</f>
        <v>120</v>
      </c>
      <c r="P89" s="265">
        <v>142</v>
      </c>
      <c r="Q89" s="265">
        <v>142</v>
      </c>
      <c r="R89" s="265">
        <v>142</v>
      </c>
      <c r="S89" s="265">
        <v>142</v>
      </c>
      <c r="T89" s="265">
        <v>0</v>
      </c>
      <c r="U89" s="265">
        <v>32</v>
      </c>
      <c r="V89" s="265">
        <v>176</v>
      </c>
      <c r="W89" s="265">
        <v>64</v>
      </c>
      <c r="X89" s="131"/>
      <c r="Y89" s="131"/>
      <c r="Z89" s="247"/>
      <c r="AA89" s="66"/>
      <c r="AB89" s="66"/>
      <c r="AC89" s="66"/>
      <c r="AD89" s="66"/>
      <c r="AJ89" s="266"/>
    </row>
    <row r="90" spans="2:36" ht="15">
      <c r="B90" s="93" t="s">
        <v>1035</v>
      </c>
      <c r="C90" s="89" t="s">
        <v>1036</v>
      </c>
      <c r="D90" s="510" t="s">
        <v>1253</v>
      </c>
      <c r="E90" s="91" t="str">
        <f t="shared" si="4"/>
        <v>00</v>
      </c>
      <c r="F90" s="243" t="s">
        <v>1254</v>
      </c>
      <c r="G90" s="194">
        <f t="shared" si="5"/>
        <v>0</v>
      </c>
      <c r="H90" s="583" t="s">
        <v>1218</v>
      </c>
      <c r="I90" s="583"/>
      <c r="J90" s="270" t="s">
        <v>774</v>
      </c>
      <c r="K90" s="194">
        <f>IF(L90="H Active",1,0)</f>
        <v>0</v>
      </c>
      <c r="L90" s="215" t="str">
        <f>IF(Main_Parameters!$S$4="Original",Main_Parameters!$M$23,J90)</f>
        <v>L Active</v>
      </c>
      <c r="M90" s="271"/>
      <c r="N90" s="264">
        <f>IF(Main_Parameters!$S$4="640x480p60Hz (1)",P90,IF(Main_Parameters!$S$4="720x480p60Hz (2)",Q90,IF(Main_Parameters!$S$4="1280x720p60Hz (4)",R90,IF(Main_Parameters!$S$4="1920x1080p60Hz (16)",S90,IF(Main_Parameters!$S$4="1920x1200p60Hz (68)",V90,IF(Main_Parameters!$S$4="2560x1600p60Hz (76)",W90,O90))))))</f>
        <v>0</v>
      </c>
      <c r="O90" s="264">
        <f>HEX2DEC((LEFT(DEC2HEX(L86,3),1)))*2^4+HEX2DEC(LEFT(DEC2HEX(L87,3),1))</f>
        <v>0</v>
      </c>
      <c r="P90" s="265">
        <v>33</v>
      </c>
      <c r="Q90" s="265">
        <v>33</v>
      </c>
      <c r="R90" s="265">
        <v>33</v>
      </c>
      <c r="S90" s="265">
        <v>33</v>
      </c>
      <c r="T90" s="265">
        <v>67</v>
      </c>
      <c r="U90" s="265">
        <v>83</v>
      </c>
      <c r="V90" s="265">
        <v>116</v>
      </c>
      <c r="W90" s="265">
        <v>166</v>
      </c>
      <c r="X90" s="131"/>
      <c r="Y90" s="131"/>
      <c r="Z90" s="247"/>
      <c r="AA90" s="66"/>
      <c r="AB90" s="66"/>
      <c r="AC90" s="66"/>
      <c r="AD90" s="66"/>
      <c r="AJ90" s="266"/>
    </row>
    <row r="91" spans="2:36">
      <c r="B91" s="93" t="s">
        <v>1035</v>
      </c>
      <c r="C91" s="89" t="s">
        <v>1036</v>
      </c>
      <c r="D91" s="510" t="s">
        <v>1255</v>
      </c>
      <c r="E91" s="91" t="str">
        <f t="shared" si="4"/>
        <v>00</v>
      </c>
      <c r="F91" s="243" t="s">
        <v>1256</v>
      </c>
      <c r="G91" s="194">
        <f t="shared" si="5"/>
        <v>0</v>
      </c>
      <c r="H91"/>
      <c r="I91"/>
      <c r="J91"/>
      <c r="K91" s="194">
        <f>K88*2^7+3*2^3+K89*2^2+K90*2^1</f>
        <v>24</v>
      </c>
      <c r="L91" s="271"/>
      <c r="M91" s="271"/>
      <c r="N91" s="264">
        <f>IF(Main_Parameters!$S$4="640x480p60Hz (1)",P91,IF(Main_Parameters!$S$4="720x480p60Hz (2)",Q91,IF(Main_Parameters!$S$4="1280x720p60Hz (4)",R91,IF(Main_Parameters!$S$4="1920x1080p60Hz (16)",S91,IF(Main_Parameters!$S$4="1920x1200p60Hz (68)",V91,IF(Main_Parameters!$S$4="2560x1600p60Hz (76)",W91,O91))))))</f>
        <v>0</v>
      </c>
      <c r="O91" s="264">
        <v>0</v>
      </c>
      <c r="P91" s="265">
        <v>0</v>
      </c>
      <c r="Q91" s="265">
        <v>0</v>
      </c>
      <c r="R91" s="265">
        <v>0</v>
      </c>
      <c r="S91" s="265">
        <v>0</v>
      </c>
      <c r="T91" s="265">
        <v>0</v>
      </c>
      <c r="U91" s="265">
        <v>0</v>
      </c>
      <c r="V91" s="265">
        <v>0</v>
      </c>
      <c r="W91" s="265">
        <v>0</v>
      </c>
      <c r="X91" s="131"/>
      <c r="Y91" s="131"/>
      <c r="Z91" s="247"/>
      <c r="AA91" s="66"/>
      <c r="AB91" s="66"/>
      <c r="AC91" s="66"/>
      <c r="AD91" s="66"/>
      <c r="AJ91" s="266"/>
    </row>
    <row r="92" spans="2:36">
      <c r="B92" s="93" t="s">
        <v>1035</v>
      </c>
      <c r="C92" s="89" t="s">
        <v>1036</v>
      </c>
      <c r="D92" s="510" t="s">
        <v>1257</v>
      </c>
      <c r="E92" s="91" t="str">
        <f t="shared" si="4"/>
        <v>00</v>
      </c>
      <c r="F92" s="243" t="s">
        <v>1258</v>
      </c>
      <c r="G92" s="194">
        <f t="shared" si="5"/>
        <v>0</v>
      </c>
      <c r="H92"/>
      <c r="I92"/>
      <c r="J92"/>
      <c r="K92"/>
      <c r="L92" s="271"/>
      <c r="M92" s="271"/>
      <c r="N92" s="264">
        <f>IF(Main_Parameters!$S$4="640x480p60Hz (1)",P92,IF(Main_Parameters!$S$4="720x480p60Hz (2)",Q92,IF(Main_Parameters!$S$4="1280x720p60Hz (4)",R92,IF(Main_Parameters!$S$4="1920x1080p60Hz (16)",S92,IF(Main_Parameters!$S$4="1920x1200p60Hz (68)",V92,IF(Main_Parameters!$S$4="2560x1600p60Hz (76)",W92,O92))))))</f>
        <v>0</v>
      </c>
      <c r="O92" s="264">
        <v>0</v>
      </c>
      <c r="P92" s="265">
        <v>0</v>
      </c>
      <c r="Q92" s="265">
        <v>0</v>
      </c>
      <c r="R92" s="265">
        <v>0</v>
      </c>
      <c r="S92" s="265">
        <v>0</v>
      </c>
      <c r="T92" s="265">
        <v>0</v>
      </c>
      <c r="U92" s="265">
        <v>0</v>
      </c>
      <c r="V92" s="265">
        <v>0</v>
      </c>
      <c r="W92" s="265">
        <v>0</v>
      </c>
      <c r="X92" s="131"/>
      <c r="Y92" s="131"/>
      <c r="Z92" s="247"/>
      <c r="AA92" s="66"/>
      <c r="AB92" s="66"/>
      <c r="AC92" s="66"/>
      <c r="AD92" s="66"/>
      <c r="AJ92" s="266"/>
    </row>
    <row r="93" spans="2:36">
      <c r="B93" s="93" t="s">
        <v>1035</v>
      </c>
      <c r="C93" s="89" t="s">
        <v>1036</v>
      </c>
      <c r="D93" s="510" t="s">
        <v>1259</v>
      </c>
      <c r="E93" s="91" t="str">
        <f t="shared" si="4"/>
        <v>18</v>
      </c>
      <c r="F93" s="243" t="s">
        <v>1260</v>
      </c>
      <c r="G93" s="194">
        <f t="shared" si="5"/>
        <v>24</v>
      </c>
      <c r="H93"/>
      <c r="I93"/>
      <c r="J93"/>
      <c r="K93"/>
      <c r="L93" s="271"/>
      <c r="M93" s="271"/>
      <c r="N93" s="272">
        <f>IF(Main_Parameters!$S$4="640x480p60Hz (1)",P93,IF(Main_Parameters!$S$4="720x480p60Hz (2)",Q93,IF(Main_Parameters!$S$4="1280x720p60Hz (4)",R93,IF(Main_Parameters!$S$4="1920x1080p60Hz (16)",S93,IF(Main_Parameters!$S$4="1920x1200p60Hz (68)",V93,IF(Main_Parameters!$S$4="2560x1600p60Hz (76)",W93,O93))))))</f>
        <v>24</v>
      </c>
      <c r="O93" s="272">
        <f>K91</f>
        <v>24</v>
      </c>
      <c r="P93" s="273">
        <v>24</v>
      </c>
      <c r="Q93" s="273">
        <v>24</v>
      </c>
      <c r="R93" s="273">
        <v>30</v>
      </c>
      <c r="S93" s="273">
        <v>30</v>
      </c>
      <c r="T93" s="273">
        <v>24</v>
      </c>
      <c r="U93" s="273">
        <v>26</v>
      </c>
      <c r="V93" s="273">
        <v>26</v>
      </c>
      <c r="W93" s="273">
        <v>26</v>
      </c>
      <c r="X93" s="131"/>
      <c r="Y93" s="131"/>
      <c r="Z93" s="247"/>
      <c r="AA93" s="66"/>
      <c r="AB93" s="66"/>
      <c r="AC93" s="66"/>
      <c r="AD93" s="66"/>
      <c r="AJ93" s="266"/>
    </row>
    <row r="94" spans="2:36">
      <c r="B94" s="93" t="s">
        <v>1035</v>
      </c>
      <c r="C94" s="89" t="s">
        <v>1036</v>
      </c>
      <c r="D94" s="510" t="s">
        <v>1261</v>
      </c>
      <c r="E94" s="511" t="s">
        <v>1038</v>
      </c>
      <c r="F94" s="244" t="s">
        <v>1262</v>
      </c>
      <c r="G94" s="194">
        <f t="shared" si="5"/>
        <v>0</v>
      </c>
      <c r="H94"/>
      <c r="I94"/>
      <c r="J94"/>
      <c r="K94"/>
      <c r="L94" s="248" t="s">
        <v>1263</v>
      </c>
      <c r="M94" s="271"/>
      <c r="N94" s="131"/>
      <c r="O94" s="64"/>
      <c r="P94" s="64"/>
      <c r="Q94" s="64"/>
      <c r="R94" s="64"/>
      <c r="S94" s="64"/>
      <c r="T94" s="64"/>
      <c r="U94" s="64"/>
      <c r="V94" s="64"/>
      <c r="W94" s="64"/>
      <c r="X94" s="131"/>
      <c r="Y94" s="131"/>
      <c r="Z94" s="247"/>
      <c r="AA94" s="66"/>
      <c r="AB94" s="66"/>
      <c r="AC94" s="66"/>
      <c r="AD94" s="66"/>
      <c r="AJ94" s="266"/>
    </row>
    <row r="95" spans="2:36">
      <c r="B95" s="93" t="s">
        <v>1035</v>
      </c>
      <c r="C95" s="89" t="s">
        <v>1036</v>
      </c>
      <c r="D95" s="510" t="s">
        <v>1264</v>
      </c>
      <c r="E95" s="511" t="s">
        <v>1038</v>
      </c>
      <c r="F95" s="244"/>
      <c r="G95" s="194">
        <f t="shared" si="5"/>
        <v>0</v>
      </c>
      <c r="H95"/>
      <c r="I95"/>
      <c r="J95"/>
      <c r="K95"/>
      <c r="L95" s="248" t="s">
        <v>1265</v>
      </c>
      <c r="M95" s="271"/>
      <c r="N95" s="131"/>
      <c r="O95" s="131"/>
      <c r="P95" s="131"/>
      <c r="Q95" s="131"/>
      <c r="R95" s="131"/>
      <c r="S95" s="131"/>
      <c r="T95" s="64"/>
      <c r="U95" s="64"/>
      <c r="V95" s="64"/>
      <c r="W95" s="64"/>
      <c r="X95" s="131"/>
      <c r="Y95" s="131"/>
      <c r="Z95" s="247"/>
      <c r="AA95" s="66"/>
      <c r="AB95" s="66"/>
      <c r="AC95" s="66"/>
      <c r="AD95" s="66"/>
      <c r="AJ95" s="266"/>
    </row>
    <row r="96" spans="2:36">
      <c r="B96" s="93" t="s">
        <v>1035</v>
      </c>
      <c r="C96" s="89" t="s">
        <v>1036</v>
      </c>
      <c r="D96" s="510" t="s">
        <v>1266</v>
      </c>
      <c r="E96" s="511" t="s">
        <v>1038</v>
      </c>
      <c r="F96" s="244" t="s">
        <v>1267</v>
      </c>
      <c r="G96" s="194">
        <f t="shared" si="5"/>
        <v>0</v>
      </c>
      <c r="H96"/>
      <c r="I96"/>
      <c r="J96"/>
      <c r="K96"/>
      <c r="L96" s="248" t="s">
        <v>1268</v>
      </c>
      <c r="M96" s="271"/>
      <c r="N96" s="131"/>
      <c r="O96" s="131"/>
      <c r="P96" s="131"/>
      <c r="Q96" s="131"/>
      <c r="R96" s="131"/>
      <c r="S96" s="131"/>
      <c r="T96" s="64"/>
      <c r="U96" s="64"/>
      <c r="V96" s="64"/>
      <c r="W96" s="64"/>
      <c r="X96" s="131"/>
      <c r="Y96" s="131"/>
      <c r="Z96" s="247"/>
      <c r="AA96" s="66"/>
      <c r="AB96" s="66"/>
      <c r="AC96" s="66"/>
      <c r="AD96" s="66"/>
      <c r="AJ96" s="266"/>
    </row>
    <row r="97" spans="2:36">
      <c r="B97" s="93" t="s">
        <v>1035</v>
      </c>
      <c r="C97" s="89" t="s">
        <v>1036</v>
      </c>
      <c r="D97" s="510" t="s">
        <v>1269</v>
      </c>
      <c r="E97" s="511" t="s">
        <v>1270</v>
      </c>
      <c r="F97" s="244" t="s">
        <v>1271</v>
      </c>
      <c r="G97" s="245">
        <f t="shared" si="5"/>
        <v>252</v>
      </c>
      <c r="H97"/>
      <c r="I97"/>
      <c r="J97"/>
      <c r="K97"/>
      <c r="L97" s="248" t="s">
        <v>1263</v>
      </c>
      <c r="M97" s="271"/>
      <c r="N97" s="131"/>
      <c r="O97" s="131"/>
      <c r="P97" s="131"/>
      <c r="Q97" s="131"/>
      <c r="R97" s="131"/>
      <c r="S97" s="131"/>
      <c r="T97" s="64"/>
      <c r="U97" s="64"/>
      <c r="V97" s="64"/>
      <c r="W97" s="64"/>
      <c r="X97" s="131"/>
      <c r="Y97" s="131"/>
      <c r="Z97" s="247"/>
      <c r="AA97" s="66"/>
      <c r="AB97" s="66"/>
      <c r="AC97" s="66"/>
      <c r="AD97" s="66"/>
      <c r="AJ97" s="266"/>
    </row>
    <row r="98" spans="2:36" ht="15">
      <c r="B98" s="93" t="s">
        <v>1035</v>
      </c>
      <c r="C98" s="89" t="s">
        <v>1036</v>
      </c>
      <c r="D98" s="510" t="s">
        <v>1272</v>
      </c>
      <c r="E98" s="511" t="s">
        <v>1038</v>
      </c>
      <c r="F98" s="244" t="s">
        <v>1273</v>
      </c>
      <c r="G98" s="194">
        <f t="shared" si="5"/>
        <v>0</v>
      </c>
      <c r="H98" s="588" t="s">
        <v>1274</v>
      </c>
      <c r="I98" s="588"/>
      <c r="J98" s="588"/>
      <c r="K98" s="258" t="s">
        <v>1053</v>
      </c>
      <c r="L98" s="215"/>
      <c r="M98" s="215"/>
      <c r="N98" s="131"/>
      <c r="O98" s="131"/>
      <c r="P98" s="131"/>
      <c r="Q98" s="131"/>
      <c r="R98" s="131"/>
      <c r="S98" s="131"/>
      <c r="T98" s="64"/>
      <c r="U98" s="64"/>
      <c r="V98" s="64"/>
      <c r="W98" s="64"/>
      <c r="X98" s="131"/>
      <c r="Y98" s="131"/>
      <c r="Z98" s="247"/>
      <c r="AA98" s="66"/>
      <c r="AB98" s="66"/>
      <c r="AC98" s="66"/>
      <c r="AD98" s="66"/>
      <c r="AJ98" s="266"/>
    </row>
    <row r="99" spans="2:36" ht="15">
      <c r="B99" s="93" t="s">
        <v>1035</v>
      </c>
      <c r="C99" s="89" t="s">
        <v>1036</v>
      </c>
      <c r="D99" s="510" t="s">
        <v>1275</v>
      </c>
      <c r="E99" s="512" t="str">
        <f t="shared" ref="E99:E111" si="6">IF(J99="","20",IF(J99="LF","0A",DEC2HEX(CODE(J99),2)))</f>
        <v>54</v>
      </c>
      <c r="F99" s="244" t="s">
        <v>1276</v>
      </c>
      <c r="G99" s="194">
        <f t="shared" si="5"/>
        <v>84</v>
      </c>
      <c r="H99" s="589" t="s">
        <v>1277</v>
      </c>
      <c r="I99" s="589"/>
      <c r="J99" s="274" t="s">
        <v>1278</v>
      </c>
      <c r="K99" s="209" t="str">
        <f t="shared" ref="K99:K111" si="7">IF(J99="","OK",IF(J99="LF","OK",IF(CODE(J99)&gt;=30,IF(CODE(J99)&lt;=126,"OK","NG"),"NG")))</f>
        <v>OK</v>
      </c>
      <c r="L99" s="263"/>
      <c r="M99" s="263"/>
      <c r="N99" s="131"/>
      <c r="O99" s="275"/>
      <c r="P99" s="257" t="s">
        <v>1167</v>
      </c>
      <c r="Q99" s="256" t="s">
        <v>1168</v>
      </c>
      <c r="R99" s="256" t="s">
        <v>1169</v>
      </c>
      <c r="S99" s="256" t="s">
        <v>1170</v>
      </c>
      <c r="T99" s="256" t="s">
        <v>1171</v>
      </c>
      <c r="U99" s="256" t="s">
        <v>1172</v>
      </c>
      <c r="V99" s="256" t="s">
        <v>1173</v>
      </c>
      <c r="W99" s="256" t="s">
        <v>1174</v>
      </c>
      <c r="X99" s="131"/>
      <c r="Y99" s="131"/>
      <c r="Z99" s="247"/>
      <c r="AA99" s="66"/>
      <c r="AB99" s="66"/>
      <c r="AC99" s="66"/>
      <c r="AD99" s="66"/>
      <c r="AJ99" s="266"/>
    </row>
    <row r="100" spans="2:36" ht="15">
      <c r="B100" s="93" t="s">
        <v>1035</v>
      </c>
      <c r="C100" s="89" t="s">
        <v>1036</v>
      </c>
      <c r="D100" s="510" t="s">
        <v>1279</v>
      </c>
      <c r="E100" s="512" t="str">
        <f t="shared" si="6"/>
        <v>6F</v>
      </c>
      <c r="F100" s="244"/>
      <c r="G100" s="194">
        <f t="shared" si="5"/>
        <v>111</v>
      </c>
      <c r="H100" s="589" t="s">
        <v>1277</v>
      </c>
      <c r="I100" s="589"/>
      <c r="J100" s="274" t="s">
        <v>1280</v>
      </c>
      <c r="K100" s="209" t="str">
        <f t="shared" si="7"/>
        <v>OK</v>
      </c>
      <c r="L100" s="263"/>
      <c r="M100" s="263"/>
      <c r="N100" s="131"/>
      <c r="O100" s="276" t="s">
        <v>1281</v>
      </c>
      <c r="P100" s="256">
        <v>25.2</v>
      </c>
      <c r="Q100" s="256">
        <v>27.027000000000001</v>
      </c>
      <c r="R100" s="256">
        <v>74.25</v>
      </c>
      <c r="S100" s="256">
        <v>148.5</v>
      </c>
      <c r="T100" s="256">
        <v>65</v>
      </c>
      <c r="U100" s="256">
        <v>71</v>
      </c>
      <c r="V100" s="256">
        <v>154</v>
      </c>
      <c r="W100" s="256">
        <v>268.60000000000002</v>
      </c>
      <c r="X100" s="131"/>
      <c r="Y100" s="131"/>
      <c r="Z100" s="247"/>
      <c r="AA100" s="66"/>
      <c r="AB100" s="66"/>
      <c r="AC100" s="66"/>
      <c r="AD100" s="66"/>
      <c r="AJ100" s="266"/>
    </row>
    <row r="101" spans="2:36" ht="15">
      <c r="B101" s="93" t="s">
        <v>1035</v>
      </c>
      <c r="C101" s="89" t="s">
        <v>1036</v>
      </c>
      <c r="D101" s="510" t="s">
        <v>1282</v>
      </c>
      <c r="E101" s="512" t="str">
        <f t="shared" si="6"/>
        <v>73</v>
      </c>
      <c r="F101" s="244"/>
      <c r="G101" s="194">
        <f t="shared" si="5"/>
        <v>115</v>
      </c>
      <c r="H101" s="589" t="s">
        <v>1277</v>
      </c>
      <c r="I101" s="589"/>
      <c r="J101" s="274" t="s">
        <v>1283</v>
      </c>
      <c r="K101" s="209" t="str">
        <f t="shared" si="7"/>
        <v>OK</v>
      </c>
      <c r="L101" s="263"/>
      <c r="M101" s="263"/>
      <c r="N101" s="131"/>
      <c r="O101" s="276" t="s">
        <v>736</v>
      </c>
      <c r="P101" s="256">
        <v>96</v>
      </c>
      <c r="Q101" s="256">
        <v>62</v>
      </c>
      <c r="R101" s="256">
        <v>40</v>
      </c>
      <c r="S101" s="254">
        <v>44</v>
      </c>
      <c r="T101" s="256">
        <v>136</v>
      </c>
      <c r="U101" s="256">
        <v>32</v>
      </c>
      <c r="V101" s="256">
        <v>32</v>
      </c>
      <c r="W101" s="256">
        <v>32</v>
      </c>
      <c r="X101" s="131"/>
      <c r="Y101" s="131"/>
      <c r="Z101" s="247"/>
      <c r="AA101" s="66"/>
      <c r="AB101" s="66"/>
      <c r="AC101" s="66"/>
      <c r="AD101" s="66"/>
      <c r="AJ101" s="266"/>
    </row>
    <row r="102" spans="2:36" ht="15">
      <c r="B102" s="93" t="s">
        <v>1035</v>
      </c>
      <c r="C102" s="89" t="s">
        <v>1036</v>
      </c>
      <c r="D102" s="510" t="s">
        <v>1284</v>
      </c>
      <c r="E102" s="512" t="str">
        <f t="shared" si="6"/>
        <v>68</v>
      </c>
      <c r="F102" s="244"/>
      <c r="G102" s="194">
        <f t="shared" si="5"/>
        <v>104</v>
      </c>
      <c r="H102" s="589" t="s">
        <v>1277</v>
      </c>
      <c r="I102" s="589"/>
      <c r="J102" s="274" t="s">
        <v>1285</v>
      </c>
      <c r="K102" s="209" t="str">
        <f t="shared" si="7"/>
        <v>OK</v>
      </c>
      <c r="L102" s="263"/>
      <c r="M102" s="263"/>
      <c r="N102" s="131"/>
      <c r="O102" s="276" t="s">
        <v>1286</v>
      </c>
      <c r="P102" s="256">
        <v>48</v>
      </c>
      <c r="Q102" s="256">
        <v>60</v>
      </c>
      <c r="R102" s="256">
        <v>220</v>
      </c>
      <c r="S102" s="254">
        <v>148</v>
      </c>
      <c r="T102" s="256">
        <v>160</v>
      </c>
      <c r="U102" s="256">
        <v>80</v>
      </c>
      <c r="V102" s="256">
        <v>80</v>
      </c>
      <c r="W102" s="256">
        <v>80</v>
      </c>
      <c r="X102" s="131"/>
      <c r="Y102" s="131"/>
      <c r="Z102" s="247"/>
      <c r="AA102" s="66"/>
      <c r="AB102" s="66"/>
      <c r="AC102" s="66"/>
      <c r="AD102" s="66"/>
      <c r="AJ102" s="266"/>
    </row>
    <row r="103" spans="2:36" ht="15">
      <c r="B103" s="93" t="s">
        <v>1035</v>
      </c>
      <c r="C103" s="89" t="s">
        <v>1036</v>
      </c>
      <c r="D103" s="510" t="s">
        <v>1287</v>
      </c>
      <c r="E103" s="512" t="str">
        <f t="shared" si="6"/>
        <v>69</v>
      </c>
      <c r="F103" s="244"/>
      <c r="G103" s="194">
        <f t="shared" si="5"/>
        <v>105</v>
      </c>
      <c r="H103" s="589" t="s">
        <v>1277</v>
      </c>
      <c r="I103" s="589"/>
      <c r="J103" s="274" t="s">
        <v>1288</v>
      </c>
      <c r="K103" s="209" t="str">
        <f t="shared" si="7"/>
        <v>OK</v>
      </c>
      <c r="L103" s="263"/>
      <c r="M103" s="263"/>
      <c r="N103" s="131"/>
      <c r="O103" s="276" t="s">
        <v>738</v>
      </c>
      <c r="P103" s="256">
        <v>640</v>
      </c>
      <c r="Q103" s="256">
        <v>720</v>
      </c>
      <c r="R103" s="256">
        <v>1280</v>
      </c>
      <c r="S103" s="254">
        <v>1920</v>
      </c>
      <c r="T103" s="256">
        <v>1024</v>
      </c>
      <c r="U103" s="256">
        <v>1280</v>
      </c>
      <c r="V103" s="256">
        <v>1920</v>
      </c>
      <c r="W103" s="256">
        <v>2560</v>
      </c>
      <c r="X103" s="131"/>
      <c r="Y103" s="131"/>
      <c r="Z103" s="247"/>
      <c r="AA103" s="66"/>
      <c r="AB103" s="66"/>
      <c r="AC103" s="66"/>
      <c r="AD103" s="66"/>
      <c r="AJ103" s="266"/>
    </row>
    <row r="104" spans="2:36" ht="15">
      <c r="B104" s="93" t="s">
        <v>1035</v>
      </c>
      <c r="C104" s="89" t="s">
        <v>1036</v>
      </c>
      <c r="D104" s="510" t="s">
        <v>1289</v>
      </c>
      <c r="E104" s="512" t="str">
        <f t="shared" si="6"/>
        <v>62</v>
      </c>
      <c r="F104" s="244"/>
      <c r="G104" s="194">
        <f t="shared" si="5"/>
        <v>98</v>
      </c>
      <c r="H104" s="589" t="s">
        <v>1277</v>
      </c>
      <c r="I104" s="589"/>
      <c r="J104" s="274" t="s">
        <v>1290</v>
      </c>
      <c r="K104" s="209" t="str">
        <f t="shared" si="7"/>
        <v>OK</v>
      </c>
      <c r="L104" s="263"/>
      <c r="M104" s="263"/>
      <c r="N104" s="131"/>
      <c r="O104" s="276" t="s">
        <v>1291</v>
      </c>
      <c r="P104" s="256">
        <v>16</v>
      </c>
      <c r="Q104" s="256">
        <v>16</v>
      </c>
      <c r="R104" s="256">
        <v>110</v>
      </c>
      <c r="S104" s="254">
        <v>88</v>
      </c>
      <c r="T104" s="256">
        <v>24</v>
      </c>
      <c r="U104" s="256">
        <v>48</v>
      </c>
      <c r="V104" s="256">
        <v>48</v>
      </c>
      <c r="W104" s="256">
        <v>48</v>
      </c>
      <c r="X104" s="131"/>
      <c r="Y104" s="131"/>
      <c r="Z104" s="247"/>
      <c r="AA104" s="66"/>
      <c r="AB104" s="66"/>
      <c r="AC104" s="66"/>
      <c r="AD104" s="66"/>
      <c r="AJ104" s="266"/>
    </row>
    <row r="105" spans="2:36" ht="15">
      <c r="B105" s="93" t="s">
        <v>1035</v>
      </c>
      <c r="C105" s="89" t="s">
        <v>1036</v>
      </c>
      <c r="D105" s="510" t="s">
        <v>1292</v>
      </c>
      <c r="E105" s="512" t="str">
        <f t="shared" si="6"/>
        <v>61</v>
      </c>
      <c r="F105" s="244"/>
      <c r="G105" s="194">
        <f t="shared" si="5"/>
        <v>97</v>
      </c>
      <c r="H105" s="589" t="s">
        <v>1277</v>
      </c>
      <c r="I105" s="589"/>
      <c r="J105" s="274" t="s">
        <v>1293</v>
      </c>
      <c r="K105" s="209" t="str">
        <f t="shared" si="7"/>
        <v>OK</v>
      </c>
      <c r="L105" s="263"/>
      <c r="M105" s="263"/>
      <c r="N105" s="131"/>
      <c r="O105" s="276" t="s">
        <v>1294</v>
      </c>
      <c r="P105" s="256">
        <v>2</v>
      </c>
      <c r="Q105" s="256">
        <v>6</v>
      </c>
      <c r="R105" s="256">
        <v>5</v>
      </c>
      <c r="S105" s="254">
        <v>5</v>
      </c>
      <c r="T105" s="256">
        <v>6</v>
      </c>
      <c r="U105" s="256">
        <v>6</v>
      </c>
      <c r="V105" s="256">
        <v>6</v>
      </c>
      <c r="W105" s="256">
        <v>6</v>
      </c>
      <c r="X105" s="131"/>
      <c r="Y105" s="131"/>
      <c r="Z105" s="247"/>
      <c r="AA105" s="66"/>
      <c r="AB105" s="66"/>
      <c r="AC105" s="66"/>
      <c r="AD105" s="66"/>
      <c r="AJ105" s="266"/>
    </row>
    <row r="106" spans="2:36" ht="15">
      <c r="B106" s="93" t="s">
        <v>1035</v>
      </c>
      <c r="C106" s="89" t="s">
        <v>1036</v>
      </c>
      <c r="D106" s="510" t="s">
        <v>1295</v>
      </c>
      <c r="E106" s="512" t="str">
        <f t="shared" si="6"/>
        <v>2D</v>
      </c>
      <c r="F106" s="244"/>
      <c r="G106" s="194">
        <f t="shared" si="5"/>
        <v>45</v>
      </c>
      <c r="H106" s="589" t="s">
        <v>1277</v>
      </c>
      <c r="I106" s="589"/>
      <c r="J106" s="274" t="s">
        <v>1296</v>
      </c>
      <c r="K106" s="209" t="str">
        <f t="shared" si="7"/>
        <v>OK</v>
      </c>
      <c r="L106" s="263"/>
      <c r="M106" s="263"/>
      <c r="N106" s="131"/>
      <c r="O106" s="276" t="s">
        <v>1297</v>
      </c>
      <c r="P106" s="256">
        <v>33</v>
      </c>
      <c r="Q106" s="256">
        <v>30</v>
      </c>
      <c r="R106" s="256">
        <v>20</v>
      </c>
      <c r="S106" s="254">
        <v>36</v>
      </c>
      <c r="T106" s="256">
        <v>29</v>
      </c>
      <c r="U106" s="256">
        <v>14</v>
      </c>
      <c r="V106" s="256">
        <v>26</v>
      </c>
      <c r="W106" s="256">
        <v>37</v>
      </c>
      <c r="X106" s="131"/>
      <c r="Y106" s="131"/>
      <c r="Z106" s="247"/>
      <c r="AA106" s="66"/>
      <c r="AB106" s="66"/>
      <c r="AC106" s="66"/>
      <c r="AD106" s="66"/>
      <c r="AJ106" s="266"/>
    </row>
    <row r="107" spans="2:36" ht="15">
      <c r="B107" s="93" t="s">
        <v>1035</v>
      </c>
      <c r="C107" s="89" t="s">
        <v>1036</v>
      </c>
      <c r="D107" s="510" t="s">
        <v>1298</v>
      </c>
      <c r="E107" s="512" t="str">
        <f t="shared" si="6"/>
        <v>55</v>
      </c>
      <c r="F107" s="244"/>
      <c r="G107" s="194">
        <f t="shared" si="5"/>
        <v>85</v>
      </c>
      <c r="H107" s="589" t="s">
        <v>1277</v>
      </c>
      <c r="I107" s="589"/>
      <c r="J107" s="274" t="s">
        <v>1299</v>
      </c>
      <c r="K107" s="209" t="str">
        <f t="shared" si="7"/>
        <v>OK</v>
      </c>
      <c r="L107" s="263"/>
      <c r="M107" s="263"/>
      <c r="N107" s="131"/>
      <c r="O107" s="276" t="s">
        <v>742</v>
      </c>
      <c r="P107" s="256">
        <v>480</v>
      </c>
      <c r="Q107" s="256">
        <v>480</v>
      </c>
      <c r="R107" s="256">
        <v>720</v>
      </c>
      <c r="S107" s="254">
        <v>1080</v>
      </c>
      <c r="T107" s="256">
        <v>768</v>
      </c>
      <c r="U107" s="256">
        <v>800</v>
      </c>
      <c r="V107" s="256">
        <v>1200</v>
      </c>
      <c r="W107" s="256">
        <v>1600</v>
      </c>
      <c r="X107" s="131"/>
      <c r="Y107" s="131"/>
      <c r="Z107" s="247"/>
      <c r="AA107" s="66"/>
      <c r="AB107" s="66"/>
      <c r="AC107" s="66"/>
      <c r="AD107" s="66"/>
      <c r="AJ107" s="266"/>
    </row>
    <row r="108" spans="2:36" ht="15">
      <c r="B108" s="93" t="s">
        <v>1035</v>
      </c>
      <c r="C108" s="89" t="s">
        <v>1036</v>
      </c>
      <c r="D108" s="510" t="s">
        <v>1300</v>
      </c>
      <c r="E108" s="512" t="str">
        <f t="shared" si="6"/>
        <v>48</v>
      </c>
      <c r="F108" s="244"/>
      <c r="G108" s="194">
        <f t="shared" si="5"/>
        <v>72</v>
      </c>
      <c r="H108" s="589" t="s">
        <v>1277</v>
      </c>
      <c r="I108" s="589"/>
      <c r="J108" s="274" t="s">
        <v>1301</v>
      </c>
      <c r="K108" s="209" t="str">
        <f t="shared" si="7"/>
        <v>OK</v>
      </c>
      <c r="L108" s="263"/>
      <c r="M108" s="263"/>
      <c r="N108" s="131"/>
      <c r="O108" s="276" t="s">
        <v>1302</v>
      </c>
      <c r="P108" s="256">
        <v>10</v>
      </c>
      <c r="Q108" s="256">
        <v>9</v>
      </c>
      <c r="R108" s="256">
        <v>5</v>
      </c>
      <c r="S108" s="254">
        <v>4</v>
      </c>
      <c r="T108" s="256">
        <v>3</v>
      </c>
      <c r="U108" s="256">
        <v>3</v>
      </c>
      <c r="V108" s="256">
        <v>3</v>
      </c>
      <c r="W108" s="256">
        <v>3</v>
      </c>
      <c r="X108" s="131"/>
      <c r="Y108" s="131"/>
      <c r="Z108" s="247"/>
      <c r="AA108" s="66"/>
      <c r="AB108" s="66"/>
      <c r="AC108" s="66"/>
      <c r="AD108" s="66"/>
      <c r="AJ108" s="266"/>
    </row>
    <row r="109" spans="2:36" ht="15">
      <c r="B109" s="93" t="s">
        <v>1035</v>
      </c>
      <c r="C109" s="89" t="s">
        <v>1036</v>
      </c>
      <c r="D109" s="510" t="s">
        <v>1303</v>
      </c>
      <c r="E109" s="512" t="str">
        <f t="shared" si="6"/>
        <v>32</v>
      </c>
      <c r="F109" s="244"/>
      <c r="G109" s="194">
        <f t="shared" si="5"/>
        <v>50</v>
      </c>
      <c r="H109" s="589" t="s">
        <v>1277</v>
      </c>
      <c r="I109" s="589"/>
      <c r="J109" s="274" t="s">
        <v>1304</v>
      </c>
      <c r="K109" s="209" t="str">
        <f t="shared" si="7"/>
        <v>OK</v>
      </c>
      <c r="L109" s="263"/>
      <c r="M109" s="263"/>
      <c r="N109" s="131"/>
      <c r="O109" s="276" t="s">
        <v>773</v>
      </c>
      <c r="P109" s="256" t="s">
        <v>1305</v>
      </c>
      <c r="Q109" s="256" t="s">
        <v>1305</v>
      </c>
      <c r="R109" s="256" t="s">
        <v>774</v>
      </c>
      <c r="S109" s="256" t="s">
        <v>774</v>
      </c>
      <c r="T109" s="256" t="s">
        <v>1305</v>
      </c>
      <c r="U109" s="256" t="s">
        <v>774</v>
      </c>
      <c r="V109" s="256" t="s">
        <v>774</v>
      </c>
      <c r="W109" s="256" t="s">
        <v>774</v>
      </c>
      <c r="X109" s="131"/>
      <c r="Y109" s="131"/>
      <c r="Z109" s="247"/>
      <c r="AA109" s="66"/>
      <c r="AB109" s="66"/>
      <c r="AC109" s="66"/>
      <c r="AD109" s="66"/>
      <c r="AJ109" s="266"/>
    </row>
    <row r="110" spans="2:36" ht="15">
      <c r="B110" s="93" t="s">
        <v>1035</v>
      </c>
      <c r="C110" s="89" t="s">
        <v>1036</v>
      </c>
      <c r="D110" s="510" t="s">
        <v>1306</v>
      </c>
      <c r="E110" s="512" t="str">
        <f t="shared" si="6"/>
        <v>44</v>
      </c>
      <c r="F110" s="244"/>
      <c r="G110" s="194">
        <f t="shared" si="5"/>
        <v>68</v>
      </c>
      <c r="H110" s="589" t="s">
        <v>1277</v>
      </c>
      <c r="I110" s="589"/>
      <c r="J110" s="274" t="s">
        <v>1307</v>
      </c>
      <c r="K110" s="209" t="str">
        <f t="shared" si="7"/>
        <v>OK</v>
      </c>
      <c r="L110" s="263"/>
      <c r="M110" s="263"/>
      <c r="N110" s="131"/>
      <c r="O110" s="276" t="s">
        <v>781</v>
      </c>
      <c r="P110" s="256" t="s">
        <v>1305</v>
      </c>
      <c r="Q110" s="256" t="s">
        <v>1305</v>
      </c>
      <c r="R110" s="256" t="s">
        <v>774</v>
      </c>
      <c r="S110" s="256" t="s">
        <v>774</v>
      </c>
      <c r="T110" s="256" t="s">
        <v>1305</v>
      </c>
      <c r="U110" s="256" t="s">
        <v>1305</v>
      </c>
      <c r="V110" s="256" t="s">
        <v>1305</v>
      </c>
      <c r="W110" s="256" t="s">
        <v>1305</v>
      </c>
      <c r="X110" s="131"/>
      <c r="Y110" s="131"/>
      <c r="Z110" s="247"/>
      <c r="AA110" s="66"/>
      <c r="AB110" s="66"/>
      <c r="AC110" s="66"/>
      <c r="AD110" s="66"/>
      <c r="AJ110" s="266"/>
    </row>
    <row r="111" spans="2:36" ht="15">
      <c r="B111" s="93" t="s">
        <v>1035</v>
      </c>
      <c r="C111" s="89" t="s">
        <v>1036</v>
      </c>
      <c r="D111" s="510" t="s">
        <v>1308</v>
      </c>
      <c r="E111" s="512" t="str">
        <f t="shared" si="6"/>
        <v>0A</v>
      </c>
      <c r="F111" s="268"/>
      <c r="G111" s="194">
        <f t="shared" si="5"/>
        <v>10</v>
      </c>
      <c r="H111" s="589" t="s">
        <v>1277</v>
      </c>
      <c r="I111" s="589"/>
      <c r="J111" s="277" t="s">
        <v>1309</v>
      </c>
      <c r="K111" s="209" t="str">
        <f t="shared" si="7"/>
        <v>OK</v>
      </c>
      <c r="L111" s="263"/>
      <c r="M111" s="263"/>
      <c r="N111" s="131"/>
      <c r="O111" s="276" t="s">
        <v>1310</v>
      </c>
      <c r="P111" s="256" t="s">
        <v>1311</v>
      </c>
      <c r="Q111" s="256" t="s">
        <v>1312</v>
      </c>
      <c r="R111" s="256" t="s">
        <v>1313</v>
      </c>
      <c r="S111" s="256" t="s">
        <v>1314</v>
      </c>
      <c r="T111" s="256" t="s">
        <v>1314</v>
      </c>
      <c r="U111" s="256" t="s">
        <v>1315</v>
      </c>
      <c r="V111" s="256" t="s">
        <v>1316</v>
      </c>
      <c r="W111" s="256" t="s">
        <v>1317</v>
      </c>
      <c r="X111" s="131"/>
      <c r="Y111" s="131"/>
      <c r="Z111" s="247"/>
      <c r="AA111" s="66"/>
      <c r="AB111" s="66"/>
      <c r="AC111" s="66"/>
      <c r="AD111" s="66"/>
      <c r="AJ111" s="266"/>
    </row>
    <row r="112" spans="2:36">
      <c r="B112" s="93" t="s">
        <v>1035</v>
      </c>
      <c r="C112" s="89" t="s">
        <v>1036</v>
      </c>
      <c r="D112" s="510" t="s">
        <v>1318</v>
      </c>
      <c r="E112" s="511" t="s">
        <v>1038</v>
      </c>
      <c r="F112" s="269" t="s">
        <v>1319</v>
      </c>
      <c r="G112" s="194">
        <f t="shared" si="5"/>
        <v>0</v>
      </c>
      <c r="H112"/>
      <c r="I112"/>
      <c r="J112"/>
      <c r="K112"/>
      <c r="L112" s="248" t="s">
        <v>1320</v>
      </c>
      <c r="M112" s="271"/>
      <c r="N112" s="131"/>
      <c r="O112" s="276" t="s">
        <v>12</v>
      </c>
      <c r="P112" s="276"/>
      <c r="Q112" s="276"/>
      <c r="R112" s="276"/>
      <c r="S112" s="276"/>
      <c r="T112" s="276"/>
      <c r="U112" s="256" t="s">
        <v>1321</v>
      </c>
      <c r="V112" s="256" t="s">
        <v>1321</v>
      </c>
      <c r="W112" s="256" t="s">
        <v>1321</v>
      </c>
      <c r="X112" s="131"/>
      <c r="Y112" s="131"/>
      <c r="Z112" s="247"/>
      <c r="AA112" s="66"/>
      <c r="AB112" s="66"/>
      <c r="AC112" s="66"/>
      <c r="AD112" s="66"/>
      <c r="AJ112" s="266"/>
    </row>
    <row r="113" spans="2:36">
      <c r="B113" s="93" t="s">
        <v>1035</v>
      </c>
      <c r="C113" s="89" t="s">
        <v>1036</v>
      </c>
      <c r="D113" s="510" t="s">
        <v>1322</v>
      </c>
      <c r="E113" s="511" t="s">
        <v>1038</v>
      </c>
      <c r="F113" s="269"/>
      <c r="G113" s="194">
        <f t="shared" si="5"/>
        <v>0</v>
      </c>
      <c r="H113"/>
      <c r="I113"/>
      <c r="J113"/>
      <c r="K113"/>
      <c r="L113" s="248" t="s">
        <v>1320</v>
      </c>
      <c r="M113" s="271"/>
      <c r="N113" s="131"/>
      <c r="O113" s="131"/>
      <c r="P113" s="131"/>
      <c r="Q113" s="131"/>
      <c r="R113" s="131"/>
      <c r="S113" s="131"/>
      <c r="T113" s="64"/>
      <c r="U113" s="131"/>
      <c r="V113" s="131"/>
      <c r="W113" s="131"/>
      <c r="X113" s="131"/>
      <c r="Y113" s="131"/>
      <c r="Z113" s="247"/>
      <c r="AA113" s="66"/>
      <c r="AB113" s="66"/>
      <c r="AC113" s="66"/>
      <c r="AD113" s="66"/>
      <c r="AJ113" s="266"/>
    </row>
    <row r="114" spans="2:36">
      <c r="B114" s="93" t="s">
        <v>1035</v>
      </c>
      <c r="C114" s="89" t="s">
        <v>1036</v>
      </c>
      <c r="D114" s="510" t="s">
        <v>1323</v>
      </c>
      <c r="E114" s="511" t="s">
        <v>1038</v>
      </c>
      <c r="F114" s="269" t="s">
        <v>1324</v>
      </c>
      <c r="G114" s="194">
        <f t="shared" si="5"/>
        <v>0</v>
      </c>
      <c r="H114"/>
      <c r="I114"/>
      <c r="J114"/>
      <c r="K114"/>
      <c r="L114" s="248" t="s">
        <v>1320</v>
      </c>
      <c r="M114" s="271"/>
      <c r="N114" s="131"/>
      <c r="O114" s="131"/>
      <c r="P114" s="131"/>
      <c r="Q114" s="131"/>
      <c r="R114" s="131"/>
      <c r="S114" s="131"/>
      <c r="T114" s="64"/>
      <c r="U114" s="131"/>
      <c r="V114" s="131"/>
      <c r="W114" s="131"/>
      <c r="X114" s="131"/>
      <c r="Y114" s="131"/>
      <c r="Z114" s="247"/>
      <c r="AA114" s="66"/>
      <c r="AB114" s="66"/>
      <c r="AC114" s="66"/>
      <c r="AD114" s="66"/>
      <c r="AJ114" s="266"/>
    </row>
    <row r="115" spans="2:36">
      <c r="B115" s="93" t="s">
        <v>1035</v>
      </c>
      <c r="C115" s="89" t="s">
        <v>1036</v>
      </c>
      <c r="D115" s="510" t="s">
        <v>1325</v>
      </c>
      <c r="E115" s="511" t="s">
        <v>1326</v>
      </c>
      <c r="F115" s="269" t="s">
        <v>1327</v>
      </c>
      <c r="G115" s="245">
        <f t="shared" si="5"/>
        <v>253</v>
      </c>
      <c r="H115"/>
      <c r="I115"/>
      <c r="J115"/>
      <c r="K115"/>
      <c r="L115" s="248" t="s">
        <v>1320</v>
      </c>
      <c r="M115" s="271"/>
      <c r="N115" s="131"/>
      <c r="O115" s="131"/>
      <c r="P115" s="131"/>
      <c r="Q115" s="131"/>
      <c r="R115" s="131"/>
      <c r="S115" s="131"/>
      <c r="T115" s="64"/>
      <c r="U115" s="131"/>
      <c r="V115" s="131"/>
      <c r="W115" s="131"/>
      <c r="X115" s="131"/>
      <c r="Y115" s="131"/>
      <c r="Z115" s="247"/>
      <c r="AA115" s="66"/>
      <c r="AB115" s="66"/>
      <c r="AC115" s="66"/>
      <c r="AD115" s="66"/>
      <c r="AJ115" s="266"/>
    </row>
    <row r="116" spans="2:36">
      <c r="B116" s="93" t="s">
        <v>1035</v>
      </c>
      <c r="C116" s="89" t="s">
        <v>1036</v>
      </c>
      <c r="D116" s="510" t="s">
        <v>1328</v>
      </c>
      <c r="E116" s="511" t="s">
        <v>1038</v>
      </c>
      <c r="F116" s="269" t="s">
        <v>1319</v>
      </c>
      <c r="G116" s="245">
        <f t="shared" si="5"/>
        <v>0</v>
      </c>
      <c r="H116"/>
      <c r="I116"/>
      <c r="J116"/>
      <c r="K116"/>
      <c r="L116" s="248" t="s">
        <v>1320</v>
      </c>
      <c r="M116" s="271"/>
      <c r="N116" s="131"/>
      <c r="O116" s="131"/>
      <c r="P116" s="131"/>
      <c r="Q116" s="131"/>
      <c r="R116" s="131"/>
      <c r="S116" s="131"/>
      <c r="T116" s="64"/>
      <c r="U116" s="131"/>
      <c r="V116" s="131"/>
      <c r="W116" s="131"/>
      <c r="X116" s="131"/>
      <c r="Y116" s="131"/>
      <c r="Z116" s="247"/>
      <c r="AA116" s="66"/>
      <c r="AB116" s="66"/>
      <c r="AC116" s="66"/>
      <c r="AD116" s="66"/>
      <c r="AJ116" s="266"/>
    </row>
    <row r="117" spans="2:36" ht="15">
      <c r="B117" s="93" t="s">
        <v>1035</v>
      </c>
      <c r="C117" s="89" t="s">
        <v>1036</v>
      </c>
      <c r="D117" s="510" t="s">
        <v>1329</v>
      </c>
      <c r="E117" s="512" t="str">
        <f t="shared" ref="E117:E120" si="8">DEC2HEX(J117,2)</f>
        <v>14</v>
      </c>
      <c r="F117" s="269" t="s">
        <v>1330</v>
      </c>
      <c r="G117" s="245">
        <f t="shared" si="5"/>
        <v>20</v>
      </c>
      <c r="H117" s="590" t="s">
        <v>1331</v>
      </c>
      <c r="I117" s="590"/>
      <c r="J117" s="252">
        <v>20</v>
      </c>
      <c r="K117" s="209" t="str">
        <f>IF(AND(J117&gt;0,J117&lt;256),"OK","NG")</f>
        <v>OK</v>
      </c>
      <c r="L117" s="248" t="s">
        <v>1320</v>
      </c>
      <c r="M117" s="271"/>
      <c r="N117" s="131"/>
      <c r="O117" s="131"/>
      <c r="P117" s="131"/>
      <c r="Q117" s="131"/>
      <c r="R117" s="131"/>
      <c r="S117" s="131"/>
      <c r="T117" s="64"/>
      <c r="U117" s="131"/>
      <c r="V117" s="131"/>
      <c r="W117" s="131"/>
      <c r="X117" s="131"/>
      <c r="Y117" s="131"/>
      <c r="Z117" s="247"/>
      <c r="AA117" s="66"/>
      <c r="AB117" s="66"/>
      <c r="AC117" s="66"/>
      <c r="AD117" s="66"/>
      <c r="AJ117" s="266"/>
    </row>
    <row r="118" spans="2:36" ht="15">
      <c r="B118" s="93" t="s">
        <v>1035</v>
      </c>
      <c r="C118" s="89" t="s">
        <v>1036</v>
      </c>
      <c r="D118" s="510" t="s">
        <v>1332</v>
      </c>
      <c r="E118" s="512" t="str">
        <f t="shared" si="8"/>
        <v>78</v>
      </c>
      <c r="F118" s="269" t="s">
        <v>1333</v>
      </c>
      <c r="G118" s="245">
        <f t="shared" si="5"/>
        <v>120</v>
      </c>
      <c r="H118" s="589" t="s">
        <v>1334</v>
      </c>
      <c r="I118" s="589"/>
      <c r="J118" s="252">
        <v>120</v>
      </c>
      <c r="K118" s="209" t="str">
        <f t="shared" ref="K118:K120" si="9">IF(AND(J118&gt;0,J118&lt;256),"OK","NG")</f>
        <v>OK</v>
      </c>
      <c r="L118" s="248" t="s">
        <v>1320</v>
      </c>
      <c r="M118" s="271"/>
      <c r="N118" s="131"/>
      <c r="O118" s="131"/>
      <c r="P118" s="131"/>
      <c r="Q118" s="131"/>
      <c r="R118" s="131"/>
      <c r="S118" s="131"/>
      <c r="T118" s="64"/>
      <c r="U118" s="131"/>
      <c r="V118" s="131"/>
      <c r="W118" s="131"/>
      <c r="X118" s="131"/>
      <c r="Y118" s="131"/>
      <c r="Z118" s="247"/>
      <c r="AA118" s="66"/>
      <c r="AB118" s="66"/>
      <c r="AC118" s="66"/>
      <c r="AD118" s="66"/>
      <c r="AJ118" s="266"/>
    </row>
    <row r="119" spans="2:36" ht="15">
      <c r="B119" s="93" t="s">
        <v>1035</v>
      </c>
      <c r="C119" s="89" t="s">
        <v>1036</v>
      </c>
      <c r="D119" s="510" t="s">
        <v>1335</v>
      </c>
      <c r="E119" s="512" t="str">
        <f t="shared" si="8"/>
        <v>01</v>
      </c>
      <c r="F119" s="269" t="s">
        <v>1336</v>
      </c>
      <c r="G119" s="245">
        <f t="shared" si="5"/>
        <v>1</v>
      </c>
      <c r="H119" s="590" t="s">
        <v>1337</v>
      </c>
      <c r="I119" s="590"/>
      <c r="J119" s="252">
        <v>1</v>
      </c>
      <c r="K119" s="209" t="str">
        <f t="shared" si="9"/>
        <v>OK</v>
      </c>
      <c r="L119" s="248" t="s">
        <v>1320</v>
      </c>
      <c r="M119" s="271"/>
      <c r="N119" s="131"/>
      <c r="O119" s="131"/>
      <c r="P119" s="131"/>
      <c r="Q119" s="131"/>
      <c r="R119" s="131"/>
      <c r="S119" s="131"/>
      <c r="T119" s="64"/>
      <c r="U119" s="131"/>
      <c r="V119" s="131"/>
      <c r="W119" s="131"/>
      <c r="X119" s="131"/>
      <c r="Y119" s="131"/>
      <c r="Z119" s="247"/>
      <c r="AA119" s="66"/>
      <c r="AB119" s="66"/>
      <c r="AC119" s="66"/>
      <c r="AD119" s="66"/>
      <c r="AJ119" s="266"/>
    </row>
    <row r="120" spans="2:36" ht="15">
      <c r="B120" s="93" t="s">
        <v>1035</v>
      </c>
      <c r="C120" s="89" t="s">
        <v>1036</v>
      </c>
      <c r="D120" s="510" t="s">
        <v>1338</v>
      </c>
      <c r="E120" s="512" t="str">
        <f t="shared" si="8"/>
        <v>FF</v>
      </c>
      <c r="F120" s="269" t="s">
        <v>1339</v>
      </c>
      <c r="G120" s="245">
        <f t="shared" si="5"/>
        <v>255</v>
      </c>
      <c r="H120" s="589" t="s">
        <v>1340</v>
      </c>
      <c r="I120" s="589"/>
      <c r="J120" s="252">
        <v>255</v>
      </c>
      <c r="K120" s="209" t="str">
        <f t="shared" si="9"/>
        <v>OK</v>
      </c>
      <c r="L120" s="248" t="s">
        <v>1320</v>
      </c>
      <c r="M120" s="271"/>
      <c r="N120" s="131"/>
      <c r="O120" s="131"/>
      <c r="P120" s="131"/>
      <c r="Q120" s="131"/>
      <c r="R120" s="131"/>
      <c r="S120" s="131"/>
      <c r="T120" s="64"/>
      <c r="U120" s="131"/>
      <c r="V120" s="131"/>
      <c r="W120" s="131"/>
      <c r="X120" s="131"/>
      <c r="Y120" s="131"/>
      <c r="Z120" s="247"/>
      <c r="AA120" s="66"/>
      <c r="AB120" s="66"/>
      <c r="AC120" s="66"/>
      <c r="AD120" s="66"/>
      <c r="AJ120" s="266"/>
    </row>
    <row r="121" spans="2:36" ht="15">
      <c r="B121" s="93" t="s">
        <v>1035</v>
      </c>
      <c r="C121" s="89" t="s">
        <v>1036</v>
      </c>
      <c r="D121" s="510" t="s">
        <v>1341</v>
      </c>
      <c r="E121" s="512" t="str">
        <f>DEC2HEX(INT(J121/10),2)</f>
        <v>1D</v>
      </c>
      <c r="F121" s="269" t="s">
        <v>1342</v>
      </c>
      <c r="G121" s="245">
        <f t="shared" si="5"/>
        <v>29</v>
      </c>
      <c r="H121" s="590" t="s">
        <v>1343</v>
      </c>
      <c r="I121" s="590"/>
      <c r="J121" s="252">
        <v>297</v>
      </c>
      <c r="K121" s="209" t="str">
        <f>IF(AND(J121/10&gt;0,J121/10&lt;256),"OK","NG")</f>
        <v>OK</v>
      </c>
      <c r="L121" s="248" t="s">
        <v>1320</v>
      </c>
      <c r="M121" s="271"/>
      <c r="N121" s="131"/>
      <c r="O121" s="131"/>
      <c r="P121" s="131"/>
      <c r="Q121" s="131"/>
      <c r="R121" s="131"/>
      <c r="S121" s="131"/>
      <c r="T121" s="64"/>
      <c r="U121" s="131"/>
      <c r="V121" s="131"/>
      <c r="W121" s="131"/>
      <c r="X121" s="131"/>
      <c r="Y121" s="131"/>
      <c r="Z121" s="247"/>
      <c r="AA121" s="66"/>
      <c r="AB121" s="66"/>
      <c r="AC121" s="66"/>
      <c r="AD121" s="66"/>
      <c r="AJ121" s="266"/>
    </row>
    <row r="122" spans="2:36">
      <c r="B122" s="93" t="s">
        <v>1035</v>
      </c>
      <c r="C122" s="89" t="s">
        <v>1036</v>
      </c>
      <c r="D122" s="510" t="s">
        <v>1344</v>
      </c>
      <c r="E122" s="511" t="s">
        <v>1038</v>
      </c>
      <c r="F122" s="269" t="s">
        <v>1345</v>
      </c>
      <c r="G122" s="245">
        <f t="shared" si="5"/>
        <v>0</v>
      </c>
      <c r="H122"/>
      <c r="I122"/>
      <c r="J122"/>
      <c r="K122"/>
      <c r="L122" s="248" t="s">
        <v>1320</v>
      </c>
      <c r="M122" s="271"/>
      <c r="N122" s="131"/>
      <c r="O122" s="131"/>
      <c r="P122" s="131"/>
      <c r="Q122" s="131"/>
      <c r="R122" s="131"/>
      <c r="S122" s="131"/>
      <c r="T122" s="64"/>
      <c r="U122" s="131"/>
      <c r="V122" s="131"/>
      <c r="W122" s="131"/>
      <c r="X122" s="131"/>
      <c r="Y122" s="131"/>
      <c r="Z122" s="247"/>
      <c r="AA122" s="66"/>
      <c r="AB122" s="66"/>
      <c r="AC122" s="66"/>
      <c r="AD122" s="66"/>
      <c r="AJ122" s="266"/>
    </row>
    <row r="123" spans="2:36">
      <c r="B123" s="93" t="s">
        <v>1035</v>
      </c>
      <c r="C123" s="89" t="s">
        <v>1036</v>
      </c>
      <c r="D123" s="510" t="s">
        <v>1346</v>
      </c>
      <c r="E123" s="511" t="s">
        <v>1102</v>
      </c>
      <c r="F123" s="269" t="s">
        <v>1347</v>
      </c>
      <c r="G123" s="245">
        <f t="shared" si="5"/>
        <v>10</v>
      </c>
      <c r="H123"/>
      <c r="I123"/>
      <c r="J123"/>
      <c r="K123"/>
      <c r="L123" s="248" t="s">
        <v>1348</v>
      </c>
      <c r="M123" s="271"/>
      <c r="N123" s="131"/>
      <c r="O123" s="131"/>
      <c r="P123" s="131"/>
      <c r="Q123" s="131"/>
      <c r="R123" s="131"/>
      <c r="S123" s="131"/>
      <c r="T123" s="64"/>
      <c r="U123" s="131"/>
      <c r="V123" s="131"/>
      <c r="W123" s="131"/>
      <c r="X123" s="131"/>
      <c r="Y123" s="131"/>
      <c r="Z123" s="247"/>
      <c r="AA123" s="66"/>
      <c r="AB123" s="66"/>
      <c r="AC123" s="66"/>
      <c r="AD123" s="66"/>
      <c r="AJ123" s="266"/>
    </row>
    <row r="124" spans="2:36">
      <c r="B124" s="93" t="s">
        <v>1035</v>
      </c>
      <c r="C124" s="89" t="s">
        <v>1036</v>
      </c>
      <c r="D124" s="510" t="s">
        <v>1349</v>
      </c>
      <c r="E124" s="511" t="s">
        <v>1350</v>
      </c>
      <c r="F124" s="269"/>
      <c r="G124" s="245">
        <f t="shared" si="5"/>
        <v>32</v>
      </c>
      <c r="H124"/>
      <c r="I124"/>
      <c r="J124"/>
      <c r="K124"/>
      <c r="L124" s="248" t="s">
        <v>1348</v>
      </c>
      <c r="M124" s="271"/>
      <c r="N124" s="131"/>
      <c r="O124" s="131"/>
      <c r="P124" s="131"/>
      <c r="Q124" s="131"/>
      <c r="R124" s="131"/>
      <c r="S124" s="131"/>
      <c r="T124" s="64"/>
      <c r="U124" s="131"/>
      <c r="V124" s="131"/>
      <c r="W124" s="131"/>
      <c r="X124" s="131"/>
      <c r="Y124" s="131"/>
      <c r="Z124" s="247"/>
      <c r="AA124" s="66"/>
      <c r="AB124" s="66"/>
      <c r="AC124" s="66"/>
      <c r="AD124" s="66"/>
      <c r="AJ124" s="266"/>
    </row>
    <row r="125" spans="2:36">
      <c r="B125" s="93" t="s">
        <v>1035</v>
      </c>
      <c r="C125" s="89" t="s">
        <v>1036</v>
      </c>
      <c r="D125" s="510" t="s">
        <v>1351</v>
      </c>
      <c r="E125" s="511" t="s">
        <v>1350</v>
      </c>
      <c r="F125" s="269"/>
      <c r="G125" s="245">
        <f t="shared" si="5"/>
        <v>32</v>
      </c>
      <c r="H125"/>
      <c r="I125"/>
      <c r="J125"/>
      <c r="K125"/>
      <c r="L125" s="248" t="s">
        <v>1348</v>
      </c>
      <c r="M125" s="271"/>
      <c r="N125" s="131"/>
      <c r="O125" s="131"/>
      <c r="P125" s="131"/>
      <c r="Q125" s="131"/>
      <c r="R125" s="131"/>
      <c r="S125" s="131"/>
      <c r="T125" s="64"/>
      <c r="U125" s="131"/>
      <c r="V125" s="131"/>
      <c r="W125" s="131"/>
      <c r="X125" s="131"/>
      <c r="Y125" s="131"/>
      <c r="Z125" s="247"/>
      <c r="AA125" s="66"/>
      <c r="AB125" s="66"/>
      <c r="AC125" s="66"/>
      <c r="AD125" s="66"/>
      <c r="AJ125" s="266"/>
    </row>
    <row r="126" spans="2:36">
      <c r="B126" s="93" t="s">
        <v>1035</v>
      </c>
      <c r="C126" s="89" t="s">
        <v>1036</v>
      </c>
      <c r="D126" s="510" t="s">
        <v>1352</v>
      </c>
      <c r="E126" s="511" t="s">
        <v>1350</v>
      </c>
      <c r="F126" s="269"/>
      <c r="G126" s="194">
        <f t="shared" si="5"/>
        <v>32</v>
      </c>
      <c r="H126"/>
      <c r="I126"/>
      <c r="J126"/>
      <c r="K126"/>
      <c r="L126" s="248" t="s">
        <v>1348</v>
      </c>
      <c r="M126" s="271"/>
      <c r="N126" s="131"/>
      <c r="O126" s="131"/>
      <c r="P126" s="131"/>
      <c r="Q126" s="131"/>
      <c r="R126" s="131"/>
      <c r="S126" s="131"/>
      <c r="T126" s="64"/>
      <c r="U126" s="131"/>
      <c r="V126" s="131"/>
      <c r="W126" s="131"/>
      <c r="X126" s="131"/>
      <c r="Y126" s="131"/>
      <c r="Z126" s="247"/>
      <c r="AA126" s="66"/>
      <c r="AB126" s="66"/>
      <c r="AC126" s="66"/>
      <c r="AD126" s="66"/>
      <c r="AJ126" s="266"/>
    </row>
    <row r="127" spans="2:36">
      <c r="B127" s="93" t="s">
        <v>1035</v>
      </c>
      <c r="C127" s="89" t="s">
        <v>1036</v>
      </c>
      <c r="D127" s="510" t="s">
        <v>1353</v>
      </c>
      <c r="E127" s="511" t="s">
        <v>1350</v>
      </c>
      <c r="F127" s="269"/>
      <c r="G127" s="194">
        <f t="shared" si="5"/>
        <v>32</v>
      </c>
      <c r="H127"/>
      <c r="I127"/>
      <c r="J127"/>
      <c r="K127"/>
      <c r="L127" s="248" t="s">
        <v>1348</v>
      </c>
      <c r="M127" s="271"/>
      <c r="N127" s="131"/>
      <c r="O127" s="131"/>
      <c r="P127" s="131"/>
      <c r="Q127" s="131"/>
      <c r="R127" s="131"/>
      <c r="S127" s="131"/>
      <c r="T127" s="64"/>
      <c r="U127" s="131"/>
      <c r="V127" s="131"/>
      <c r="W127" s="131"/>
      <c r="X127" s="131"/>
      <c r="Y127" s="131"/>
      <c r="Z127" s="247"/>
      <c r="AA127" s="66"/>
      <c r="AB127" s="66"/>
      <c r="AC127" s="66"/>
      <c r="AD127" s="66"/>
      <c r="AJ127" s="266"/>
    </row>
    <row r="128" spans="2:36">
      <c r="B128" s="93" t="s">
        <v>1035</v>
      </c>
      <c r="C128" s="89" t="s">
        <v>1036</v>
      </c>
      <c r="D128" s="510" t="s">
        <v>1354</v>
      </c>
      <c r="E128" s="511" t="s">
        <v>1350</v>
      </c>
      <c r="F128" s="269"/>
      <c r="G128" s="194">
        <f t="shared" si="5"/>
        <v>32</v>
      </c>
      <c r="H128"/>
      <c r="I128"/>
      <c r="J128"/>
      <c r="K128"/>
      <c r="L128" s="248" t="s">
        <v>1348</v>
      </c>
      <c r="M128" s="271"/>
      <c r="N128" s="131"/>
      <c r="O128" s="131"/>
      <c r="P128" s="131"/>
      <c r="Q128" s="131"/>
      <c r="R128" s="131"/>
      <c r="S128" s="131"/>
      <c r="T128" s="64"/>
      <c r="U128" s="131"/>
      <c r="V128" s="131"/>
      <c r="W128" s="131"/>
      <c r="X128" s="131"/>
      <c r="Y128" s="131"/>
      <c r="Z128" s="247"/>
      <c r="AA128" s="66"/>
      <c r="AB128" s="66"/>
      <c r="AC128" s="66"/>
      <c r="AD128" s="66"/>
      <c r="AJ128" s="266"/>
    </row>
    <row r="129" spans="2:36">
      <c r="B129" s="93" t="s">
        <v>1035</v>
      </c>
      <c r="C129" s="89" t="s">
        <v>1036</v>
      </c>
      <c r="D129" s="510" t="s">
        <v>1355</v>
      </c>
      <c r="E129" s="511" t="s">
        <v>1350</v>
      </c>
      <c r="F129" s="269"/>
      <c r="G129" s="194">
        <f t="shared" si="5"/>
        <v>32</v>
      </c>
      <c r="H129"/>
      <c r="I129"/>
      <c r="J129"/>
      <c r="K129"/>
      <c r="L129" s="248" t="s">
        <v>1348</v>
      </c>
      <c r="M129" s="271"/>
      <c r="N129" s="131"/>
      <c r="O129" s="131"/>
      <c r="P129" s="131"/>
      <c r="Q129" s="131"/>
      <c r="R129" s="131"/>
      <c r="S129" s="131"/>
      <c r="T129" s="64"/>
      <c r="U129" s="131"/>
      <c r="V129" s="131"/>
      <c r="W129" s="131"/>
      <c r="X129" s="131"/>
      <c r="Y129" s="131"/>
      <c r="Z129" s="247"/>
      <c r="AA129" s="66"/>
      <c r="AB129" s="66"/>
      <c r="AC129" s="66"/>
      <c r="AD129" s="66"/>
      <c r="AJ129" s="266"/>
    </row>
    <row r="130" spans="2:36">
      <c r="B130" s="93" t="s">
        <v>1035</v>
      </c>
      <c r="C130" s="89" t="s">
        <v>1036</v>
      </c>
      <c r="D130" s="510" t="s">
        <v>1356</v>
      </c>
      <c r="E130" s="512" t="str">
        <f>IF(Main_Parameters!$R$5="Disable","00","01")</f>
        <v>01</v>
      </c>
      <c r="F130" s="243" t="s">
        <v>1357</v>
      </c>
      <c r="G130" s="194">
        <f t="shared" si="5"/>
        <v>1</v>
      </c>
      <c r="H130"/>
      <c r="I130"/>
      <c r="J130"/>
      <c r="K130"/>
      <c r="L130" s="248" t="s">
        <v>1358</v>
      </c>
      <c r="M130" s="271"/>
      <c r="N130" s="131"/>
      <c r="O130" s="131"/>
      <c r="P130" s="131"/>
      <c r="Q130" s="131"/>
      <c r="R130" s="131"/>
      <c r="S130" s="131"/>
      <c r="T130" s="64"/>
      <c r="U130" s="131"/>
      <c r="V130" s="131"/>
      <c r="W130" s="131"/>
      <c r="X130" s="131"/>
      <c r="Y130" s="131"/>
      <c r="Z130" s="247"/>
      <c r="AA130" s="66"/>
      <c r="AB130" s="66"/>
      <c r="AC130" s="66"/>
      <c r="AD130" s="66"/>
      <c r="AJ130" s="266"/>
    </row>
    <row r="131" spans="2:36">
      <c r="B131" s="93" t="s">
        <v>1035</v>
      </c>
      <c r="C131" s="89" t="s">
        <v>1036</v>
      </c>
      <c r="D131" s="510" t="s">
        <v>1359</v>
      </c>
      <c r="E131" s="91" t="str">
        <f>DEC2HEX(G131,2)</f>
        <v>71</v>
      </c>
      <c r="F131" s="243" t="s">
        <v>1360</v>
      </c>
      <c r="G131" s="245">
        <f>MOD(256-MOD(SUM(G4:G130),256),256)</f>
        <v>113</v>
      </c>
      <c r="H131"/>
      <c r="I131"/>
      <c r="J131"/>
      <c r="K131"/>
      <c r="L131" s="248" t="s">
        <v>1361</v>
      </c>
      <c r="M131" s="271"/>
      <c r="N131" s="131"/>
      <c r="O131" s="131"/>
      <c r="P131" s="131"/>
      <c r="Q131" s="131"/>
      <c r="R131" s="131"/>
      <c r="S131" s="131"/>
      <c r="T131" s="64"/>
      <c r="U131" s="131"/>
      <c r="V131" s="131"/>
      <c r="W131" s="131"/>
      <c r="X131" s="131"/>
      <c r="Y131" s="131"/>
      <c r="Z131" s="247"/>
      <c r="AA131" s="66"/>
      <c r="AB131" s="66"/>
      <c r="AC131" s="66"/>
      <c r="AD131" s="66"/>
      <c r="AJ131" s="266"/>
    </row>
    <row r="132" spans="2:36">
      <c r="B132" s="93" t="s">
        <v>1035</v>
      </c>
      <c r="C132" s="89" t="s">
        <v>1036</v>
      </c>
      <c r="D132" s="510" t="s">
        <v>1362</v>
      </c>
      <c r="E132" s="511" t="s">
        <v>1363</v>
      </c>
      <c r="F132" s="244" t="s">
        <v>1364</v>
      </c>
      <c r="G132" s="194">
        <f t="shared" si="5"/>
        <v>2</v>
      </c>
      <c r="H132"/>
      <c r="I132"/>
      <c r="J132"/>
      <c r="K132"/>
      <c r="L132" s="248" t="s">
        <v>1365</v>
      </c>
      <c r="M132" s="271"/>
      <c r="N132" s="131"/>
      <c r="O132" s="131"/>
      <c r="P132" s="131"/>
      <c r="Q132" s="131"/>
      <c r="R132" s="131"/>
      <c r="S132" s="131"/>
      <c r="T132" s="64"/>
      <c r="U132" s="131"/>
      <c r="V132" s="131"/>
      <c r="W132" s="131"/>
      <c r="X132" s="131"/>
      <c r="Y132" s="131"/>
      <c r="Z132" s="247"/>
      <c r="AA132" s="66"/>
      <c r="AB132" s="66"/>
      <c r="AC132" s="66"/>
      <c r="AD132" s="66"/>
      <c r="AJ132" s="266"/>
    </row>
    <row r="133" spans="2:36">
      <c r="B133" s="93" t="s">
        <v>1035</v>
      </c>
      <c r="C133" s="89" t="s">
        <v>1036</v>
      </c>
      <c r="D133" s="510" t="s">
        <v>1366</v>
      </c>
      <c r="E133" s="511" t="s">
        <v>1083</v>
      </c>
      <c r="F133" s="244" t="s">
        <v>1367</v>
      </c>
      <c r="G133" s="194">
        <f t="shared" si="5"/>
        <v>3</v>
      </c>
      <c r="H133"/>
      <c r="I133"/>
      <c r="J133"/>
      <c r="K133"/>
      <c r="L133" s="248" t="s">
        <v>1365</v>
      </c>
      <c r="M133" s="271"/>
      <c r="N133" s="131"/>
      <c r="O133" s="131"/>
      <c r="P133" s="131"/>
      <c r="Q133" s="131"/>
      <c r="R133" s="131"/>
      <c r="S133" s="131"/>
      <c r="T133" s="64"/>
      <c r="U133" s="131"/>
      <c r="V133" s="131"/>
      <c r="W133" s="131"/>
      <c r="X133" s="131"/>
      <c r="Y133" s="131"/>
      <c r="Z133" s="247"/>
      <c r="AA133" s="66"/>
      <c r="AB133" s="66"/>
      <c r="AC133" s="66"/>
      <c r="AD133" s="66"/>
      <c r="AJ133" s="266"/>
    </row>
    <row r="134" spans="2:36">
      <c r="B134" s="93" t="s">
        <v>1035</v>
      </c>
      <c r="C134" s="89" t="s">
        <v>1036</v>
      </c>
      <c r="D134" s="510" t="s">
        <v>1368</v>
      </c>
      <c r="E134" s="511" t="s">
        <v>1369</v>
      </c>
      <c r="F134" s="244" t="s">
        <v>1370</v>
      </c>
      <c r="G134" s="194">
        <f t="shared" ref="G134:G197" si="10">HEX2DEC(E134)</f>
        <v>26</v>
      </c>
      <c r="H134" s="258" t="s">
        <v>1371</v>
      </c>
      <c r="I134" s="258" t="s">
        <v>1372</v>
      </c>
      <c r="J134" s="258" t="s">
        <v>1373</v>
      </c>
      <c r="K134" s="258" t="s">
        <v>1374</v>
      </c>
      <c r="L134" s="248" t="s">
        <v>1365</v>
      </c>
      <c r="M134" s="271"/>
      <c r="N134" s="254" t="s">
        <v>1371</v>
      </c>
      <c r="O134" s="254" t="s">
        <v>1372</v>
      </c>
      <c r="P134" s="254" t="s">
        <v>1373</v>
      </c>
      <c r="Q134" s="254" t="s">
        <v>1374</v>
      </c>
      <c r="R134" s="254" t="s">
        <v>700</v>
      </c>
      <c r="S134" s="131"/>
      <c r="T134" s="64"/>
      <c r="U134" s="131"/>
      <c r="V134" s="131"/>
      <c r="W134" s="131"/>
      <c r="X134" s="131"/>
      <c r="Y134" s="131"/>
      <c r="Z134" s="247"/>
      <c r="AA134" s="66"/>
      <c r="AB134" s="66"/>
      <c r="AC134" s="66"/>
      <c r="AD134" s="66"/>
      <c r="AJ134" s="266"/>
    </row>
    <row r="135" spans="2:36" ht="15">
      <c r="B135" s="93" t="s">
        <v>1035</v>
      </c>
      <c r="C135" s="89" t="s">
        <v>1036</v>
      </c>
      <c r="D135" s="510" t="s">
        <v>1375</v>
      </c>
      <c r="E135" s="512" t="str">
        <f>DEC2HEX(N135*2^7+O135*2^6+P135*2^5+Q135*2^4+R135,2)</f>
        <v>71</v>
      </c>
      <c r="F135" s="244" t="s">
        <v>1376</v>
      </c>
      <c r="G135" s="194">
        <f t="shared" si="10"/>
        <v>113</v>
      </c>
      <c r="H135" s="278" t="s">
        <v>717</v>
      </c>
      <c r="I135" s="278" t="s">
        <v>1377</v>
      </c>
      <c r="J135" s="278" t="s">
        <v>1377</v>
      </c>
      <c r="K135" s="278" t="s">
        <v>1377</v>
      </c>
      <c r="L135" s="248" t="s">
        <v>1365</v>
      </c>
      <c r="M135" s="271"/>
      <c r="N135" s="256">
        <f t="shared" ref="N135:Q135" si="11">IF(H135="Supported",1,0)</f>
        <v>0</v>
      </c>
      <c r="O135" s="256">
        <f t="shared" si="11"/>
        <v>1</v>
      </c>
      <c r="P135" s="256">
        <f t="shared" si="11"/>
        <v>1</v>
      </c>
      <c r="Q135" s="256">
        <f t="shared" si="11"/>
        <v>1</v>
      </c>
      <c r="R135" s="256">
        <f>SUM(L137:L143)</f>
        <v>1</v>
      </c>
      <c r="S135" s="259"/>
      <c r="T135" s="64"/>
      <c r="U135" s="131"/>
      <c r="V135" s="131"/>
      <c r="W135" s="131"/>
      <c r="X135" s="131"/>
      <c r="Y135" s="131"/>
      <c r="Z135" s="247"/>
      <c r="AA135" s="66"/>
      <c r="AB135" s="66"/>
      <c r="AC135" s="66"/>
      <c r="AD135" s="66"/>
      <c r="AJ135" s="266"/>
    </row>
    <row r="136" spans="2:36" ht="15" customHeight="1">
      <c r="B136" s="93" t="s">
        <v>1035</v>
      </c>
      <c r="C136" s="89" t="s">
        <v>1036</v>
      </c>
      <c r="D136" s="510" t="s">
        <v>1378</v>
      </c>
      <c r="E136" s="511" t="s">
        <v>1117</v>
      </c>
      <c r="F136" s="243" t="s">
        <v>1379</v>
      </c>
      <c r="G136" s="194">
        <f t="shared" si="10"/>
        <v>71</v>
      </c>
      <c r="H136" s="591" t="s">
        <v>1380</v>
      </c>
      <c r="I136" s="591"/>
      <c r="J136" s="250" t="s">
        <v>700</v>
      </c>
      <c r="K136" s="250" t="s">
        <v>1381</v>
      </c>
      <c r="L136" s="254" t="s">
        <v>1382</v>
      </c>
      <c r="M136" s="254" t="s">
        <v>1383</v>
      </c>
      <c r="N136" s="256" t="s">
        <v>1384</v>
      </c>
      <c r="O136" s="256" t="s">
        <v>705</v>
      </c>
      <c r="P136" s="257" t="s">
        <v>1167</v>
      </c>
      <c r="Q136" s="256" t="s">
        <v>1168</v>
      </c>
      <c r="R136" s="256" t="s">
        <v>1169</v>
      </c>
      <c r="S136" s="256" t="s">
        <v>1170</v>
      </c>
      <c r="T136" s="256" t="s">
        <v>1171</v>
      </c>
      <c r="U136" s="256" t="s">
        <v>1172</v>
      </c>
      <c r="V136" s="256" t="s">
        <v>1173</v>
      </c>
      <c r="W136" s="256" t="s">
        <v>1174</v>
      </c>
      <c r="X136" s="275"/>
      <c r="Y136" s="275"/>
      <c r="Z136" s="282"/>
      <c r="AA136" s="283"/>
      <c r="AB136" s="283"/>
      <c r="AC136" s="283"/>
      <c r="AD136" s="283"/>
      <c r="AE136" s="97"/>
      <c r="AF136" s="97"/>
      <c r="AG136" s="97"/>
      <c r="AH136" s="97"/>
      <c r="AI136" s="256" t="s">
        <v>703</v>
      </c>
      <c r="AJ136" s="266"/>
    </row>
    <row r="137" spans="2:36">
      <c r="B137" s="93" t="s">
        <v>1035</v>
      </c>
      <c r="C137" s="89" t="s">
        <v>1036</v>
      </c>
      <c r="D137" s="510" t="s">
        <v>1385</v>
      </c>
      <c r="E137" s="91" t="str">
        <f t="shared" ref="E137:E143" si="12">DEC2HEX(L137*2^7+M137,2)</f>
        <v>C6</v>
      </c>
      <c r="F137" s="243" t="s">
        <v>1386</v>
      </c>
      <c r="G137" s="194">
        <f t="shared" si="10"/>
        <v>198</v>
      </c>
      <c r="H137" s="583" t="s">
        <v>1386</v>
      </c>
      <c r="I137" s="583"/>
      <c r="J137" s="91" t="str">
        <f>Main_Parameters!$U$3</f>
        <v>Yes</v>
      </c>
      <c r="K137" s="91">
        <f>Main_Parameters!$V$3</f>
        <v>70</v>
      </c>
      <c r="L137" s="279">
        <f>IF(J137="Yes",1,0)</f>
        <v>1</v>
      </c>
      <c r="M137" s="279">
        <f>IF(Main_Parameters!$S$3="640x480p60Hz (1)",P137,IF(Main_Parameters!$S$3="720x480p60Hz (2)",Q137,IF(Main_Parameters!$S$3="1280x720p60Hz (4)",R137,IF(Main_Parameters!$S$3="1920x1080p60Hz (16)",S137,IF(Main_Parameters!$S$3="1920x1200p60Hz (68)",V137,IF(Main_Parameters!$S$3="2560x1600p60Hz (76)",W137,K137))))))</f>
        <v>70</v>
      </c>
      <c r="N137" s="279" t="str">
        <f>IF(Main_Parameters!$BB$3=0,"Disable","Enable")</f>
        <v>Enable</v>
      </c>
      <c r="O137" s="279" t="str">
        <f>IF(Main_Parameters!$BC$3=0,"Disable","Enable")</f>
        <v>Disable</v>
      </c>
      <c r="P137" s="256">
        <v>1</v>
      </c>
      <c r="Q137" s="256">
        <v>2</v>
      </c>
      <c r="R137" s="256">
        <v>4</v>
      </c>
      <c r="S137" s="256">
        <v>16</v>
      </c>
      <c r="T137" s="256">
        <v>16</v>
      </c>
      <c r="U137" s="280">
        <v>27</v>
      </c>
      <c r="V137" s="280">
        <v>68</v>
      </c>
      <c r="W137" s="280">
        <v>76</v>
      </c>
      <c r="X137" s="275"/>
      <c r="Y137" s="275"/>
      <c r="Z137" s="282"/>
      <c r="AA137" s="283"/>
      <c r="AB137" s="283"/>
      <c r="AC137" s="283"/>
      <c r="AD137" s="283"/>
      <c r="AE137" s="97"/>
      <c r="AF137" s="97"/>
      <c r="AG137" s="97"/>
      <c r="AH137" s="97"/>
      <c r="AI137" s="279" t="str">
        <f>IF(Main_Parameters!$BA$3=0,"Disable","Enable")</f>
        <v>Enable</v>
      </c>
      <c r="AJ137" s="266"/>
    </row>
    <row r="138" spans="2:36">
      <c r="B138" s="93" t="s">
        <v>1035</v>
      </c>
      <c r="C138" s="89" t="s">
        <v>1036</v>
      </c>
      <c r="D138" s="510" t="s">
        <v>1387</v>
      </c>
      <c r="E138" s="91" t="str">
        <f t="shared" si="12"/>
        <v>46</v>
      </c>
      <c r="F138" s="243" t="s">
        <v>1388</v>
      </c>
      <c r="G138" s="194">
        <f t="shared" si="10"/>
        <v>70</v>
      </c>
      <c r="H138" s="583" t="s">
        <v>1388</v>
      </c>
      <c r="I138" s="583"/>
      <c r="J138" s="91" t="str">
        <f>Main_Parameters!$U$4</f>
        <v>No</v>
      </c>
      <c r="K138" s="91">
        <f>Main_Parameters!$V$4</f>
        <v>70</v>
      </c>
      <c r="L138" s="279">
        <f t="shared" ref="L138:L143" si="13">IF(J138="Yes",1,0)</f>
        <v>0</v>
      </c>
      <c r="M138" s="279">
        <f>IF(Main_Parameters!$S$4="640x480p60Hz (1)",P138,IF(Main_Parameters!$S$4="720x480p60Hz (2)",Q138,IF(Main_Parameters!$S$4="1280x720p60Hz (4)",R138,IF(Main_Parameters!$S$4="1920x1080p60Hz (16)",S138,IF(Main_Parameters!$S$4="1920x1200p60Hz (68)",V138,IF(Main_Parameters!$S$4="2560x1600p60Hz (76)",W138,K138))))))</f>
        <v>70</v>
      </c>
      <c r="N138" s="279" t="str">
        <f>IF(Main_Parameters!$BB$4=0,"Disable","Enable")</f>
        <v>Enable</v>
      </c>
      <c r="O138" s="279" t="str">
        <f>IF(Main_Parameters!$BC$4=0,"Disable","Enable")</f>
        <v>Disable</v>
      </c>
      <c r="P138" s="256">
        <v>1</v>
      </c>
      <c r="Q138" s="256">
        <v>2</v>
      </c>
      <c r="R138" s="256">
        <v>4</v>
      </c>
      <c r="S138" s="256">
        <v>16</v>
      </c>
      <c r="T138" s="256">
        <v>16</v>
      </c>
      <c r="U138" s="280">
        <v>27</v>
      </c>
      <c r="V138" s="280">
        <v>68</v>
      </c>
      <c r="W138" s="280">
        <v>76</v>
      </c>
      <c r="X138" s="275"/>
      <c r="Y138" s="275"/>
      <c r="Z138" s="282"/>
      <c r="AA138" s="283"/>
      <c r="AB138" s="283"/>
      <c r="AC138" s="283"/>
      <c r="AD138" s="283"/>
      <c r="AE138" s="97"/>
      <c r="AF138" s="97"/>
      <c r="AG138" s="97"/>
      <c r="AH138" s="97"/>
      <c r="AI138" s="279" t="str">
        <f>IF(Main_Parameters!$BA$4=0,"Disable","Enable")</f>
        <v>Enable</v>
      </c>
      <c r="AJ138" s="266"/>
    </row>
    <row r="139" spans="2:36">
      <c r="B139" s="93" t="s">
        <v>1035</v>
      </c>
      <c r="C139" s="89" t="s">
        <v>1036</v>
      </c>
      <c r="D139" s="510" t="s">
        <v>1389</v>
      </c>
      <c r="E139" s="91" t="str">
        <f t="shared" si="12"/>
        <v>46</v>
      </c>
      <c r="F139" s="243" t="s">
        <v>1390</v>
      </c>
      <c r="G139" s="194">
        <f t="shared" si="10"/>
        <v>70</v>
      </c>
      <c r="H139" s="583" t="s">
        <v>1390</v>
      </c>
      <c r="I139" s="583"/>
      <c r="J139" s="91" t="str">
        <f>Main_Parameters!$U$6</f>
        <v>No</v>
      </c>
      <c r="K139" s="91">
        <f>Main_Parameters!$V$6</f>
        <v>70</v>
      </c>
      <c r="L139" s="279">
        <f t="shared" si="13"/>
        <v>0</v>
      </c>
      <c r="M139" s="279">
        <f>IF(Main_Parameters!$S$6="640x480p60Hz (1)",P139,IF(Main_Parameters!$S$6="720x480p60Hz (2)",Q139,IF(Main_Parameters!$S$6="1280x720p60Hz (4)",R139,IF(Main_Parameters!$S$6="1920x1080p60Hz (16)",S139,IF(Main_Parameters!$S$6="1920x1200p60Hz (68)",V139,IF(Main_Parameters!$S$6="2560x1600p60Hz (76)",W139,K139))))))</f>
        <v>70</v>
      </c>
      <c r="N139" s="279" t="str">
        <f>IF(Main_Parameters!$BB$6=0,"Disable","Enable")</f>
        <v>Enable</v>
      </c>
      <c r="O139" s="279" t="str">
        <f>IF(Main_Parameters!$BC$6=0,"Disable","Enable")</f>
        <v>Disable</v>
      </c>
      <c r="P139" s="256">
        <v>1</v>
      </c>
      <c r="Q139" s="256">
        <v>2</v>
      </c>
      <c r="R139" s="256">
        <v>4</v>
      </c>
      <c r="S139" s="256">
        <v>16</v>
      </c>
      <c r="T139" s="256">
        <v>16</v>
      </c>
      <c r="U139" s="280">
        <v>27</v>
      </c>
      <c r="V139" s="280">
        <v>68</v>
      </c>
      <c r="W139" s="280">
        <v>76</v>
      </c>
      <c r="X139" s="275"/>
      <c r="Y139" s="275"/>
      <c r="Z139" s="282"/>
      <c r="AA139" s="283"/>
      <c r="AB139" s="283"/>
      <c r="AC139" s="283"/>
      <c r="AD139" s="283"/>
      <c r="AE139" s="97"/>
      <c r="AF139" s="97"/>
      <c r="AG139" s="97"/>
      <c r="AH139" s="97"/>
      <c r="AI139" s="279" t="str">
        <f>IF(Main_Parameters!$BA$6=0,"Disable","Enable")</f>
        <v>Enable</v>
      </c>
      <c r="AJ139" s="266"/>
    </row>
    <row r="140" spans="2:36">
      <c r="B140" s="93" t="s">
        <v>1035</v>
      </c>
      <c r="C140" s="89" t="s">
        <v>1036</v>
      </c>
      <c r="D140" s="510" t="s">
        <v>1391</v>
      </c>
      <c r="E140" s="91" t="str">
        <f t="shared" si="12"/>
        <v>46</v>
      </c>
      <c r="F140" s="243" t="s">
        <v>1392</v>
      </c>
      <c r="G140" s="194">
        <f t="shared" si="10"/>
        <v>70</v>
      </c>
      <c r="H140" s="583" t="s">
        <v>1393</v>
      </c>
      <c r="I140" s="583"/>
      <c r="J140" s="91" t="str">
        <f>Main_Parameters!$U$7</f>
        <v>No</v>
      </c>
      <c r="K140" s="91">
        <f>Main_Parameters!$V$7</f>
        <v>70</v>
      </c>
      <c r="L140" s="279">
        <f t="shared" si="13"/>
        <v>0</v>
      </c>
      <c r="M140" s="279">
        <f>IF(Main_Parameters!$S$7="640x480p60Hz (1)",P140,IF(Main_Parameters!$S$7="720x480p60Hz (2)",Q140,IF(Main_Parameters!$S$7="1280x720p60Hz (4)",R140,IF(Main_Parameters!$S$7="1920x1080p60Hz (16)",S140,IF(Main_Parameters!$S$7="1920x1200p60Hz (68)",V140,IF(Main_Parameters!$S$7="2560x1600p60Hz (76)",W140,K140))))))</f>
        <v>70</v>
      </c>
      <c r="N140" s="279" t="str">
        <f>IF(Main_Parameters!$BB$7=0,"Disable","Enable")</f>
        <v>Enable</v>
      </c>
      <c r="O140" s="279" t="str">
        <f>IF(Main_Parameters!$BC$7=0,"Disable","Enable")</f>
        <v>Disable</v>
      </c>
      <c r="P140" s="256">
        <v>1</v>
      </c>
      <c r="Q140" s="256">
        <v>2</v>
      </c>
      <c r="R140" s="256">
        <v>4</v>
      </c>
      <c r="S140" s="256">
        <v>16</v>
      </c>
      <c r="T140" s="256">
        <v>16</v>
      </c>
      <c r="U140" s="280">
        <v>27</v>
      </c>
      <c r="V140" s="280">
        <v>68</v>
      </c>
      <c r="W140" s="280">
        <v>76</v>
      </c>
      <c r="X140" s="275"/>
      <c r="Y140" s="275"/>
      <c r="Z140" s="282"/>
      <c r="AA140" s="283"/>
      <c r="AB140" s="283"/>
      <c r="AC140" s="283"/>
      <c r="AD140" s="283"/>
      <c r="AE140" s="97"/>
      <c r="AF140" s="97"/>
      <c r="AG140" s="97"/>
      <c r="AH140" s="97"/>
      <c r="AI140" s="279" t="str">
        <f>IF(Main_Parameters!$BA$7=0,"Disable","Enable")</f>
        <v>Enable</v>
      </c>
      <c r="AJ140" s="266"/>
    </row>
    <row r="141" spans="2:36">
      <c r="B141" s="93" t="s">
        <v>1035</v>
      </c>
      <c r="C141" s="89" t="s">
        <v>1036</v>
      </c>
      <c r="D141" s="510" t="s">
        <v>1394</v>
      </c>
      <c r="E141" s="91" t="str">
        <f t="shared" si="12"/>
        <v>46</v>
      </c>
      <c r="F141" s="243" t="s">
        <v>1395</v>
      </c>
      <c r="G141" s="194">
        <f t="shared" si="10"/>
        <v>70</v>
      </c>
      <c r="H141" s="583" t="s">
        <v>1395</v>
      </c>
      <c r="I141" s="583"/>
      <c r="J141" s="91" t="str">
        <f>Main_Parameters!$U$8</f>
        <v>No</v>
      </c>
      <c r="K141" s="91">
        <f>Main_Parameters!$V$8</f>
        <v>70</v>
      </c>
      <c r="L141" s="279">
        <f t="shared" si="13"/>
        <v>0</v>
      </c>
      <c r="M141" s="279">
        <f>IF(Main_Parameters!$S$8="640x480p60Hz (1)",P141,IF(Main_Parameters!$S$8="720x480p60Hz (2)",Q141,IF(Main_Parameters!$S$8="1280x720p60Hz (4)",R141,IF(Main_Parameters!$S$8="1920x1080p60Hz (16)",S141,IF(Main_Parameters!$S$8="1920x1200p60Hz (68)",V141,IF(Main_Parameters!$S$8="2560x1600p60Hz (76)",W141,K141))))))</f>
        <v>70</v>
      </c>
      <c r="N141" s="279" t="str">
        <f>IF(Main_Parameters!$BB$8=0,"Disable","Enable")</f>
        <v>Enable</v>
      </c>
      <c r="O141" s="279" t="str">
        <f>IF(Main_Parameters!$BC$8=0,"Disable","Enable")</f>
        <v>Disable</v>
      </c>
      <c r="P141" s="256">
        <v>1</v>
      </c>
      <c r="Q141" s="256">
        <v>2</v>
      </c>
      <c r="R141" s="256">
        <v>4</v>
      </c>
      <c r="S141" s="256">
        <v>16</v>
      </c>
      <c r="T141" s="256">
        <v>16</v>
      </c>
      <c r="U141" s="280">
        <v>27</v>
      </c>
      <c r="V141" s="280">
        <v>68</v>
      </c>
      <c r="W141" s="280">
        <v>76</v>
      </c>
      <c r="X141" s="275"/>
      <c r="Y141" s="275"/>
      <c r="Z141" s="282"/>
      <c r="AA141" s="283"/>
      <c r="AB141" s="283"/>
      <c r="AC141" s="283"/>
      <c r="AD141" s="283"/>
      <c r="AE141" s="97"/>
      <c r="AF141" s="97"/>
      <c r="AG141" s="97"/>
      <c r="AH141" s="97"/>
      <c r="AI141" s="279" t="str">
        <f>IF(Main_Parameters!$BA$8=0,"Disable","Enable")</f>
        <v>Enable</v>
      </c>
      <c r="AJ141" s="266"/>
    </row>
    <row r="142" spans="2:36">
      <c r="B142" s="93" t="s">
        <v>1035</v>
      </c>
      <c r="C142" s="89" t="s">
        <v>1036</v>
      </c>
      <c r="D142" s="510" t="s">
        <v>1396</v>
      </c>
      <c r="E142" s="91" t="str">
        <f t="shared" si="12"/>
        <v>46</v>
      </c>
      <c r="F142" s="243" t="s">
        <v>1397</v>
      </c>
      <c r="G142" s="194">
        <f t="shared" si="10"/>
        <v>70</v>
      </c>
      <c r="H142" s="583" t="s">
        <v>1397</v>
      </c>
      <c r="I142" s="583"/>
      <c r="J142" s="91" t="str">
        <f>Main_Parameters!$U$9</f>
        <v>No</v>
      </c>
      <c r="K142" s="91">
        <f>Main_Parameters!$V$9</f>
        <v>70</v>
      </c>
      <c r="L142" s="279">
        <f t="shared" si="13"/>
        <v>0</v>
      </c>
      <c r="M142" s="279">
        <f>IF(Main_Parameters!$S$9="640x480p60Hz (1)",P142,IF(Main_Parameters!$S$9="720x480p60Hz (2)",Q142,IF(Main_Parameters!$S$9="1280x720p60Hz (4)",R142,IF(Main_Parameters!$S$9="1920x1080p60Hz (16)",S142,IF(Main_Parameters!$S$9="1920x1200p60Hz (68)",V142,IF(Main_Parameters!$S$9="2560x1600p60Hz (76)",W142,K142))))))</f>
        <v>70</v>
      </c>
      <c r="N142" s="279" t="str">
        <f>IF(Main_Parameters!$BB$9=0,"Disable","Enable")</f>
        <v>Enable</v>
      </c>
      <c r="O142" s="279" t="str">
        <f>IF(Main_Parameters!$BC$9=0,"Disable","Enable")</f>
        <v>Disable</v>
      </c>
      <c r="P142" s="256">
        <v>1</v>
      </c>
      <c r="Q142" s="256">
        <v>2</v>
      </c>
      <c r="R142" s="256">
        <v>4</v>
      </c>
      <c r="S142" s="256">
        <v>16</v>
      </c>
      <c r="T142" s="256">
        <v>16</v>
      </c>
      <c r="U142" s="280">
        <v>27</v>
      </c>
      <c r="V142" s="280">
        <v>68</v>
      </c>
      <c r="W142" s="280">
        <v>76</v>
      </c>
      <c r="X142" s="275"/>
      <c r="Y142" s="275"/>
      <c r="Z142" s="282"/>
      <c r="AA142" s="283"/>
      <c r="AB142" s="283"/>
      <c r="AC142" s="283"/>
      <c r="AD142" s="283"/>
      <c r="AE142" s="97"/>
      <c r="AF142" s="97"/>
      <c r="AG142" s="97"/>
      <c r="AH142" s="97"/>
      <c r="AI142" s="279" t="str">
        <f>IF(Main_Parameters!$BA$9=0,"Disable","Enable")</f>
        <v>Enable</v>
      </c>
      <c r="AJ142" s="266"/>
    </row>
    <row r="143" spans="2:36">
      <c r="B143" s="93" t="s">
        <v>1035</v>
      </c>
      <c r="C143" s="89" t="s">
        <v>1036</v>
      </c>
      <c r="D143" s="510" t="s">
        <v>1398</v>
      </c>
      <c r="E143" s="91" t="str">
        <f t="shared" si="12"/>
        <v>46</v>
      </c>
      <c r="F143" s="243" t="s">
        <v>1399</v>
      </c>
      <c r="G143" s="194">
        <f t="shared" si="10"/>
        <v>70</v>
      </c>
      <c r="H143" s="583" t="s">
        <v>1400</v>
      </c>
      <c r="I143" s="583"/>
      <c r="J143" s="91" t="str">
        <f>Main_Parameters!$U$10</f>
        <v>No</v>
      </c>
      <c r="K143" s="91">
        <f>Main_Parameters!$V$10</f>
        <v>70</v>
      </c>
      <c r="L143" s="279">
        <f t="shared" si="13"/>
        <v>0</v>
      </c>
      <c r="M143" s="279">
        <f>IF(Main_Parameters!$S$10="640x480p60Hz (1)",P143,IF(Main_Parameters!$S$10="720x480p60Hz (2)",Q143,IF(Main_Parameters!$S$10="1280x720p60Hz (4)",R143,IF(Main_Parameters!$S$10="1920x1080p60Hz (16)",S143,IF(Main_Parameters!$S$10="1920x1200p60Hz (68)",V143,IF(Main_Parameters!$S$10="2560x1600p60Hz (76)",W143,K143))))))</f>
        <v>70</v>
      </c>
      <c r="N143" s="279" t="str">
        <f>IF(Main_Parameters!$BB$10=0,"Disable","Enable")</f>
        <v>Enable</v>
      </c>
      <c r="O143" s="279" t="str">
        <f>IF(Main_Parameters!$BC$10=0,"Disable","Enable")</f>
        <v>Disable</v>
      </c>
      <c r="P143" s="256">
        <v>1</v>
      </c>
      <c r="Q143" s="256">
        <v>2</v>
      </c>
      <c r="R143" s="256">
        <v>4</v>
      </c>
      <c r="S143" s="256">
        <v>16</v>
      </c>
      <c r="T143" s="256">
        <v>16</v>
      </c>
      <c r="U143" s="280">
        <v>27</v>
      </c>
      <c r="V143" s="280">
        <v>68</v>
      </c>
      <c r="W143" s="280">
        <v>76</v>
      </c>
      <c r="X143" s="275"/>
      <c r="Y143" s="275"/>
      <c r="Z143" s="282"/>
      <c r="AA143" s="283"/>
      <c r="AB143" s="283"/>
      <c r="AC143" s="283"/>
      <c r="AD143" s="283"/>
      <c r="AE143" s="97"/>
      <c r="AF143" s="97"/>
      <c r="AG143" s="97"/>
      <c r="AH143" s="97"/>
      <c r="AI143" s="279" t="str">
        <f>IF(Main_Parameters!$BA$10=0,"Disable","Enable")</f>
        <v>Enable</v>
      </c>
      <c r="AJ143" s="266"/>
    </row>
    <row r="144" spans="2:36">
      <c r="B144" s="93" t="s">
        <v>1035</v>
      </c>
      <c r="C144" s="89" t="s">
        <v>1036</v>
      </c>
      <c r="D144" s="510" t="s">
        <v>1401</v>
      </c>
      <c r="E144" s="511" t="s">
        <v>1402</v>
      </c>
      <c r="F144" s="243" t="s">
        <v>1403</v>
      </c>
      <c r="G144" s="194">
        <f t="shared" si="10"/>
        <v>35</v>
      </c>
      <c r="H144"/>
      <c r="I144"/>
      <c r="J144"/>
      <c r="K144"/>
      <c r="L144" s="248" t="s">
        <v>1404</v>
      </c>
      <c r="M144" s="271"/>
      <c r="N144" s="259" t="s">
        <v>1405</v>
      </c>
      <c r="O144" s="64"/>
      <c r="P144" s="64"/>
      <c r="Q144" s="64"/>
      <c r="R144" s="64"/>
      <c r="S144" s="64"/>
      <c r="T144" s="131"/>
      <c r="U144" s="131"/>
      <c r="V144" s="131"/>
      <c r="W144" s="131"/>
      <c r="X144" s="131"/>
      <c r="Y144" s="131"/>
      <c r="Z144" s="247"/>
      <c r="AA144" s="66"/>
      <c r="AB144" s="66"/>
      <c r="AC144" s="66"/>
      <c r="AD144" s="66"/>
      <c r="AI144" s="279">
        <f>Main_Parameters!$BA$11</f>
        <v>7</v>
      </c>
      <c r="AJ144" s="266"/>
    </row>
    <row r="145" spans="2:36">
      <c r="B145" s="93" t="s">
        <v>1035</v>
      </c>
      <c r="C145" s="89" t="s">
        <v>1036</v>
      </c>
      <c r="D145" s="510" t="s">
        <v>1406</v>
      </c>
      <c r="E145" s="512" t="str">
        <f>DEC2HEX(O145,2)</f>
        <v>09</v>
      </c>
      <c r="F145" s="243" t="s">
        <v>1407</v>
      </c>
      <c r="G145" s="194">
        <f t="shared" si="10"/>
        <v>9</v>
      </c>
      <c r="H145"/>
      <c r="I145"/>
      <c r="J145"/>
      <c r="K145"/>
      <c r="L145" s="248" t="s">
        <v>1404</v>
      </c>
      <c r="M145" s="271"/>
      <c r="N145" s="256" t="str">
        <f>Main_Parameters!$R$5</f>
        <v>Enable</v>
      </c>
      <c r="O145" s="64">
        <f>P145*2^7+Q145*2^6+R145*2^5+S145*2^4+T145*2^3+U145*2^2+V145*2^1+W145</f>
        <v>9</v>
      </c>
      <c r="P145" s="276">
        <v>0</v>
      </c>
      <c r="Q145" s="276">
        <v>0</v>
      </c>
      <c r="R145" s="276">
        <v>0</v>
      </c>
      <c r="S145" s="276">
        <v>0</v>
      </c>
      <c r="T145" s="275">
        <v>1</v>
      </c>
      <c r="U145" s="275">
        <v>0</v>
      </c>
      <c r="V145" s="275">
        <v>0</v>
      </c>
      <c r="W145" s="281">
        <f>Main_Parameters!$R$17-1</f>
        <v>1</v>
      </c>
      <c r="X145" s="131"/>
      <c r="Y145" s="131"/>
      <c r="Z145" s="247"/>
      <c r="AA145" s="66"/>
      <c r="AB145" s="66"/>
      <c r="AC145" s="66"/>
      <c r="AD145" s="66"/>
      <c r="AJ145" s="266"/>
    </row>
    <row r="146" spans="2:36">
      <c r="B146" s="93" t="s">
        <v>1035</v>
      </c>
      <c r="C146" s="89" t="s">
        <v>1036</v>
      </c>
      <c r="D146" s="510" t="s">
        <v>1408</v>
      </c>
      <c r="E146" s="511" t="s">
        <v>1409</v>
      </c>
      <c r="F146" s="243" t="s">
        <v>1410</v>
      </c>
      <c r="G146" s="194">
        <f t="shared" si="10"/>
        <v>7</v>
      </c>
      <c r="H146"/>
      <c r="I146"/>
      <c r="J146"/>
      <c r="K146"/>
      <c r="L146" s="248" t="s">
        <v>1404</v>
      </c>
      <c r="M146" s="271"/>
      <c r="N146" s="64"/>
      <c r="O146" s="64"/>
      <c r="P146" s="64"/>
      <c r="Q146" s="64"/>
      <c r="R146" s="64"/>
      <c r="S146" s="64"/>
      <c r="T146" s="131"/>
      <c r="U146" s="131"/>
      <c r="V146" s="131"/>
      <c r="W146" s="131"/>
      <c r="X146" s="131"/>
      <c r="Y146" s="131"/>
      <c r="Z146" s="247"/>
      <c r="AA146" s="66"/>
      <c r="AB146" s="66"/>
      <c r="AC146" s="66"/>
      <c r="AD146" s="66"/>
      <c r="AJ146" s="266"/>
    </row>
    <row r="147" spans="2:36">
      <c r="B147" s="93" t="s">
        <v>1035</v>
      </c>
      <c r="C147" s="89" t="s">
        <v>1036</v>
      </c>
      <c r="D147" s="510" t="s">
        <v>1411</v>
      </c>
      <c r="E147" s="511" t="s">
        <v>1079</v>
      </c>
      <c r="F147" s="243" t="s">
        <v>1412</v>
      </c>
      <c r="G147" s="194">
        <f t="shared" si="10"/>
        <v>1</v>
      </c>
      <c r="H147"/>
      <c r="I147"/>
      <c r="J147"/>
      <c r="K147"/>
      <c r="L147" s="248" t="s">
        <v>1404</v>
      </c>
      <c r="M147" s="271"/>
      <c r="N147" s="64"/>
      <c r="O147" s="64"/>
      <c r="P147" s="64"/>
      <c r="Q147" s="64"/>
      <c r="R147" s="64"/>
      <c r="S147" s="64"/>
      <c r="T147" s="131"/>
      <c r="U147" s="131"/>
      <c r="V147" s="131"/>
      <c r="W147" s="131"/>
      <c r="X147" s="131"/>
      <c r="Y147" s="131"/>
      <c r="Z147" s="247"/>
      <c r="AA147" s="66"/>
      <c r="AB147" s="66"/>
      <c r="AC147" s="66"/>
      <c r="AD147" s="66"/>
      <c r="AJ147" s="266"/>
    </row>
    <row r="148" spans="2:36">
      <c r="B148" s="93" t="s">
        <v>1035</v>
      </c>
      <c r="C148" s="89" t="s">
        <v>1036</v>
      </c>
      <c r="D148" s="510" t="s">
        <v>1413</v>
      </c>
      <c r="E148" s="511" t="s">
        <v>1414</v>
      </c>
      <c r="F148" s="243" t="s">
        <v>1415</v>
      </c>
      <c r="G148" s="194">
        <f t="shared" si="10"/>
        <v>131</v>
      </c>
      <c r="H148"/>
      <c r="I148"/>
      <c r="J148"/>
      <c r="K148"/>
      <c r="L148" s="248" t="s">
        <v>1416</v>
      </c>
      <c r="M148" s="271"/>
      <c r="N148" s="64"/>
      <c r="O148" s="64"/>
      <c r="P148" s="64"/>
      <c r="Q148" s="64"/>
      <c r="R148" s="64"/>
      <c r="S148" s="64"/>
      <c r="T148" s="131"/>
      <c r="U148" s="131"/>
      <c r="V148" s="131"/>
      <c r="W148" s="131"/>
      <c r="X148" s="131"/>
      <c r="Y148" s="131"/>
      <c r="Z148" s="247"/>
      <c r="AA148" s="66"/>
      <c r="AB148" s="66"/>
      <c r="AC148" s="66"/>
      <c r="AD148" s="66"/>
      <c r="AJ148" s="266"/>
    </row>
    <row r="149" spans="2:36">
      <c r="B149" s="93" t="s">
        <v>1035</v>
      </c>
      <c r="C149" s="89" t="s">
        <v>1036</v>
      </c>
      <c r="D149" s="510" t="s">
        <v>1417</v>
      </c>
      <c r="E149" s="512" t="str">
        <f>DEC2HEX(Main_Parameters!$BE$3,2)</f>
        <v>01</v>
      </c>
      <c r="F149" s="243" t="s">
        <v>1418</v>
      </c>
      <c r="G149" s="194">
        <f t="shared" si="10"/>
        <v>1</v>
      </c>
      <c r="H149"/>
      <c r="I149"/>
      <c r="J149"/>
      <c r="K149"/>
      <c r="L149" s="248" t="s">
        <v>1416</v>
      </c>
      <c r="M149" s="271"/>
      <c r="N149" s="64"/>
      <c r="O149" s="64"/>
      <c r="P149"/>
      <c r="Q149"/>
      <c r="R149"/>
      <c r="S149"/>
      <c r="T149"/>
      <c r="U149"/>
      <c r="V149"/>
      <c r="W149"/>
      <c r="X149" s="131"/>
      <c r="Y149" s="131"/>
      <c r="Z149" s="247"/>
      <c r="AA149" s="66"/>
      <c r="AB149" s="66"/>
      <c r="AC149" s="66"/>
      <c r="AD149" s="66"/>
      <c r="AJ149" s="266"/>
    </row>
    <row r="150" spans="2:36">
      <c r="B150" s="93" t="s">
        <v>1035</v>
      </c>
      <c r="C150" s="89" t="s">
        <v>1036</v>
      </c>
      <c r="D150" s="510" t="s">
        <v>1419</v>
      </c>
      <c r="E150" s="512" t="str">
        <f>DEC2HEX(Main_Parameters!$BE$4,2)</f>
        <v>00</v>
      </c>
      <c r="F150" s="243" t="s">
        <v>1420</v>
      </c>
      <c r="G150" s="194">
        <f t="shared" si="10"/>
        <v>0</v>
      </c>
      <c r="H150"/>
      <c r="I150"/>
      <c r="J150"/>
      <c r="K150"/>
      <c r="L150" s="248" t="s">
        <v>1416</v>
      </c>
      <c r="M150" s="271"/>
      <c r="N150" s="64"/>
      <c r="O150" s="64"/>
      <c r="P150" s="64"/>
      <c r="Q150" s="64"/>
      <c r="R150" s="64"/>
      <c r="S150" s="64"/>
      <c r="T150" s="131"/>
      <c r="U150" s="131"/>
      <c r="V150" s="131"/>
      <c r="W150" s="131"/>
      <c r="X150" s="131"/>
      <c r="Y150" s="131"/>
      <c r="Z150" s="247"/>
      <c r="AA150" s="66"/>
      <c r="AB150" s="66"/>
      <c r="AC150" s="66"/>
      <c r="AD150" s="66"/>
      <c r="AJ150" s="266"/>
    </row>
    <row r="151" spans="2:36">
      <c r="B151" s="93" t="s">
        <v>1035</v>
      </c>
      <c r="C151" s="89" t="s">
        <v>1036</v>
      </c>
      <c r="D151" s="510" t="s">
        <v>1421</v>
      </c>
      <c r="E151" s="511" t="str">
        <f>DEC2HEX(N151,2)</f>
        <v>00</v>
      </c>
      <c r="F151" s="243"/>
      <c r="G151" s="194">
        <f t="shared" si="10"/>
        <v>0</v>
      </c>
      <c r="H151"/>
      <c r="I151"/>
      <c r="J151"/>
      <c r="K151"/>
      <c r="L151" s="248" t="s">
        <v>1416</v>
      </c>
      <c r="M151" s="271"/>
      <c r="N151" s="64"/>
      <c r="O151" s="64"/>
      <c r="P151" s="64"/>
      <c r="Q151" s="64"/>
      <c r="R151" s="64"/>
      <c r="S151" s="64"/>
      <c r="T151" s="131"/>
      <c r="U151" s="131"/>
      <c r="V151" s="131"/>
      <c r="W151" s="131"/>
      <c r="X151" s="131"/>
      <c r="Y151" s="131"/>
      <c r="Z151" s="247"/>
      <c r="AA151" s="66"/>
      <c r="AB151" s="66"/>
      <c r="AC151" s="66"/>
      <c r="AD151" s="66"/>
      <c r="AJ151" s="266"/>
    </row>
    <row r="152" spans="2:36">
      <c r="B152" s="93" t="s">
        <v>1035</v>
      </c>
      <c r="C152" s="89" t="s">
        <v>1036</v>
      </c>
      <c r="D152" s="510" t="s">
        <v>1422</v>
      </c>
      <c r="E152" s="511" t="s">
        <v>1423</v>
      </c>
      <c r="F152" s="243" t="s">
        <v>1424</v>
      </c>
      <c r="G152" s="194">
        <f t="shared" si="10"/>
        <v>101</v>
      </c>
      <c r="H152"/>
      <c r="I152"/>
      <c r="J152"/>
      <c r="K152"/>
      <c r="L152" s="248" t="s">
        <v>1425</v>
      </c>
      <c r="M152" s="271"/>
      <c r="N152" s="64"/>
      <c r="O152" s="64"/>
      <c r="P152" s="64"/>
      <c r="Q152" s="64"/>
      <c r="R152" s="64"/>
      <c r="S152" s="64"/>
      <c r="T152" s="131"/>
      <c r="U152" s="131"/>
      <c r="V152" s="131"/>
      <c r="W152" s="131"/>
      <c r="X152" s="131"/>
      <c r="Y152" s="131"/>
      <c r="Z152" s="247"/>
      <c r="AA152" s="66"/>
      <c r="AB152" s="66"/>
      <c r="AC152" s="66"/>
      <c r="AD152" s="66"/>
      <c r="AJ152" s="266"/>
    </row>
    <row r="153" spans="2:36">
      <c r="B153" s="93" t="s">
        <v>1035</v>
      </c>
      <c r="C153" s="89" t="s">
        <v>1036</v>
      </c>
      <c r="D153" s="510" t="s">
        <v>1426</v>
      </c>
      <c r="E153" s="511" t="s">
        <v>1083</v>
      </c>
      <c r="F153" s="243"/>
      <c r="G153" s="194">
        <f t="shared" si="10"/>
        <v>3</v>
      </c>
      <c r="H153"/>
      <c r="I153"/>
      <c r="J153"/>
      <c r="K153"/>
      <c r="L153" s="248" t="s">
        <v>1425</v>
      </c>
      <c r="M153" s="271"/>
      <c r="N153" s="64"/>
      <c r="O153" s="64"/>
      <c r="P153" s="64"/>
      <c r="Q153" s="64"/>
      <c r="R153" s="64"/>
      <c r="S153" s="64"/>
      <c r="T153" s="131"/>
      <c r="U153" s="131"/>
      <c r="V153" s="131"/>
      <c r="W153" s="131"/>
      <c r="X153" s="131"/>
      <c r="Y153" s="131"/>
      <c r="Z153" s="247"/>
      <c r="AA153" s="66"/>
      <c r="AB153" s="66"/>
      <c r="AC153" s="66"/>
      <c r="AD153" s="66"/>
      <c r="AJ153" s="266"/>
    </row>
    <row r="154" spans="2:36" ht="15" customHeight="1">
      <c r="B154" s="93" t="s">
        <v>1035</v>
      </c>
      <c r="C154" s="89" t="s">
        <v>1036</v>
      </c>
      <c r="D154" s="510" t="s">
        <v>1427</v>
      </c>
      <c r="E154" s="511" t="s">
        <v>1428</v>
      </c>
      <c r="F154" s="243"/>
      <c r="G154" s="194">
        <f t="shared" si="10"/>
        <v>12</v>
      </c>
      <c r="H154"/>
      <c r="I154"/>
      <c r="J154"/>
      <c r="K154"/>
      <c r="L154" s="248" t="s">
        <v>1425</v>
      </c>
      <c r="M154" s="271"/>
      <c r="N154" s="131"/>
      <c r="O154" s="131"/>
      <c r="P154" s="131"/>
      <c r="Q154" s="131"/>
      <c r="R154" s="131"/>
      <c r="S154" s="131"/>
      <c r="T154" s="131"/>
      <c r="U154" s="131"/>
      <c r="V154" s="131"/>
      <c r="W154" s="131"/>
      <c r="X154" s="131"/>
      <c r="Y154" s="131"/>
      <c r="Z154" s="247"/>
      <c r="AA154" s="247"/>
      <c r="AB154" s="247"/>
      <c r="AC154" s="247"/>
      <c r="AD154" s="247"/>
      <c r="AJ154" s="266"/>
    </row>
    <row r="155" spans="2:36">
      <c r="B155" s="93" t="s">
        <v>1035</v>
      </c>
      <c r="C155" s="89" t="s">
        <v>1036</v>
      </c>
      <c r="D155" s="510" t="s">
        <v>1429</v>
      </c>
      <c r="E155" s="511" t="s">
        <v>1038</v>
      </c>
      <c r="F155" s="243"/>
      <c r="G155" s="194">
        <f t="shared" si="10"/>
        <v>0</v>
      </c>
      <c r="H155"/>
      <c r="I155"/>
      <c r="J155"/>
      <c r="K155"/>
      <c r="L155" s="248" t="s">
        <v>1425</v>
      </c>
      <c r="M155" s="271"/>
      <c r="N155" s="131"/>
      <c r="O155" s="131"/>
      <c r="P155" s="131"/>
      <c r="Q155" s="131"/>
      <c r="R155" s="131"/>
      <c r="S155" s="131"/>
      <c r="T155" s="131"/>
      <c r="U155" s="131"/>
      <c r="V155" s="131"/>
      <c r="W155" s="131"/>
      <c r="X155" s="131"/>
      <c r="Y155" s="131"/>
      <c r="Z155" s="247"/>
      <c r="AA155" s="247"/>
      <c r="AB155" s="247"/>
      <c r="AC155" s="247"/>
      <c r="AD155" s="247"/>
      <c r="AJ155" s="266"/>
    </row>
    <row r="156" spans="2:36">
      <c r="B156" s="93" t="s">
        <v>1035</v>
      </c>
      <c r="C156" s="89" t="s">
        <v>1036</v>
      </c>
      <c r="D156" s="510" t="s">
        <v>1430</v>
      </c>
      <c r="E156" s="511" t="s">
        <v>1431</v>
      </c>
      <c r="F156" s="243"/>
      <c r="G156" s="194">
        <f t="shared" si="10"/>
        <v>16</v>
      </c>
      <c r="H156"/>
      <c r="I156"/>
      <c r="J156"/>
      <c r="K156"/>
      <c r="L156" s="248" t="s">
        <v>1425</v>
      </c>
      <c r="M156" s="271"/>
      <c r="N156" s="131"/>
      <c r="O156" s="131"/>
      <c r="P156" s="131"/>
      <c r="Q156" s="131"/>
      <c r="R156" s="131"/>
      <c r="S156" s="131"/>
      <c r="T156" s="131"/>
      <c r="U156" s="131"/>
      <c r="V156" s="131"/>
      <c r="W156" s="131"/>
      <c r="X156" s="131"/>
      <c r="Y156" s="131"/>
      <c r="Z156" s="247"/>
      <c r="AA156" s="247"/>
      <c r="AB156" s="247"/>
      <c r="AC156" s="247"/>
      <c r="AD156" s="247"/>
      <c r="AJ156" s="266"/>
    </row>
    <row r="157" spans="2:36">
      <c r="B157" s="93" t="s">
        <v>1035</v>
      </c>
      <c r="C157" s="89" t="s">
        <v>1036</v>
      </c>
      <c r="D157" s="510" t="s">
        <v>1432</v>
      </c>
      <c r="E157" s="511" t="s">
        <v>1038</v>
      </c>
      <c r="F157" s="243"/>
      <c r="G157" s="194">
        <f t="shared" si="10"/>
        <v>0</v>
      </c>
      <c r="H157"/>
      <c r="I157"/>
      <c r="J157"/>
      <c r="K157" s="194" t="str">
        <f>IF(Main_Parameters!$R$6="Select","Disable","Enable")</f>
        <v>Enable</v>
      </c>
      <c r="L157" s="248" t="s">
        <v>1425</v>
      </c>
      <c r="M157" s="271"/>
      <c r="N157" s="256" t="s">
        <v>1165</v>
      </c>
      <c r="O157" s="256" t="s">
        <v>1166</v>
      </c>
      <c r="P157" s="257" t="s">
        <v>1167</v>
      </c>
      <c r="Q157" s="256" t="s">
        <v>1168</v>
      </c>
      <c r="R157" s="256" t="s">
        <v>1169</v>
      </c>
      <c r="S157" s="256" t="s">
        <v>1170</v>
      </c>
      <c r="T157" s="256" t="s">
        <v>1171</v>
      </c>
      <c r="U157" s="256" t="s">
        <v>1172</v>
      </c>
      <c r="V157" s="256" t="s">
        <v>1173</v>
      </c>
      <c r="W157" s="256" t="s">
        <v>1174</v>
      </c>
      <c r="X157" s="131"/>
      <c r="Y157" s="131"/>
      <c r="Z157" s="247"/>
      <c r="AA157" s="247"/>
      <c r="AB157" s="247"/>
      <c r="AC157" s="247"/>
      <c r="AD157" s="247"/>
      <c r="AJ157" s="266"/>
    </row>
    <row r="158" spans="2:36" ht="15">
      <c r="B158" s="93" t="s">
        <v>1035</v>
      </c>
      <c r="C158" s="89" t="s">
        <v>1036</v>
      </c>
      <c r="D158" s="510" t="s">
        <v>1433</v>
      </c>
      <c r="E158" s="91" t="str">
        <f>DEC2HEX(N158,2)</f>
        <v>28</v>
      </c>
      <c r="F158" s="244" t="s">
        <v>1434</v>
      </c>
      <c r="G158" s="194">
        <f t="shared" si="10"/>
        <v>40</v>
      </c>
      <c r="H158" s="588" t="s">
        <v>1435</v>
      </c>
      <c r="I158" s="588"/>
      <c r="J158" s="588"/>
      <c r="K158" s="258" t="s">
        <v>1053</v>
      </c>
      <c r="L158" s="259" t="s">
        <v>1166</v>
      </c>
      <c r="M158" s="215"/>
      <c r="N158" s="260">
        <f>IF(Main_Parameters!$S$6="640x480p60Hz (1)",P158,IF(Main_Parameters!$S$6="720x480p60Hz (2)",Q158,IF(Main_Parameters!$S$6="1280x720p60Hz (4)",R158,IF(Main_Parameters!$S$6="1920x1080p60Hz (16)",S158,IF(Main_Parameters!$S$6="1920x1200p60Hz (68)",V158,IF(Main_Parameters!$S$6="2560x1600p60Hz (76)",W158,O158))))))</f>
        <v>40</v>
      </c>
      <c r="O158" s="260">
        <f>HEX2DEC(RIGHT(DEC2HEX(L159*100,4),2))</f>
        <v>40</v>
      </c>
      <c r="P158" s="261">
        <v>216</v>
      </c>
      <c r="Q158" s="261">
        <v>140</v>
      </c>
      <c r="R158" s="261">
        <v>1</v>
      </c>
      <c r="S158" s="261">
        <v>2</v>
      </c>
      <c r="T158" s="261">
        <v>100</v>
      </c>
      <c r="U158" s="261">
        <v>188</v>
      </c>
      <c r="V158" s="261">
        <v>40</v>
      </c>
      <c r="W158" s="261">
        <v>236</v>
      </c>
      <c r="X158" s="131"/>
      <c r="Y158" s="131"/>
      <c r="Z158" s="247"/>
      <c r="AA158" s="247"/>
      <c r="AB158" s="247"/>
      <c r="AC158" s="247"/>
      <c r="AD158" s="247"/>
      <c r="AJ158" s="266"/>
    </row>
    <row r="159" spans="2:36" ht="15">
      <c r="B159" s="93" t="s">
        <v>1035</v>
      </c>
      <c r="C159" s="89" t="s">
        <v>1036</v>
      </c>
      <c r="D159" s="510" t="s">
        <v>1436</v>
      </c>
      <c r="E159" s="91" t="str">
        <f t="shared" ref="E159:E176" si="14">DEC2HEX(N159,2)</f>
        <v>3C</v>
      </c>
      <c r="F159" s="244"/>
      <c r="G159" s="194">
        <f t="shared" si="10"/>
        <v>60</v>
      </c>
      <c r="H159" s="586" t="s">
        <v>1179</v>
      </c>
      <c r="I159" s="586"/>
      <c r="J159" s="252">
        <v>27</v>
      </c>
      <c r="K159" s="209" t="str">
        <f>IF(O139="Enable",IF(L159*100&gt;65535,"NG","OK"),"-")</f>
        <v>-</v>
      </c>
      <c r="L159" s="215">
        <f>IF(Main_Parameters!$S$6="Original",Main_Parameters!$C$20,J159)</f>
        <v>154</v>
      </c>
      <c r="M159" s="263"/>
      <c r="N159" s="264">
        <f>IF(Main_Parameters!$S$6="640x480p60Hz (1)",P159,IF(Main_Parameters!$S$6="720x480p60Hz (2)",Q159,IF(Main_Parameters!$S$6="1280x720p60Hz (4)",R159,IF(Main_Parameters!$S$6="1920x1080p60Hz (16)",S159,IF(Main_Parameters!$S$6="1920x1200p60Hz (68)",V159,IF(Main_Parameters!$S$6="2560x1600p60Hz (76)",W159,O159))))))</f>
        <v>60</v>
      </c>
      <c r="O159" s="264">
        <f>HEX2DEC(LEFT(DEC2HEX(L159*100,4),2))</f>
        <v>60</v>
      </c>
      <c r="P159" s="265">
        <v>9</v>
      </c>
      <c r="Q159" s="265">
        <v>10</v>
      </c>
      <c r="R159" s="265">
        <v>29</v>
      </c>
      <c r="S159" s="265">
        <v>58</v>
      </c>
      <c r="T159" s="265">
        <v>25</v>
      </c>
      <c r="U159" s="265">
        <v>27</v>
      </c>
      <c r="V159" s="265">
        <v>60</v>
      </c>
      <c r="W159" s="265">
        <v>104</v>
      </c>
      <c r="X159" s="131"/>
      <c r="Y159" s="131"/>
      <c r="Z159" s="247"/>
      <c r="AA159" s="247"/>
      <c r="AB159" s="247"/>
      <c r="AC159" s="247"/>
      <c r="AD159" s="247"/>
      <c r="AJ159" s="266"/>
    </row>
    <row r="160" spans="2:36" ht="15">
      <c r="B160" s="93" t="s">
        <v>1035</v>
      </c>
      <c r="C160" s="89" t="s">
        <v>1036</v>
      </c>
      <c r="D160" s="510" t="s">
        <v>1437</v>
      </c>
      <c r="E160" s="91" t="str">
        <f t="shared" si="14"/>
        <v>38</v>
      </c>
      <c r="F160" s="244" t="s">
        <v>1438</v>
      </c>
      <c r="G160" s="194">
        <f t="shared" si="10"/>
        <v>56</v>
      </c>
      <c r="H160" s="586" t="s">
        <v>1182</v>
      </c>
      <c r="I160" s="586"/>
      <c r="J160" s="252">
        <v>720</v>
      </c>
      <c r="K160" s="209" t="str">
        <f>IF(O139="Enable",IF(L160&gt;4095,"NG","OK"),"-")</f>
        <v>-</v>
      </c>
      <c r="L160" s="215">
        <f>IF(Main_Parameters!$S$6="Original",Main_Parameters!$F$20,J160)</f>
        <v>1080</v>
      </c>
      <c r="M160" s="263"/>
      <c r="N160" s="264">
        <f>IF(Main_Parameters!$S$6="640x480p60Hz (1)",P160,IF(Main_Parameters!$S$6="720x480p60Hz (2)",Q160,IF(Main_Parameters!$S$6="1280x720p60Hz (4)",R160,IF(Main_Parameters!$S$6="1920x1080p60Hz (16)",S160,IF(Main_Parameters!$S$6="1920x1200p60Hz (68)",V160,IF(Main_Parameters!$S$6="2560x1600p60Hz (76)",W160,O160))))))</f>
        <v>56</v>
      </c>
      <c r="O160" s="264">
        <f>HEX2DEC(RIGHT(DEC2HEX(L160,3),2))</f>
        <v>56</v>
      </c>
      <c r="P160" s="265">
        <v>128</v>
      </c>
      <c r="Q160" s="265">
        <v>208</v>
      </c>
      <c r="R160" s="265">
        <v>0</v>
      </c>
      <c r="S160" s="265">
        <v>128</v>
      </c>
      <c r="T160" s="265">
        <v>0</v>
      </c>
      <c r="U160" s="265">
        <v>0</v>
      </c>
      <c r="V160" s="265">
        <v>128</v>
      </c>
      <c r="W160" s="265">
        <v>0</v>
      </c>
      <c r="X160" s="131"/>
      <c r="Y160" s="131"/>
      <c r="Z160" s="247"/>
      <c r="AA160" s="247"/>
      <c r="AB160" s="247"/>
      <c r="AC160" s="247"/>
      <c r="AD160" s="247"/>
      <c r="AJ160" s="266"/>
    </row>
    <row r="161" spans="2:36" ht="15">
      <c r="B161" s="93" t="s">
        <v>1035</v>
      </c>
      <c r="C161" s="89" t="s">
        <v>1036</v>
      </c>
      <c r="D161" s="510" t="s">
        <v>1439</v>
      </c>
      <c r="E161" s="91" t="str">
        <f t="shared" si="14"/>
        <v>FA</v>
      </c>
      <c r="F161" s="244" t="s">
        <v>1440</v>
      </c>
      <c r="G161" s="194">
        <f t="shared" si="10"/>
        <v>250</v>
      </c>
      <c r="H161" s="586" t="s">
        <v>1185</v>
      </c>
      <c r="I161" s="586"/>
      <c r="J161" s="252">
        <v>62</v>
      </c>
      <c r="K161" s="209" t="str">
        <f>IF(O139="Enable",IF(L161&gt;1023,"NG","OK"),"-")</f>
        <v>-</v>
      </c>
      <c r="L161" s="215">
        <f>IF(Main_Parameters!$S$6="Original",Main_Parameters!$D$20,J161)</f>
        <v>50</v>
      </c>
      <c r="M161" s="263"/>
      <c r="N161" s="264">
        <f>IF(Main_Parameters!$S$6="640x480p60Hz (1)",P161,IF(Main_Parameters!$S$6="720x480p60Hz (2)",Q161,IF(Main_Parameters!$S$6="1280x720p60Hz (4)",R161,IF(Main_Parameters!$S$6="1920x1080p60Hz (16)",S161,IF(Main_Parameters!$S$6="1920x1200p60Hz (68)",V161,IF(Main_Parameters!$S$6="2560x1600p60Hz (76)",W161,O161))))))</f>
        <v>250</v>
      </c>
      <c r="O161" s="264">
        <f>HEX2DEC(RIGHT(DEC2HEX(L161+L162+L163,3),2))</f>
        <v>250</v>
      </c>
      <c r="P161" s="265">
        <v>160</v>
      </c>
      <c r="Q161" s="265">
        <v>138</v>
      </c>
      <c r="R161" s="265">
        <v>114</v>
      </c>
      <c r="S161" s="265">
        <v>24</v>
      </c>
      <c r="T161" s="265">
        <v>64</v>
      </c>
      <c r="U161" s="265">
        <v>160</v>
      </c>
      <c r="V161" s="265">
        <v>160</v>
      </c>
      <c r="W161" s="265">
        <v>160</v>
      </c>
      <c r="X161" s="131"/>
      <c r="Y161" s="131"/>
      <c r="Z161" s="247"/>
      <c r="AA161" s="247"/>
      <c r="AB161" s="247"/>
      <c r="AC161" s="247"/>
      <c r="AD161" s="247"/>
      <c r="AJ161" s="266"/>
    </row>
    <row r="162" spans="2:36" ht="15">
      <c r="B162" s="93" t="s">
        <v>1035</v>
      </c>
      <c r="C162" s="89" t="s">
        <v>1036</v>
      </c>
      <c r="D162" s="510" t="s">
        <v>1441</v>
      </c>
      <c r="E162" s="91" t="str">
        <f t="shared" si="14"/>
        <v>40</v>
      </c>
      <c r="F162" s="244" t="s">
        <v>1442</v>
      </c>
      <c r="G162" s="194">
        <f t="shared" si="10"/>
        <v>64</v>
      </c>
      <c r="H162" s="586" t="s">
        <v>1188</v>
      </c>
      <c r="I162" s="586"/>
      <c r="J162" s="252">
        <v>60</v>
      </c>
      <c r="K162" s="209" t="str">
        <f>IF(O139="Enable",IF(L161+L162+L163&gt;4095,"NG","OK"),"-")</f>
        <v>-</v>
      </c>
      <c r="L162" s="215">
        <f>IF(Main_Parameters!$S$6="Original",Main_Parameters!$E$20,J162)</f>
        <v>100</v>
      </c>
      <c r="M162" s="263"/>
      <c r="N162" s="264">
        <f>IF(Main_Parameters!$S$6="640x480p60Hz (1)",P162,IF(Main_Parameters!$S$6="720x480p60Hz (2)",Q162,IF(Main_Parameters!$S$6="1280x720p60Hz (4)",R162,IF(Main_Parameters!$S$6="1920x1080p60Hz (16)",S162,IF(Main_Parameters!$S$6="1920x1200p60Hz (68)",V162,IF(Main_Parameters!$S$6="2560x1600p60Hz (76)",W162,O162))))))</f>
        <v>64</v>
      </c>
      <c r="O162" s="264">
        <f>HEX2DEC((LEFT(DEC2HEX(L160,3),1)))*2^4+HEX2DEC(LEFT(DEC2HEX(L161+L162+L163,3),1))</f>
        <v>64</v>
      </c>
      <c r="P162" s="265">
        <v>32</v>
      </c>
      <c r="Q162" s="265">
        <v>32</v>
      </c>
      <c r="R162" s="265">
        <v>81</v>
      </c>
      <c r="S162" s="265">
        <v>113</v>
      </c>
      <c r="T162" s="265">
        <v>65</v>
      </c>
      <c r="U162" s="265">
        <v>80</v>
      </c>
      <c r="V162" s="265">
        <v>112</v>
      </c>
      <c r="W162" s="265">
        <v>160</v>
      </c>
      <c r="X162" s="131"/>
      <c r="Y162" s="131"/>
      <c r="Z162" s="247"/>
      <c r="AA162" s="247"/>
      <c r="AB162" s="247"/>
      <c r="AC162" s="247"/>
      <c r="AD162" s="247"/>
      <c r="AJ162" s="266"/>
    </row>
    <row r="163" spans="2:36" ht="15">
      <c r="B163" s="93" t="s">
        <v>1035</v>
      </c>
      <c r="C163" s="89" t="s">
        <v>1036</v>
      </c>
      <c r="D163" s="510" t="s">
        <v>1443</v>
      </c>
      <c r="E163" s="91" t="str">
        <f t="shared" si="14"/>
        <v>80</v>
      </c>
      <c r="F163" s="244" t="s">
        <v>1444</v>
      </c>
      <c r="G163" s="194">
        <f t="shared" si="10"/>
        <v>128</v>
      </c>
      <c r="H163" s="586" t="s">
        <v>1191</v>
      </c>
      <c r="I163" s="586"/>
      <c r="J163" s="252">
        <v>16</v>
      </c>
      <c r="K163" s="209" t="str">
        <f>IF(O139="Enable",IF(L163&gt;1023,"NG","OK"),"-")</f>
        <v>-</v>
      </c>
      <c r="L163" s="215">
        <f>IF(Main_Parameters!$S$6="Original",Main_Parameters!$G$20,J163)</f>
        <v>100</v>
      </c>
      <c r="M163" s="263"/>
      <c r="N163" s="264">
        <f>IF(Main_Parameters!$S$6="640x480p60Hz (1)",P163,IF(Main_Parameters!$S$6="720x480p60Hz (2)",Q163,IF(Main_Parameters!$S$6="1280x720p60Hz (4)",R163,IF(Main_Parameters!$S$6="1920x1080p60Hz (16)",S163,IF(Main_Parameters!$S$6="1920x1200p60Hz (68)",V163,IF(Main_Parameters!$S$6="2560x1600p60Hz (76)",W163,O163))))))</f>
        <v>128</v>
      </c>
      <c r="O163" s="264">
        <f>HEX2DEC(RIGHT(DEC2HEX(L164,3),2))</f>
        <v>128</v>
      </c>
      <c r="P163" s="265">
        <v>224</v>
      </c>
      <c r="Q163" s="265">
        <v>224</v>
      </c>
      <c r="R163" s="265">
        <v>208</v>
      </c>
      <c r="S163" s="265">
        <v>56</v>
      </c>
      <c r="T163" s="265">
        <v>0</v>
      </c>
      <c r="U163" s="265">
        <v>32</v>
      </c>
      <c r="V163" s="265">
        <v>176</v>
      </c>
      <c r="W163" s="265">
        <v>64</v>
      </c>
      <c r="X163" s="131"/>
      <c r="Y163" s="131"/>
      <c r="Z163" s="247"/>
      <c r="AA163" s="247"/>
      <c r="AB163" s="247"/>
      <c r="AC163" s="247"/>
      <c r="AD163" s="247"/>
      <c r="AJ163" s="266"/>
    </row>
    <row r="164" spans="2:36" ht="15">
      <c r="B164" s="93" t="s">
        <v>1035</v>
      </c>
      <c r="C164" s="89" t="s">
        <v>1036</v>
      </c>
      <c r="D164" s="510" t="s">
        <v>1445</v>
      </c>
      <c r="E164" s="91" t="str">
        <f t="shared" si="14"/>
        <v>0C</v>
      </c>
      <c r="F164" s="244" t="s">
        <v>1446</v>
      </c>
      <c r="G164" s="194">
        <f t="shared" si="10"/>
        <v>12</v>
      </c>
      <c r="H164" s="586" t="s">
        <v>1194</v>
      </c>
      <c r="I164" s="586"/>
      <c r="J164" s="252">
        <v>480</v>
      </c>
      <c r="K164" s="209" t="str">
        <f>IF(O139="Enable",IF(L164&gt;4095,"NG","OK"),"-")</f>
        <v>-</v>
      </c>
      <c r="L164" s="215">
        <f>IF(Main_Parameters!$S$6="Original",Main_Parameters!$J$20,J164)</f>
        <v>1920</v>
      </c>
      <c r="M164" s="263"/>
      <c r="N164" s="264">
        <f>IF(Main_Parameters!$S$6="640x480p60Hz (1)",P164,IF(Main_Parameters!$S$6="720x480p60Hz (2)",Q164,IF(Main_Parameters!$S$6="1280x720p60Hz (4)",R164,IF(Main_Parameters!$S$6="1920x1080p60Hz (16)",S164,IF(Main_Parameters!$S$6="1920x1200p60Hz (68)",V164,IF(Main_Parameters!$S$6="2560x1600p60Hz (76)",W164,O164))))))</f>
        <v>12</v>
      </c>
      <c r="O164" s="264">
        <f>HEX2DEC(RIGHT(DEC2HEX(L165+L166+L167,3),2))</f>
        <v>12</v>
      </c>
      <c r="P164" s="265">
        <v>45</v>
      </c>
      <c r="Q164" s="265">
        <v>45</v>
      </c>
      <c r="R164" s="265">
        <v>30</v>
      </c>
      <c r="S164" s="265">
        <v>45</v>
      </c>
      <c r="T164" s="265">
        <v>38</v>
      </c>
      <c r="U164" s="265">
        <v>23</v>
      </c>
      <c r="V164" s="265">
        <v>35</v>
      </c>
      <c r="W164" s="265">
        <v>46</v>
      </c>
      <c r="X164" s="131"/>
      <c r="Y164" s="131"/>
      <c r="Z164" s="247"/>
      <c r="AA164" s="247"/>
      <c r="AB164" s="247"/>
      <c r="AC164" s="247"/>
      <c r="AD164" s="247"/>
      <c r="AJ164" s="266"/>
    </row>
    <row r="165" spans="2:36" ht="15">
      <c r="B165" s="93" t="s">
        <v>1035</v>
      </c>
      <c r="C165" s="89" t="s">
        <v>1036</v>
      </c>
      <c r="D165" s="510" t="s">
        <v>1447</v>
      </c>
      <c r="E165" s="91" t="str">
        <f t="shared" si="14"/>
        <v>70</v>
      </c>
      <c r="F165" s="244" t="s">
        <v>1448</v>
      </c>
      <c r="G165" s="194">
        <f t="shared" si="10"/>
        <v>112</v>
      </c>
      <c r="H165" s="586" t="s">
        <v>1197</v>
      </c>
      <c r="I165" s="586"/>
      <c r="J165" s="252">
        <v>6</v>
      </c>
      <c r="K165" s="209" t="str">
        <f>IF(O139="Enable",IF(L165&gt;15,"NG","OK"),"-")</f>
        <v>-</v>
      </c>
      <c r="L165" s="215">
        <f>IF(Main_Parameters!$S$6="Original",Main_Parameters!$H$20,J165)</f>
        <v>4</v>
      </c>
      <c r="M165" s="263"/>
      <c r="N165" s="264">
        <f>IF(Main_Parameters!$S$6="640x480p60Hz (1)",P165,IF(Main_Parameters!$S$6="720x480p60Hz (2)",Q165,IF(Main_Parameters!$S$6="1280x720p60Hz (4)",R165,IF(Main_Parameters!$S$6="1920x1080p60Hz (16)",S165,IF(Main_Parameters!$S$6="1920x1200p60Hz (68)",V165,IF(Main_Parameters!$S$6="2560x1600p60Hz (76)",W165,O165))))))</f>
        <v>112</v>
      </c>
      <c r="O165" s="264">
        <f>HEX2DEC((LEFT(DEC2HEX(L164,3),1)))*2^4+HEX2DEC(LEFT(DEC2HEX(L165+L166+L167,3),1))</f>
        <v>112</v>
      </c>
      <c r="P165" s="265">
        <v>16</v>
      </c>
      <c r="Q165" s="265">
        <v>16</v>
      </c>
      <c r="R165" s="265">
        <v>32</v>
      </c>
      <c r="S165" s="265">
        <v>64</v>
      </c>
      <c r="T165" s="265">
        <v>48</v>
      </c>
      <c r="U165" s="265">
        <v>48</v>
      </c>
      <c r="V165" s="265">
        <v>64</v>
      </c>
      <c r="W165" s="265">
        <v>96</v>
      </c>
      <c r="X165" s="131"/>
      <c r="Y165" s="131"/>
      <c r="Z165" s="247"/>
      <c r="AA165" s="247"/>
      <c r="AB165" s="247"/>
      <c r="AC165" s="247"/>
      <c r="AD165" s="247"/>
      <c r="AJ165" s="266"/>
    </row>
    <row r="166" spans="2:36" ht="15">
      <c r="B166" s="93" t="s">
        <v>1035</v>
      </c>
      <c r="C166" s="89" t="s">
        <v>1036</v>
      </c>
      <c r="D166" s="510" t="s">
        <v>1449</v>
      </c>
      <c r="E166" s="91" t="str">
        <f t="shared" si="14"/>
        <v>64</v>
      </c>
      <c r="F166" s="244" t="s">
        <v>1450</v>
      </c>
      <c r="G166" s="194">
        <f t="shared" si="10"/>
        <v>100</v>
      </c>
      <c r="H166" s="586" t="s">
        <v>1200</v>
      </c>
      <c r="I166" s="586"/>
      <c r="J166" s="252">
        <v>30</v>
      </c>
      <c r="K166" s="209" t="str">
        <f>IF(O139="Enable",IF(L165+L166+L167&gt;4095,"NG","OK"),"-")</f>
        <v>-</v>
      </c>
      <c r="L166" s="215">
        <f>IF(Main_Parameters!$S$6="Original",Main_Parameters!$I$20,J166)</f>
        <v>4</v>
      </c>
      <c r="M166" s="263"/>
      <c r="N166" s="264">
        <f>IF(Main_Parameters!$S$6="640x480p60Hz (1)",P166,IF(Main_Parameters!$S$6="720x480p60Hz (2)",Q166,IF(Main_Parameters!$S$6="1280x720p60Hz (4)",R166,IF(Main_Parameters!$S$6="1920x1080p60Hz (16)",S166,IF(Main_Parameters!$S$6="1920x1200p60Hz (68)",V166,IF(Main_Parameters!$S$6="2560x1600p60Hz (76)",W166,O166))))))</f>
        <v>100</v>
      </c>
      <c r="O166" s="264">
        <f>HEX2DEC(RIGHT(DEC2HEX(L163,3),2))</f>
        <v>100</v>
      </c>
      <c r="P166" s="265">
        <v>16</v>
      </c>
      <c r="Q166" s="265">
        <v>16</v>
      </c>
      <c r="R166" s="265">
        <v>110</v>
      </c>
      <c r="S166" s="265">
        <v>88</v>
      </c>
      <c r="T166" s="265">
        <v>24</v>
      </c>
      <c r="U166" s="265">
        <v>48</v>
      </c>
      <c r="V166" s="265">
        <v>48</v>
      </c>
      <c r="W166" s="265">
        <v>48</v>
      </c>
      <c r="X166" s="131"/>
      <c r="Y166" s="131"/>
      <c r="Z166" s="247"/>
      <c r="AA166" s="66"/>
      <c r="AB166" s="66"/>
      <c r="AC166" s="66"/>
      <c r="AD166" s="66"/>
      <c r="AJ166" s="266"/>
    </row>
    <row r="167" spans="2:36" ht="15">
      <c r="B167" s="93" t="s">
        <v>1035</v>
      </c>
      <c r="C167" s="89" t="s">
        <v>1036</v>
      </c>
      <c r="D167" s="510" t="s">
        <v>1451</v>
      </c>
      <c r="E167" s="91" t="str">
        <f t="shared" si="14"/>
        <v>32</v>
      </c>
      <c r="F167" s="244" t="s">
        <v>1452</v>
      </c>
      <c r="G167" s="194">
        <f t="shared" si="10"/>
        <v>50</v>
      </c>
      <c r="H167" s="586" t="s">
        <v>1203</v>
      </c>
      <c r="I167" s="586"/>
      <c r="J167" s="252">
        <v>9</v>
      </c>
      <c r="K167" s="209" t="str">
        <f>IF(O139="Enable",IF(L167&gt;15,"NG","OK"),"-")</f>
        <v>-</v>
      </c>
      <c r="L167" s="215">
        <f>IF(Main_Parameters!$S$6="Original",Main_Parameters!$K$20,J167)</f>
        <v>4</v>
      </c>
      <c r="M167" s="263"/>
      <c r="N167" s="264">
        <f>IF(Main_Parameters!$S$6="640x480p60Hz (1)",P167,IF(Main_Parameters!$S$6="720x480p60Hz (2)",Q167,IF(Main_Parameters!$S$6="1280x720p60Hz (4)",R167,IF(Main_Parameters!$S$6="1920x1080p60Hz (16)",S167,IF(Main_Parameters!$S$6="1920x1200p60Hz (68)",V167,IF(Main_Parameters!$S$6="2560x1600p60Hz (76)",W167,O167))))))</f>
        <v>50</v>
      </c>
      <c r="O167" s="264">
        <f>HEX2DEC(RIGHT(DEC2HEX(L161,3),2))</f>
        <v>50</v>
      </c>
      <c r="P167" s="265">
        <v>96</v>
      </c>
      <c r="Q167" s="265">
        <v>62</v>
      </c>
      <c r="R167" s="265">
        <v>40</v>
      </c>
      <c r="S167" s="265">
        <v>44</v>
      </c>
      <c r="T167" s="265">
        <v>136</v>
      </c>
      <c r="U167" s="265">
        <v>32</v>
      </c>
      <c r="V167" s="265">
        <v>32</v>
      </c>
      <c r="W167" s="265">
        <v>32</v>
      </c>
      <c r="X167" s="131"/>
      <c r="Y167" s="131"/>
      <c r="Z167" s="247"/>
      <c r="AA167" s="66"/>
      <c r="AB167" s="66"/>
      <c r="AC167" s="66"/>
      <c r="AD167" s="66"/>
      <c r="AJ167" s="266"/>
    </row>
    <row r="168" spans="2:36" ht="15">
      <c r="B168" s="93" t="s">
        <v>1035</v>
      </c>
      <c r="C168" s="89" t="s">
        <v>1036</v>
      </c>
      <c r="D168" s="510" t="s">
        <v>1453</v>
      </c>
      <c r="E168" s="91" t="str">
        <f t="shared" si="14"/>
        <v>44</v>
      </c>
      <c r="F168" s="244" t="s">
        <v>1454</v>
      </c>
      <c r="G168" s="194">
        <f t="shared" si="10"/>
        <v>68</v>
      </c>
      <c r="H168" s="586" t="s">
        <v>1206</v>
      </c>
      <c r="I168" s="586"/>
      <c r="J168" s="252">
        <v>192</v>
      </c>
      <c r="K168" s="209" t="str">
        <f>IF(AI139="Disable",IF(L168&gt;4095,"NG","OK"),"-")</f>
        <v>-</v>
      </c>
      <c r="L168" s="215">
        <f>IF(Main_Parameters!$S$6="Original",Main_Parameters!$O$23,J168)</f>
        <v>192</v>
      </c>
      <c r="M168" s="263"/>
      <c r="N168" s="264">
        <f>IF(Main_Parameters!$S$6="640x480p60Hz (1)",P168,IF(Main_Parameters!$S$6="720x480p60Hz (2)",Q168,IF(Main_Parameters!$S$6="1280x720p60Hz (4)",R168,IF(Main_Parameters!$S$6="1920x1080p60Hz (16)",S168,IF(Main_Parameters!$S$6="1920x1200p60Hz (68)",V168,IF(Main_Parameters!$S$6="2560x1600p60Hz (76)",W168,O168))))))</f>
        <v>68</v>
      </c>
      <c r="O168" s="264">
        <f>HEX2DEC(RIGHT(DEC2HEX(L167,2),1))*2^4+HEX2DEC(RIGHT(DEC2HEX(L165,2),1))</f>
        <v>68</v>
      </c>
      <c r="P168" s="265">
        <v>162</v>
      </c>
      <c r="Q168" s="265">
        <v>150</v>
      </c>
      <c r="R168" s="265">
        <v>85</v>
      </c>
      <c r="S168" s="265">
        <v>69</v>
      </c>
      <c r="T168" s="265">
        <v>54</v>
      </c>
      <c r="U168" s="265">
        <v>54</v>
      </c>
      <c r="V168" s="265">
        <v>54</v>
      </c>
      <c r="W168" s="265">
        <v>54</v>
      </c>
      <c r="X168" s="131"/>
      <c r="Y168" s="131"/>
      <c r="Z168" s="247"/>
      <c r="AA168" s="66"/>
      <c r="AB168" s="66"/>
      <c r="AC168" s="66"/>
      <c r="AD168" s="66"/>
      <c r="AJ168" s="266"/>
    </row>
    <row r="169" spans="2:36" ht="15">
      <c r="B169" s="93" t="s">
        <v>1035</v>
      </c>
      <c r="C169" s="89" t="s">
        <v>1036</v>
      </c>
      <c r="D169" s="510" t="s">
        <v>1455</v>
      </c>
      <c r="E169" s="91" t="str">
        <f t="shared" si="14"/>
        <v>00</v>
      </c>
      <c r="F169" s="244" t="s">
        <v>1456</v>
      </c>
      <c r="G169" s="194">
        <f t="shared" si="10"/>
        <v>0</v>
      </c>
      <c r="H169" s="586" t="s">
        <v>1209</v>
      </c>
      <c r="I169" s="586"/>
      <c r="J169" s="252">
        <v>120</v>
      </c>
      <c r="K169" s="209" t="str">
        <f>IF(AI139="Disable",IF(L169&gt;4095,"NG","OK"),"-")</f>
        <v>-</v>
      </c>
      <c r="L169" s="215">
        <f>IF(Main_Parameters!$S$6="Original",Main_Parameters!$O$24,J169)</f>
        <v>120</v>
      </c>
      <c r="M169" s="263"/>
      <c r="N169" s="264">
        <f>IF(Main_Parameters!$S$6="640x480p60Hz (1)",P169,IF(Main_Parameters!$S$6="720x480p60Hz (2)",Q169,IF(Main_Parameters!$S$6="1280x720p60Hz (4)",R169,IF(Main_Parameters!$S$6="1920x1080p60Hz (16)",S169,IF(Main_Parameters!$S$6="1920x1200p60Hz (68)",V169,IF(Main_Parameters!$S$6="2560x1600p60Hz (76)",W169,O169))))))</f>
        <v>0</v>
      </c>
      <c r="O169" s="264">
        <f>HEX2DEC(LEFT(DEC2HEX(L163,3),1))*2^6+HEX2DEC(LEFT(DEC2HEX(L161,3),1))*2^4+HEX2DEC(LEFT(DEC2HEX(L167,2),1))*2^2+HEX2DEC(LEFT(DEC2HEX(L165,2),1))</f>
        <v>0</v>
      </c>
      <c r="P169" s="265">
        <v>0</v>
      </c>
      <c r="Q169" s="265">
        <v>0</v>
      </c>
      <c r="R169" s="265">
        <v>0</v>
      </c>
      <c r="S169" s="265">
        <v>0</v>
      </c>
      <c r="T169" s="265">
        <v>0</v>
      </c>
      <c r="U169" s="265">
        <v>0</v>
      </c>
      <c r="V169" s="265">
        <v>0</v>
      </c>
      <c r="W169" s="265">
        <v>0</v>
      </c>
      <c r="X169" s="131"/>
      <c r="Y169" s="131"/>
      <c r="Z169" s="247"/>
      <c r="AA169" s="66"/>
      <c r="AB169" s="66"/>
      <c r="AC169" s="66"/>
      <c r="AD169" s="66"/>
      <c r="AJ169" s="266"/>
    </row>
    <row r="170" spans="2:36" ht="15">
      <c r="B170" s="93" t="s">
        <v>1035</v>
      </c>
      <c r="C170" s="89" t="s">
        <v>1036</v>
      </c>
      <c r="D170" s="510" t="s">
        <v>1457</v>
      </c>
      <c r="E170" s="91" t="str">
        <f t="shared" si="14"/>
        <v>C0</v>
      </c>
      <c r="F170" s="244" t="s">
        <v>1458</v>
      </c>
      <c r="G170" s="194">
        <f t="shared" si="10"/>
        <v>192</v>
      </c>
      <c r="H170" s="586" t="s">
        <v>1212</v>
      </c>
      <c r="I170" s="586"/>
      <c r="J170" s="270" t="s">
        <v>768</v>
      </c>
      <c r="K170" s="194">
        <f>IF(L170="Interlace",1,0)</f>
        <v>0</v>
      </c>
      <c r="L170" s="215" t="str">
        <f>IF(Main_Parameters!$S$6="Original",Main_Parameters!$M$21,J170)</f>
        <v>Progressive</v>
      </c>
      <c r="M170" s="271"/>
      <c r="N170" s="264">
        <f>IF(Main_Parameters!$S$6="640x480p60Hz (1)",P170,IF(Main_Parameters!$S$6="720x480p60Hz (2)",Q170,IF(Main_Parameters!$S$6="1280x720p60Hz (4)",R170,IF(Main_Parameters!$S$6="1920x1080p60Hz (16)",S170,IF(Main_Parameters!$S$6="1920x1200p60Hz (68)",V170,IF(Main_Parameters!$S$6="2560x1600p60Hz (76)",W170,O170))))))</f>
        <v>192</v>
      </c>
      <c r="O170" s="264">
        <f>HEX2DEC(RIGHT(DEC2HEX(L168,3),2))</f>
        <v>192</v>
      </c>
      <c r="P170" s="265">
        <v>196</v>
      </c>
      <c r="Q170" s="265">
        <v>19</v>
      </c>
      <c r="R170" s="265">
        <v>196</v>
      </c>
      <c r="S170" s="265">
        <v>196</v>
      </c>
      <c r="T170" s="265">
        <v>0</v>
      </c>
      <c r="U170" s="265">
        <v>0</v>
      </c>
      <c r="V170" s="265">
        <v>128</v>
      </c>
      <c r="W170" s="265">
        <v>0</v>
      </c>
      <c r="X170" s="131"/>
      <c r="Y170" s="131"/>
      <c r="Z170" s="247"/>
      <c r="AA170" s="66"/>
      <c r="AB170" s="66"/>
      <c r="AC170" s="66"/>
      <c r="AD170" s="66"/>
      <c r="AJ170" s="266"/>
    </row>
    <row r="171" spans="2:36" ht="15">
      <c r="B171" s="93" t="s">
        <v>1035</v>
      </c>
      <c r="C171" s="89" t="s">
        <v>1036</v>
      </c>
      <c r="D171" s="510" t="s">
        <v>1459</v>
      </c>
      <c r="E171" s="91" t="str">
        <f t="shared" si="14"/>
        <v>78</v>
      </c>
      <c r="F171" s="244" t="s">
        <v>1460</v>
      </c>
      <c r="G171" s="194">
        <f t="shared" si="10"/>
        <v>120</v>
      </c>
      <c r="H171" s="586" t="s">
        <v>1215</v>
      </c>
      <c r="I171" s="586"/>
      <c r="J171" s="270" t="s">
        <v>774</v>
      </c>
      <c r="K171" s="194">
        <f>IF(L171="H Active",1,0)</f>
        <v>0</v>
      </c>
      <c r="L171" s="215" t="str">
        <f>IF(Main_Parameters!$S$6="Original",Main_Parameters!$M$24,J171)</f>
        <v>L Active</v>
      </c>
      <c r="M171" s="271"/>
      <c r="N171" s="264">
        <f>IF(Main_Parameters!$S$6="640x480p60Hz (1)",P171,IF(Main_Parameters!$S$6="720x480p60Hz (2)",Q171,IF(Main_Parameters!$S$6="1280x720p60Hz (4)",R171,IF(Main_Parameters!$S$6="1920x1080p60Hz (16)",S171,IF(Main_Parameters!$S$6="1920x1200p60Hz (68)",V171,IF(Main_Parameters!$S$6="2560x1600p60Hz (76)",W171,O171))))))</f>
        <v>120</v>
      </c>
      <c r="O171" s="264">
        <f>HEX2DEC(RIGHT(DEC2HEX(L169,3),2))</f>
        <v>120</v>
      </c>
      <c r="P171" s="265">
        <v>142</v>
      </c>
      <c r="Q171" s="265">
        <v>142</v>
      </c>
      <c r="R171" s="265">
        <v>142</v>
      </c>
      <c r="S171" s="265">
        <v>142</v>
      </c>
      <c r="T171" s="265">
        <v>0</v>
      </c>
      <c r="U171" s="265">
        <v>32</v>
      </c>
      <c r="V171" s="265">
        <v>176</v>
      </c>
      <c r="W171" s="265">
        <v>64</v>
      </c>
      <c r="X171" s="131"/>
      <c r="Y171" s="131"/>
      <c r="Z171" s="247"/>
      <c r="AA171" s="66"/>
      <c r="AB171" s="66"/>
      <c r="AC171" s="66"/>
      <c r="AD171" s="66"/>
      <c r="AJ171" s="266"/>
    </row>
    <row r="172" spans="2:36" ht="15">
      <c r="B172" s="93" t="s">
        <v>1035</v>
      </c>
      <c r="C172" s="89" t="s">
        <v>1036</v>
      </c>
      <c r="D172" s="510" t="s">
        <v>1461</v>
      </c>
      <c r="E172" s="91" t="str">
        <f t="shared" si="14"/>
        <v>00</v>
      </c>
      <c r="F172" s="244" t="s">
        <v>1462</v>
      </c>
      <c r="G172" s="194">
        <f t="shared" si="10"/>
        <v>0</v>
      </c>
      <c r="H172" s="586" t="s">
        <v>1218</v>
      </c>
      <c r="I172" s="586"/>
      <c r="J172" s="270" t="s">
        <v>774</v>
      </c>
      <c r="K172" s="194">
        <f>IF(L172="H Active",1,0)</f>
        <v>0</v>
      </c>
      <c r="L172" s="215" t="str">
        <f>IF(Main_Parameters!$S$6="Original",Main_Parameters!$M$23,J172)</f>
        <v>L Active</v>
      </c>
      <c r="M172" s="271"/>
      <c r="N172" s="264">
        <f>IF(Main_Parameters!$S$6="640x480p60Hz (1)",P172,IF(Main_Parameters!$S$6="720x480p60Hz (2)",Q172,IF(Main_Parameters!$S$6="1280x720p60Hz (4)",R172,IF(Main_Parameters!$S$6="1920x1080p60Hz (16)",S172,IF(Main_Parameters!$S$6="1920x1200p60Hz (68)",V172,IF(Main_Parameters!$S$6="2560x1600p60Hz (76)",W172,O172))))))</f>
        <v>0</v>
      </c>
      <c r="O172" s="264">
        <f>HEX2DEC((LEFT(DEC2HEX(L168,3),1)))*2^4+HEX2DEC(LEFT(DEC2HEX(L169,3),1))</f>
        <v>0</v>
      </c>
      <c r="P172" s="265">
        <v>33</v>
      </c>
      <c r="Q172" s="265">
        <v>33</v>
      </c>
      <c r="R172" s="265">
        <v>33</v>
      </c>
      <c r="S172" s="265">
        <v>33</v>
      </c>
      <c r="T172" s="265">
        <v>67</v>
      </c>
      <c r="U172" s="265">
        <v>83</v>
      </c>
      <c r="V172" s="265">
        <v>116</v>
      </c>
      <c r="W172" s="265">
        <v>166</v>
      </c>
      <c r="X172" s="131"/>
      <c r="Y172" s="131"/>
      <c r="Z172" s="247"/>
      <c r="AA172" s="66"/>
      <c r="AB172" s="66"/>
      <c r="AC172" s="66"/>
      <c r="AD172" s="66"/>
      <c r="AJ172" s="266"/>
    </row>
    <row r="173" spans="2:36">
      <c r="B173" s="93" t="s">
        <v>1035</v>
      </c>
      <c r="C173" s="89" t="s">
        <v>1036</v>
      </c>
      <c r="D173" s="510" t="s">
        <v>1463</v>
      </c>
      <c r="E173" s="91" t="str">
        <f t="shared" si="14"/>
        <v>00</v>
      </c>
      <c r="F173" s="244" t="s">
        <v>1464</v>
      </c>
      <c r="G173" s="194">
        <f t="shared" si="10"/>
        <v>0</v>
      </c>
      <c r="H173"/>
      <c r="I173"/>
      <c r="J173"/>
      <c r="K173" s="194">
        <f>K170*2^7+3*2^3+K171*2^2+K172*2^1</f>
        <v>24</v>
      </c>
      <c r="L173" s="271"/>
      <c r="M173" s="271"/>
      <c r="N173" s="264">
        <f>IF(Main_Parameters!$S$6="640x480p60Hz (1)",P173,IF(Main_Parameters!$S$6="720x480p60Hz (2)",Q173,IF(Main_Parameters!$S$6="1280x720p60Hz (4)",R173,IF(Main_Parameters!$S$6="1920x1080p60Hz (16)",S173,IF(Main_Parameters!$S$6="1920x1200p60Hz (68)",V173,IF(Main_Parameters!$S$6="2560x1600p60Hz (76)",W173,O173))))))</f>
        <v>0</v>
      </c>
      <c r="O173" s="264">
        <v>0</v>
      </c>
      <c r="P173" s="265">
        <v>0</v>
      </c>
      <c r="Q173" s="265">
        <v>0</v>
      </c>
      <c r="R173" s="265">
        <v>0</v>
      </c>
      <c r="S173" s="265">
        <v>0</v>
      </c>
      <c r="T173" s="265">
        <v>0</v>
      </c>
      <c r="U173" s="265">
        <v>0</v>
      </c>
      <c r="V173" s="265">
        <v>0</v>
      </c>
      <c r="W173" s="265">
        <v>0</v>
      </c>
      <c r="X173" s="131"/>
      <c r="Y173" s="131"/>
      <c r="Z173" s="247"/>
      <c r="AA173" s="66"/>
      <c r="AB173" s="66"/>
      <c r="AC173" s="66"/>
      <c r="AD173" s="66"/>
      <c r="AJ173" s="266"/>
    </row>
    <row r="174" spans="2:36">
      <c r="B174" s="93" t="s">
        <v>1035</v>
      </c>
      <c r="C174" s="89" t="s">
        <v>1036</v>
      </c>
      <c r="D174" s="510" t="s">
        <v>1465</v>
      </c>
      <c r="E174" s="91" t="str">
        <f t="shared" si="14"/>
        <v>00</v>
      </c>
      <c r="F174" s="244" t="s">
        <v>1466</v>
      </c>
      <c r="G174" s="194">
        <f t="shared" si="10"/>
        <v>0</v>
      </c>
      <c r="H174"/>
      <c r="I174"/>
      <c r="J174"/>
      <c r="K174"/>
      <c r="L174" s="271"/>
      <c r="M174" s="271"/>
      <c r="N174" s="264">
        <f>IF(Main_Parameters!$S$6="640x480p60Hz (1)",P174,IF(Main_Parameters!$S$6="720x480p60Hz (2)",Q174,IF(Main_Parameters!$S$6="1280x720p60Hz (4)",R174,IF(Main_Parameters!$S$6="1920x1080p60Hz (16)",S174,IF(Main_Parameters!$S$6="1920x1200p60Hz (68)",V174,IF(Main_Parameters!$S$6="2560x1600p60Hz (76)",W174,O174))))))</f>
        <v>0</v>
      </c>
      <c r="O174" s="264">
        <v>0</v>
      </c>
      <c r="P174" s="265">
        <v>0</v>
      </c>
      <c r="Q174" s="265">
        <v>0</v>
      </c>
      <c r="R174" s="265">
        <v>0</v>
      </c>
      <c r="S174" s="265">
        <v>0</v>
      </c>
      <c r="T174" s="265">
        <v>0</v>
      </c>
      <c r="U174" s="265">
        <v>0</v>
      </c>
      <c r="V174" s="265">
        <v>0</v>
      </c>
      <c r="W174" s="265">
        <v>0</v>
      </c>
      <c r="X174" s="131"/>
      <c r="Y174" s="131"/>
      <c r="Z174" s="247"/>
      <c r="AA174" s="66"/>
      <c r="AB174" s="66"/>
      <c r="AC174" s="66"/>
      <c r="AD174" s="66"/>
      <c r="AJ174" s="266"/>
    </row>
    <row r="175" spans="2:36">
      <c r="B175" s="93" t="s">
        <v>1035</v>
      </c>
      <c r="C175" s="89" t="s">
        <v>1036</v>
      </c>
      <c r="D175" s="510" t="s">
        <v>1467</v>
      </c>
      <c r="E175" s="91" t="str">
        <f t="shared" si="14"/>
        <v>18</v>
      </c>
      <c r="F175" s="244" t="s">
        <v>1468</v>
      </c>
      <c r="G175" s="194">
        <f t="shared" si="10"/>
        <v>24</v>
      </c>
      <c r="H175"/>
      <c r="I175"/>
      <c r="J175"/>
      <c r="K175" s="194" t="str">
        <f>IF(Main_Parameters!$R$7="Select","Disable","Enable")</f>
        <v>Enable</v>
      </c>
      <c r="L175" s="271"/>
      <c r="M175" s="271"/>
      <c r="N175" s="272">
        <f>IF(Main_Parameters!$S$6="640x480p60Hz (1)",P175,IF(Main_Parameters!$S$6="720x480p60Hz (2)",Q175,IF(Main_Parameters!$S$6="1280x720p60Hz (4)",R175,IF(Main_Parameters!$S$6="1920x1080p60Hz (16)",S175,IF(Main_Parameters!$S$6="1920x1200p60Hz (68)",V175,IF(Main_Parameters!$S$6="2560x1600p60Hz (76)",W175,O175))))))</f>
        <v>24</v>
      </c>
      <c r="O175" s="272">
        <f>K173</f>
        <v>24</v>
      </c>
      <c r="P175" s="273">
        <v>24</v>
      </c>
      <c r="Q175" s="273">
        <v>24</v>
      </c>
      <c r="R175" s="273">
        <v>30</v>
      </c>
      <c r="S175" s="273">
        <v>30</v>
      </c>
      <c r="T175" s="273">
        <v>24</v>
      </c>
      <c r="U175" s="273">
        <v>26</v>
      </c>
      <c r="V175" s="273">
        <v>26</v>
      </c>
      <c r="W175" s="273">
        <v>26</v>
      </c>
      <c r="X175" s="131"/>
      <c r="Y175" s="131"/>
      <c r="Z175" s="247"/>
      <c r="AA175" s="66"/>
      <c r="AB175" s="66"/>
      <c r="AC175" s="66"/>
      <c r="AD175" s="66"/>
      <c r="AJ175" s="266"/>
    </row>
    <row r="176" spans="2:36" ht="15">
      <c r="B176" s="93" t="s">
        <v>1035</v>
      </c>
      <c r="C176" s="89" t="s">
        <v>1036</v>
      </c>
      <c r="D176" s="510" t="s">
        <v>1469</v>
      </c>
      <c r="E176" s="91" t="str">
        <f t="shared" si="14"/>
        <v>28</v>
      </c>
      <c r="F176" s="243" t="s">
        <v>1470</v>
      </c>
      <c r="G176" s="194">
        <f t="shared" si="10"/>
        <v>40</v>
      </c>
      <c r="H176" s="587" t="s">
        <v>1471</v>
      </c>
      <c r="I176" s="587"/>
      <c r="J176" s="587"/>
      <c r="K176" s="250" t="s">
        <v>1053</v>
      </c>
      <c r="L176" s="259" t="s">
        <v>1166</v>
      </c>
      <c r="M176" s="215"/>
      <c r="N176" s="260">
        <f>IF(Main_Parameters!$S$7="640x480p60Hz (1)",P176,IF(Main_Parameters!$S$7="720x480p60Hz (2)",Q176,IF(Main_Parameters!$S$7="1280x720p60Hz (4)",R176,IF(Main_Parameters!$S$7="1920x1080p60Hz (16)",S176,IF(Main_Parameters!$S$7="1920x1200p60Hz (68)",V176,IF(Main_Parameters!$S$7="2560x1600p60Hz (76)",W176,O176))))))</f>
        <v>40</v>
      </c>
      <c r="O176" s="260">
        <f>HEX2DEC(RIGHT(DEC2HEX(L177*100,4),2))</f>
        <v>40</v>
      </c>
      <c r="P176" s="261">
        <v>216</v>
      </c>
      <c r="Q176" s="261">
        <v>140</v>
      </c>
      <c r="R176" s="261">
        <v>1</v>
      </c>
      <c r="S176" s="261">
        <v>2</v>
      </c>
      <c r="T176" s="261">
        <v>100</v>
      </c>
      <c r="U176" s="261">
        <v>188</v>
      </c>
      <c r="V176" s="261">
        <v>40</v>
      </c>
      <c r="W176" s="261">
        <v>236</v>
      </c>
      <c r="X176" s="131"/>
      <c r="Y176" s="131"/>
      <c r="Z176" s="247"/>
      <c r="AA176" s="66"/>
      <c r="AB176" s="66"/>
      <c r="AC176" s="66"/>
      <c r="AD176" s="66"/>
      <c r="AJ176" s="266"/>
    </row>
    <row r="177" spans="2:36" ht="15">
      <c r="B177" s="93" t="s">
        <v>1035</v>
      </c>
      <c r="C177" s="89" t="s">
        <v>1036</v>
      </c>
      <c r="D177" s="510" t="s">
        <v>1472</v>
      </c>
      <c r="E177" s="91" t="str">
        <f t="shared" ref="E177:E194" si="15">DEC2HEX(N177,2)</f>
        <v>3C</v>
      </c>
      <c r="F177" s="267"/>
      <c r="G177" s="194">
        <f t="shared" si="10"/>
        <v>60</v>
      </c>
      <c r="H177" s="583" t="s">
        <v>1179</v>
      </c>
      <c r="I177" s="583"/>
      <c r="J177" s="252">
        <v>148.5</v>
      </c>
      <c r="K177" s="209" t="str">
        <f>IF(O140="Enable",IF(L177*100&gt;65535,"NG","OK"),"-")</f>
        <v>-</v>
      </c>
      <c r="L177" s="215">
        <f>IF(Main_Parameters!$S$7="Original",Main_Parameters!$C$20,J177)</f>
        <v>154</v>
      </c>
      <c r="M177" s="263"/>
      <c r="N177" s="264">
        <f>IF(Main_Parameters!$S$7="640x480p60Hz (1)",P177,IF(Main_Parameters!$S$7="720x480p60Hz (2)",Q177,IF(Main_Parameters!$S$7="1280x720p60Hz (4)",R177,IF(Main_Parameters!$S$7="1920x1080p60Hz (16)",S177,IF(Main_Parameters!$S$7="1920x1200p60Hz (68)",V177,IF(Main_Parameters!$S$7="2560x1600p60Hz (76)",W177,O177))))))</f>
        <v>60</v>
      </c>
      <c r="O177" s="264">
        <f>HEX2DEC(LEFT(DEC2HEX(L177*100,4),2))</f>
        <v>60</v>
      </c>
      <c r="P177" s="265">
        <v>9</v>
      </c>
      <c r="Q177" s="265">
        <v>10</v>
      </c>
      <c r="R177" s="265">
        <v>29</v>
      </c>
      <c r="S177" s="265">
        <v>58</v>
      </c>
      <c r="T177" s="265">
        <v>25</v>
      </c>
      <c r="U177" s="265">
        <v>27</v>
      </c>
      <c r="V177" s="265">
        <v>60</v>
      </c>
      <c r="W177" s="265">
        <v>104</v>
      </c>
      <c r="X177" s="131"/>
      <c r="Y177" s="131"/>
      <c r="Z177" s="247"/>
      <c r="AA177" s="66"/>
      <c r="AB177" s="66"/>
      <c r="AC177" s="66"/>
      <c r="AD177" s="66"/>
      <c r="AJ177" s="266"/>
    </row>
    <row r="178" spans="2:36" ht="15">
      <c r="B178" s="93" t="s">
        <v>1035</v>
      </c>
      <c r="C178" s="89" t="s">
        <v>1036</v>
      </c>
      <c r="D178" s="510" t="s">
        <v>1473</v>
      </c>
      <c r="E178" s="91" t="str">
        <f t="shared" si="15"/>
        <v>38</v>
      </c>
      <c r="F178" s="243" t="s">
        <v>1474</v>
      </c>
      <c r="G178" s="194">
        <f t="shared" si="10"/>
        <v>56</v>
      </c>
      <c r="H178" s="583" t="s">
        <v>1182</v>
      </c>
      <c r="I178" s="583"/>
      <c r="J178" s="252">
        <v>1920</v>
      </c>
      <c r="K178" s="209" t="str">
        <f>IF(O140="Enable",IF(L178&gt;4095,"NG","OK"),"-")</f>
        <v>-</v>
      </c>
      <c r="L178" s="215">
        <f>IF(Main_Parameters!$S$7="Original",Main_Parameters!$F$20,J178)</f>
        <v>1080</v>
      </c>
      <c r="M178" s="263"/>
      <c r="N178" s="264">
        <f>IF(Main_Parameters!$S$7="640x480p60Hz (1)",P178,IF(Main_Parameters!$S$7="720x480p60Hz (2)",Q178,IF(Main_Parameters!$S$7="1280x720p60Hz (4)",R178,IF(Main_Parameters!$S$7="1920x1080p60Hz (16)",S178,IF(Main_Parameters!$S$7="1920x1200p60Hz (68)",V178,IF(Main_Parameters!$S$7="2560x1600p60Hz (76)",W178,O178))))))</f>
        <v>56</v>
      </c>
      <c r="O178" s="264">
        <f>HEX2DEC(RIGHT(DEC2HEX(L178,3),2))</f>
        <v>56</v>
      </c>
      <c r="P178" s="265">
        <v>128</v>
      </c>
      <c r="Q178" s="265">
        <v>208</v>
      </c>
      <c r="R178" s="265">
        <v>0</v>
      </c>
      <c r="S178" s="265">
        <v>128</v>
      </c>
      <c r="T178" s="265">
        <v>0</v>
      </c>
      <c r="U178" s="265">
        <v>0</v>
      </c>
      <c r="V178" s="265">
        <v>128</v>
      </c>
      <c r="W178" s="265">
        <v>0</v>
      </c>
      <c r="X178" s="131"/>
      <c r="Y178" s="131"/>
      <c r="Z178" s="247"/>
      <c r="AA178" s="66"/>
      <c r="AB178" s="66"/>
      <c r="AC178" s="66"/>
      <c r="AD178" s="66"/>
      <c r="AJ178" s="266"/>
    </row>
    <row r="179" spans="2:36" ht="15">
      <c r="B179" s="93" t="s">
        <v>1035</v>
      </c>
      <c r="C179" s="89" t="s">
        <v>1036</v>
      </c>
      <c r="D179" s="510" t="s">
        <v>1475</v>
      </c>
      <c r="E179" s="91" t="str">
        <f t="shared" si="15"/>
        <v>FA</v>
      </c>
      <c r="F179" s="243" t="s">
        <v>1476</v>
      </c>
      <c r="G179" s="194">
        <f t="shared" si="10"/>
        <v>250</v>
      </c>
      <c r="H179" s="583" t="s">
        <v>1185</v>
      </c>
      <c r="I179" s="583"/>
      <c r="J179" s="252">
        <v>44</v>
      </c>
      <c r="K179" s="209" t="str">
        <f>IF(O140="Enable",IF(L179&gt;1023,"NG","OK"),"-")</f>
        <v>-</v>
      </c>
      <c r="L179" s="215">
        <f>IF(Main_Parameters!$S$7="Original",Main_Parameters!$D$20,J179)</f>
        <v>50</v>
      </c>
      <c r="M179" s="263"/>
      <c r="N179" s="264">
        <f>IF(Main_Parameters!$S$7="640x480p60Hz (1)",P179,IF(Main_Parameters!$S$7="720x480p60Hz (2)",Q179,IF(Main_Parameters!$S$7="1280x720p60Hz (4)",R179,IF(Main_Parameters!$S$7="1920x1080p60Hz (16)",S179,IF(Main_Parameters!$S$7="1920x1200p60Hz (68)",V179,IF(Main_Parameters!$S$7="2560x1600p60Hz (76)",W179,O179))))))</f>
        <v>250</v>
      </c>
      <c r="O179" s="264">
        <f>HEX2DEC(RIGHT(DEC2HEX(L179+L180+L181,3),2))</f>
        <v>250</v>
      </c>
      <c r="P179" s="265">
        <v>160</v>
      </c>
      <c r="Q179" s="265">
        <v>138</v>
      </c>
      <c r="R179" s="265">
        <v>114</v>
      </c>
      <c r="S179" s="265">
        <v>24</v>
      </c>
      <c r="T179" s="265">
        <v>64</v>
      </c>
      <c r="U179" s="265">
        <v>160</v>
      </c>
      <c r="V179" s="265">
        <v>160</v>
      </c>
      <c r="W179" s="265">
        <v>160</v>
      </c>
      <c r="X179" s="131"/>
      <c r="Y179" s="131"/>
      <c r="Z179" s="247"/>
      <c r="AA179" s="66"/>
      <c r="AB179" s="66"/>
      <c r="AC179" s="66"/>
      <c r="AD179" s="66"/>
      <c r="AJ179" s="266"/>
    </row>
    <row r="180" spans="2:36" ht="15">
      <c r="B180" s="93" t="s">
        <v>1035</v>
      </c>
      <c r="C180" s="89" t="s">
        <v>1036</v>
      </c>
      <c r="D180" s="510" t="s">
        <v>1477</v>
      </c>
      <c r="E180" s="91" t="str">
        <f t="shared" si="15"/>
        <v>40</v>
      </c>
      <c r="F180" s="243" t="s">
        <v>1478</v>
      </c>
      <c r="G180" s="194">
        <f t="shared" si="10"/>
        <v>64</v>
      </c>
      <c r="H180" s="583" t="s">
        <v>1188</v>
      </c>
      <c r="I180" s="583"/>
      <c r="J180" s="252">
        <v>148</v>
      </c>
      <c r="K180" s="209" t="str">
        <f>IF(O140="Enable",IF(L179+L180+L181&gt;4095,"NG","OK"),"-")</f>
        <v>-</v>
      </c>
      <c r="L180" s="215">
        <f>IF(Main_Parameters!$S$7="Original",Main_Parameters!$E$20,J180)</f>
        <v>100</v>
      </c>
      <c r="M180" s="263"/>
      <c r="N180" s="264">
        <f>IF(Main_Parameters!$S$7="640x480p60Hz (1)",P180,IF(Main_Parameters!$S$7="720x480p60Hz (2)",Q180,IF(Main_Parameters!$S$7="1280x720p60Hz (4)",R180,IF(Main_Parameters!$S$7="1920x1080p60Hz (16)",S180,IF(Main_Parameters!$S$7="1920x1200p60Hz (68)",V180,IF(Main_Parameters!$S$7="2560x1600p60Hz (76)",W180,O180))))))</f>
        <v>64</v>
      </c>
      <c r="O180" s="264">
        <f>HEX2DEC((LEFT(DEC2HEX(L178,3),1)))*2^4+HEX2DEC(LEFT(DEC2HEX(L179+L180+L181,3),1))</f>
        <v>64</v>
      </c>
      <c r="P180" s="265">
        <v>32</v>
      </c>
      <c r="Q180" s="265">
        <v>32</v>
      </c>
      <c r="R180" s="265">
        <v>81</v>
      </c>
      <c r="S180" s="265">
        <v>113</v>
      </c>
      <c r="T180" s="265">
        <v>65</v>
      </c>
      <c r="U180" s="265">
        <v>80</v>
      </c>
      <c r="V180" s="265">
        <v>112</v>
      </c>
      <c r="W180" s="265">
        <v>160</v>
      </c>
      <c r="X180" s="131"/>
      <c r="Y180" s="131"/>
      <c r="Z180" s="247"/>
      <c r="AA180" s="66"/>
      <c r="AB180" s="66"/>
      <c r="AC180" s="66"/>
      <c r="AD180" s="66"/>
      <c r="AJ180" s="266"/>
    </row>
    <row r="181" spans="2:36" ht="15">
      <c r="B181" s="93" t="s">
        <v>1035</v>
      </c>
      <c r="C181" s="89" t="s">
        <v>1036</v>
      </c>
      <c r="D181" s="510" t="s">
        <v>1479</v>
      </c>
      <c r="E181" s="91" t="str">
        <f t="shared" si="15"/>
        <v>80</v>
      </c>
      <c r="F181" s="243" t="s">
        <v>1480</v>
      </c>
      <c r="G181" s="194">
        <f t="shared" si="10"/>
        <v>128</v>
      </c>
      <c r="H181" s="583" t="s">
        <v>1191</v>
      </c>
      <c r="I181" s="583"/>
      <c r="J181" s="252">
        <v>88</v>
      </c>
      <c r="K181" s="209" t="str">
        <f>IF(O140="Enable",IF(L181&gt;1023,"NG","OK"),"-")</f>
        <v>-</v>
      </c>
      <c r="L181" s="215">
        <f>IF(Main_Parameters!$S$7="Original",Main_Parameters!$G$20,J181)</f>
        <v>100</v>
      </c>
      <c r="M181" s="263"/>
      <c r="N181" s="264">
        <f>IF(Main_Parameters!$S$7="640x480p60Hz (1)",P181,IF(Main_Parameters!$S$7="720x480p60Hz (2)",Q181,IF(Main_Parameters!$S$7="1280x720p60Hz (4)",R181,IF(Main_Parameters!$S$7="1920x1080p60Hz (16)",S181,IF(Main_Parameters!$S$7="1920x1200p60Hz (68)",V181,IF(Main_Parameters!$S$7="2560x1600p60Hz (76)",W181,O181))))))</f>
        <v>128</v>
      </c>
      <c r="O181" s="264">
        <f>HEX2DEC(RIGHT(DEC2HEX(L182,3),2))</f>
        <v>128</v>
      </c>
      <c r="P181" s="265">
        <v>224</v>
      </c>
      <c r="Q181" s="265">
        <v>224</v>
      </c>
      <c r="R181" s="265">
        <v>208</v>
      </c>
      <c r="S181" s="265">
        <v>56</v>
      </c>
      <c r="T181" s="265">
        <v>0</v>
      </c>
      <c r="U181" s="265">
        <v>32</v>
      </c>
      <c r="V181" s="265">
        <v>176</v>
      </c>
      <c r="W181" s="265">
        <v>64</v>
      </c>
      <c r="X181" s="131"/>
      <c r="Y181" s="131"/>
      <c r="Z181" s="247"/>
      <c r="AA181" s="66"/>
      <c r="AB181" s="66"/>
      <c r="AC181" s="66"/>
      <c r="AD181" s="66"/>
      <c r="AJ181" s="266"/>
    </row>
    <row r="182" spans="2:36" ht="15">
      <c r="B182" s="93" t="s">
        <v>1035</v>
      </c>
      <c r="C182" s="89" t="s">
        <v>1036</v>
      </c>
      <c r="D182" s="510" t="s">
        <v>1481</v>
      </c>
      <c r="E182" s="91" t="str">
        <f t="shared" si="15"/>
        <v>0C</v>
      </c>
      <c r="F182" s="243" t="s">
        <v>1482</v>
      </c>
      <c r="G182" s="194">
        <f t="shared" si="10"/>
        <v>12</v>
      </c>
      <c r="H182" s="583" t="s">
        <v>1194</v>
      </c>
      <c r="I182" s="583"/>
      <c r="J182" s="252">
        <v>1080</v>
      </c>
      <c r="K182" s="209" t="str">
        <f>IF(O140="Enable",IF(L182&gt;4095,"NG","OK"),"-")</f>
        <v>-</v>
      </c>
      <c r="L182" s="215">
        <f>IF(Main_Parameters!$S$7="Original",Main_Parameters!$J$20,J182)</f>
        <v>1920</v>
      </c>
      <c r="M182" s="263"/>
      <c r="N182" s="264">
        <f>IF(Main_Parameters!$S$7="640x480p60Hz (1)",P182,IF(Main_Parameters!$S$7="720x480p60Hz (2)",Q182,IF(Main_Parameters!$S$7="1280x720p60Hz (4)",R182,IF(Main_Parameters!$S$7="1920x1080p60Hz (16)",S182,IF(Main_Parameters!$S$7="1920x1200p60Hz (68)",V182,IF(Main_Parameters!$S$7="2560x1600p60Hz (76)",W182,O182))))))</f>
        <v>12</v>
      </c>
      <c r="O182" s="264">
        <f>HEX2DEC(RIGHT(DEC2HEX(L183+L184+L185,3),2))</f>
        <v>12</v>
      </c>
      <c r="P182" s="265">
        <v>45</v>
      </c>
      <c r="Q182" s="265">
        <v>45</v>
      </c>
      <c r="R182" s="265">
        <v>30</v>
      </c>
      <c r="S182" s="265">
        <v>45</v>
      </c>
      <c r="T182" s="265">
        <v>38</v>
      </c>
      <c r="U182" s="265">
        <v>23</v>
      </c>
      <c r="V182" s="265">
        <v>35</v>
      </c>
      <c r="W182" s="265">
        <v>46</v>
      </c>
      <c r="X182" s="131"/>
      <c r="Y182" s="131"/>
      <c r="Z182" s="247"/>
      <c r="AA182" s="66"/>
      <c r="AB182" s="66"/>
      <c r="AC182" s="66"/>
      <c r="AD182" s="66"/>
      <c r="AJ182" s="266"/>
    </row>
    <row r="183" spans="2:36" ht="15">
      <c r="B183" s="93" t="s">
        <v>1035</v>
      </c>
      <c r="C183" s="89" t="s">
        <v>1036</v>
      </c>
      <c r="D183" s="510" t="s">
        <v>1483</v>
      </c>
      <c r="E183" s="91" t="str">
        <f t="shared" si="15"/>
        <v>70</v>
      </c>
      <c r="F183" s="243" t="s">
        <v>1484</v>
      </c>
      <c r="G183" s="194">
        <f t="shared" si="10"/>
        <v>112</v>
      </c>
      <c r="H183" s="583" t="s">
        <v>1197</v>
      </c>
      <c r="I183" s="583"/>
      <c r="J183" s="252">
        <v>5</v>
      </c>
      <c r="K183" s="209" t="str">
        <f>IF(O140="Enable",IF(L183&gt;15,"NG","OK"),"-")</f>
        <v>-</v>
      </c>
      <c r="L183" s="215">
        <f>IF(Main_Parameters!$S$7="Original",Main_Parameters!$H$20,J183)</f>
        <v>4</v>
      </c>
      <c r="M183" s="263"/>
      <c r="N183" s="264">
        <f>IF(Main_Parameters!$S$7="640x480p60Hz (1)",P183,IF(Main_Parameters!$S$7="720x480p60Hz (2)",Q183,IF(Main_Parameters!$S$7="1280x720p60Hz (4)",R183,IF(Main_Parameters!$S$7="1920x1080p60Hz (16)",S183,IF(Main_Parameters!$S$7="1920x1200p60Hz (68)",V183,IF(Main_Parameters!$S$7="2560x1600p60Hz (76)",W183,O183))))))</f>
        <v>112</v>
      </c>
      <c r="O183" s="264">
        <f>HEX2DEC((LEFT(DEC2HEX(L182,3),1)))*2^4+HEX2DEC(LEFT(DEC2HEX(L183+L184+L185,3),1))</f>
        <v>112</v>
      </c>
      <c r="P183" s="265">
        <v>16</v>
      </c>
      <c r="Q183" s="265">
        <v>16</v>
      </c>
      <c r="R183" s="265">
        <v>32</v>
      </c>
      <c r="S183" s="265">
        <v>64</v>
      </c>
      <c r="T183" s="265">
        <v>48</v>
      </c>
      <c r="U183" s="265">
        <v>48</v>
      </c>
      <c r="V183" s="265">
        <v>64</v>
      </c>
      <c r="W183" s="265">
        <v>96</v>
      </c>
      <c r="X183" s="131"/>
      <c r="Y183" s="131"/>
      <c r="Z183" s="247"/>
      <c r="AA183" s="66"/>
      <c r="AB183" s="66"/>
      <c r="AC183" s="66"/>
      <c r="AD183" s="66"/>
      <c r="AJ183" s="266"/>
    </row>
    <row r="184" spans="2:36" ht="15">
      <c r="B184" s="93" t="s">
        <v>1035</v>
      </c>
      <c r="C184" s="89" t="s">
        <v>1036</v>
      </c>
      <c r="D184" s="510" t="s">
        <v>1485</v>
      </c>
      <c r="E184" s="91" t="str">
        <f t="shared" si="15"/>
        <v>64</v>
      </c>
      <c r="F184" s="243" t="s">
        <v>1486</v>
      </c>
      <c r="G184" s="194">
        <f t="shared" si="10"/>
        <v>100</v>
      </c>
      <c r="H184" s="583" t="s">
        <v>1200</v>
      </c>
      <c r="I184" s="583"/>
      <c r="J184" s="252">
        <v>36</v>
      </c>
      <c r="K184" s="209" t="str">
        <f>IF(O140="Enable",IF(L183+L184+L185&gt;4095,"NG","OK"),"-")</f>
        <v>-</v>
      </c>
      <c r="L184" s="215">
        <f>IF(Main_Parameters!$S$7="Original",Main_Parameters!$I$20,J184)</f>
        <v>4</v>
      </c>
      <c r="M184" s="263"/>
      <c r="N184" s="264">
        <f>IF(Main_Parameters!$S$7="640x480p60Hz (1)",P184,IF(Main_Parameters!$S$7="720x480p60Hz (2)",Q184,IF(Main_Parameters!$S$7="1280x720p60Hz (4)",R184,IF(Main_Parameters!$S$7="1920x1080p60Hz (16)",S184,IF(Main_Parameters!$S$7="1920x1200p60Hz (68)",V184,IF(Main_Parameters!$S$7="2560x1600p60Hz (76)",W184,O184))))))</f>
        <v>100</v>
      </c>
      <c r="O184" s="264">
        <f>HEX2DEC(RIGHT(DEC2HEX(L181,3),2))</f>
        <v>100</v>
      </c>
      <c r="P184" s="265">
        <v>16</v>
      </c>
      <c r="Q184" s="265">
        <v>16</v>
      </c>
      <c r="R184" s="265">
        <v>110</v>
      </c>
      <c r="S184" s="265">
        <v>88</v>
      </c>
      <c r="T184" s="265">
        <v>24</v>
      </c>
      <c r="U184" s="265">
        <v>48</v>
      </c>
      <c r="V184" s="265">
        <v>48</v>
      </c>
      <c r="W184" s="265">
        <v>48</v>
      </c>
      <c r="X184" s="131"/>
      <c r="Y184" s="131"/>
      <c r="Z184" s="247"/>
      <c r="AA184" s="66"/>
      <c r="AB184" s="66"/>
      <c r="AC184" s="66"/>
      <c r="AD184" s="66"/>
      <c r="AJ184" s="266"/>
    </row>
    <row r="185" spans="2:36" ht="15">
      <c r="B185" s="93" t="s">
        <v>1035</v>
      </c>
      <c r="C185" s="89" t="s">
        <v>1036</v>
      </c>
      <c r="D185" s="510" t="s">
        <v>1487</v>
      </c>
      <c r="E185" s="91" t="str">
        <f t="shared" si="15"/>
        <v>32</v>
      </c>
      <c r="F185" s="243" t="s">
        <v>1488</v>
      </c>
      <c r="G185" s="194">
        <f t="shared" si="10"/>
        <v>50</v>
      </c>
      <c r="H185" s="583" t="s">
        <v>1203</v>
      </c>
      <c r="I185" s="583"/>
      <c r="J185" s="252">
        <v>4</v>
      </c>
      <c r="K185" s="209" t="str">
        <f>IF(O140="Enable",IF(L185&gt;15,"NG","OK"),"-")</f>
        <v>-</v>
      </c>
      <c r="L185" s="215">
        <f>IF(Main_Parameters!$S$7="Original",Main_Parameters!$K$20,J185)</f>
        <v>4</v>
      </c>
      <c r="M185" s="263"/>
      <c r="N185" s="264">
        <f>IF(Main_Parameters!$S$7="640x480p60Hz (1)",P185,IF(Main_Parameters!$S$7="720x480p60Hz (2)",Q185,IF(Main_Parameters!$S$7="1280x720p60Hz (4)",R185,IF(Main_Parameters!$S$7="1920x1080p60Hz (16)",S185,IF(Main_Parameters!$S$7="1920x1200p60Hz (68)",V185,IF(Main_Parameters!$S$7="2560x1600p60Hz (76)",W185,O185))))))</f>
        <v>50</v>
      </c>
      <c r="O185" s="264">
        <f>HEX2DEC(RIGHT(DEC2HEX(L179,3),2))</f>
        <v>50</v>
      </c>
      <c r="P185" s="265">
        <v>96</v>
      </c>
      <c r="Q185" s="265">
        <v>62</v>
      </c>
      <c r="R185" s="265">
        <v>40</v>
      </c>
      <c r="S185" s="265">
        <v>44</v>
      </c>
      <c r="T185" s="265">
        <v>136</v>
      </c>
      <c r="U185" s="265">
        <v>32</v>
      </c>
      <c r="V185" s="265">
        <v>32</v>
      </c>
      <c r="W185" s="265">
        <v>32</v>
      </c>
      <c r="X185" s="131"/>
      <c r="Y185" s="131"/>
      <c r="Z185" s="247"/>
      <c r="AA185" s="66"/>
      <c r="AB185" s="66"/>
      <c r="AC185" s="66"/>
      <c r="AD185" s="66"/>
      <c r="AJ185" s="266"/>
    </row>
    <row r="186" spans="2:36" ht="15">
      <c r="B186" s="93" t="s">
        <v>1035</v>
      </c>
      <c r="C186" s="89" t="s">
        <v>1036</v>
      </c>
      <c r="D186" s="510" t="s">
        <v>1489</v>
      </c>
      <c r="E186" s="91" t="str">
        <f t="shared" si="15"/>
        <v>44</v>
      </c>
      <c r="F186" s="243" t="s">
        <v>1490</v>
      </c>
      <c r="G186" s="194">
        <f t="shared" si="10"/>
        <v>68</v>
      </c>
      <c r="H186" s="583" t="s">
        <v>1206</v>
      </c>
      <c r="I186" s="583"/>
      <c r="J186" s="252">
        <v>192</v>
      </c>
      <c r="K186" s="209" t="str">
        <f>IF(AI140="Disable",IF(L186&gt;4095,"NG","OK"),"-")</f>
        <v>-</v>
      </c>
      <c r="L186" s="215">
        <f>IF(Main_Parameters!$S$7="Original",Main_Parameters!$O$23,J186)</f>
        <v>192</v>
      </c>
      <c r="M186" s="263"/>
      <c r="N186" s="264">
        <f>IF(Main_Parameters!$S$7="640x480p60Hz (1)",P186,IF(Main_Parameters!$S$7="720x480p60Hz (2)",Q186,IF(Main_Parameters!$S$7="1280x720p60Hz (4)",R186,IF(Main_Parameters!$S$7="1920x1080p60Hz (16)",S186,IF(Main_Parameters!$S$7="1920x1200p60Hz (68)",V186,IF(Main_Parameters!$S$7="2560x1600p60Hz (76)",W186,O186))))))</f>
        <v>68</v>
      </c>
      <c r="O186" s="264">
        <f>HEX2DEC(RIGHT(DEC2HEX(L185,2),1))*2^4+HEX2DEC(RIGHT(DEC2HEX(L183,2),1))</f>
        <v>68</v>
      </c>
      <c r="P186" s="265">
        <v>162</v>
      </c>
      <c r="Q186" s="265">
        <v>150</v>
      </c>
      <c r="R186" s="265">
        <v>85</v>
      </c>
      <c r="S186" s="265">
        <v>69</v>
      </c>
      <c r="T186" s="265">
        <v>54</v>
      </c>
      <c r="U186" s="265">
        <v>54</v>
      </c>
      <c r="V186" s="265">
        <v>54</v>
      </c>
      <c r="W186" s="265">
        <v>54</v>
      </c>
      <c r="X186" s="131"/>
      <c r="Y186" s="131"/>
      <c r="Z186" s="247"/>
      <c r="AA186" s="66"/>
      <c r="AB186" s="66"/>
      <c r="AC186" s="66"/>
      <c r="AD186" s="66"/>
      <c r="AJ186" s="266"/>
    </row>
    <row r="187" spans="2:36" ht="15">
      <c r="B187" s="93" t="s">
        <v>1035</v>
      </c>
      <c r="C187" s="89" t="s">
        <v>1036</v>
      </c>
      <c r="D187" s="510" t="s">
        <v>1491</v>
      </c>
      <c r="E187" s="91" t="str">
        <f t="shared" si="15"/>
        <v>00</v>
      </c>
      <c r="F187" s="243" t="s">
        <v>1492</v>
      </c>
      <c r="G187" s="194">
        <f t="shared" si="10"/>
        <v>0</v>
      </c>
      <c r="H187" s="583" t="s">
        <v>1209</v>
      </c>
      <c r="I187" s="583"/>
      <c r="J187" s="252">
        <v>120</v>
      </c>
      <c r="K187" s="209" t="str">
        <f>IF(AI140="Disable",IF(L187&gt;4095,"NG","OK"),"-")</f>
        <v>-</v>
      </c>
      <c r="L187" s="215">
        <f>IF(Main_Parameters!$S$7="Original",Main_Parameters!$O$24,J187)</f>
        <v>120</v>
      </c>
      <c r="M187" s="263"/>
      <c r="N187" s="264">
        <f>IF(Main_Parameters!$S$7="640x480p60Hz (1)",P187,IF(Main_Parameters!$S$7="720x480p60Hz (2)",Q187,IF(Main_Parameters!$S$7="1280x720p60Hz (4)",R187,IF(Main_Parameters!$S$7="1920x1080p60Hz (16)",S187,IF(Main_Parameters!$S$7="1920x1200p60Hz (68)",V187,IF(Main_Parameters!$S$7="2560x1600p60Hz (76)",W187,O187))))))</f>
        <v>0</v>
      </c>
      <c r="O187" s="264">
        <f>HEX2DEC(LEFT(DEC2HEX(L181,3),1))*2^6+HEX2DEC(LEFT(DEC2HEX(L179,3),1))*2^4+HEX2DEC(LEFT(DEC2HEX(L185,2),1))*2^2+HEX2DEC(LEFT(DEC2HEX(L183,2),1))</f>
        <v>0</v>
      </c>
      <c r="P187" s="265">
        <v>0</v>
      </c>
      <c r="Q187" s="265">
        <v>0</v>
      </c>
      <c r="R187" s="265">
        <v>0</v>
      </c>
      <c r="S187" s="265">
        <v>0</v>
      </c>
      <c r="T187" s="265">
        <v>0</v>
      </c>
      <c r="U187" s="265">
        <v>0</v>
      </c>
      <c r="V187" s="265">
        <v>0</v>
      </c>
      <c r="W187" s="265">
        <v>0</v>
      </c>
      <c r="X187" s="131"/>
      <c r="Y187" s="131"/>
      <c r="Z187" s="247"/>
      <c r="AA187" s="66"/>
      <c r="AB187" s="66"/>
      <c r="AC187" s="66"/>
      <c r="AD187" s="66"/>
      <c r="AJ187" s="266"/>
    </row>
    <row r="188" spans="2:36" ht="15">
      <c r="B188" s="93" t="s">
        <v>1035</v>
      </c>
      <c r="C188" s="89" t="s">
        <v>1036</v>
      </c>
      <c r="D188" s="510" t="s">
        <v>1493</v>
      </c>
      <c r="E188" s="91" t="str">
        <f t="shared" si="15"/>
        <v>C0</v>
      </c>
      <c r="F188" s="243" t="s">
        <v>1494</v>
      </c>
      <c r="G188" s="194">
        <f t="shared" si="10"/>
        <v>192</v>
      </c>
      <c r="H188" s="583" t="s">
        <v>1212</v>
      </c>
      <c r="I188" s="583"/>
      <c r="J188" s="270" t="s">
        <v>768</v>
      </c>
      <c r="K188" s="194">
        <f>IF(L188="Interlace",1,0)</f>
        <v>0</v>
      </c>
      <c r="L188" s="215" t="str">
        <f>IF(Main_Parameters!$S$7="Original",Main_Parameters!$M$21,J188)</f>
        <v>Progressive</v>
      </c>
      <c r="M188" s="271"/>
      <c r="N188" s="264">
        <f>IF(Main_Parameters!$S$7="640x480p60Hz (1)",P188,IF(Main_Parameters!$S$7="720x480p60Hz (2)",Q188,IF(Main_Parameters!$S$7="1280x720p60Hz (4)",R188,IF(Main_Parameters!$S$7="1920x1080p60Hz (16)",S188,IF(Main_Parameters!$S$7="1920x1200p60Hz (68)",V188,IF(Main_Parameters!$S$7="2560x1600p60Hz (76)",W188,O188))))))</f>
        <v>192</v>
      </c>
      <c r="O188" s="264">
        <f>HEX2DEC(RIGHT(DEC2HEX(L186,3),2))</f>
        <v>192</v>
      </c>
      <c r="P188" s="265">
        <v>196</v>
      </c>
      <c r="Q188" s="265">
        <v>19</v>
      </c>
      <c r="R188" s="265">
        <v>196</v>
      </c>
      <c r="S188" s="265">
        <v>196</v>
      </c>
      <c r="T188" s="265">
        <v>0</v>
      </c>
      <c r="U188" s="265">
        <v>0</v>
      </c>
      <c r="V188" s="265">
        <v>128</v>
      </c>
      <c r="W188" s="265">
        <v>0</v>
      </c>
      <c r="X188" s="131"/>
      <c r="Y188" s="131"/>
      <c r="Z188" s="247"/>
      <c r="AA188" s="66"/>
      <c r="AB188" s="66"/>
      <c r="AC188" s="66"/>
      <c r="AD188" s="66"/>
      <c r="AJ188" s="266"/>
    </row>
    <row r="189" spans="2:36" ht="15">
      <c r="B189" s="93" t="s">
        <v>1035</v>
      </c>
      <c r="C189" s="89" t="s">
        <v>1036</v>
      </c>
      <c r="D189" s="510" t="s">
        <v>1495</v>
      </c>
      <c r="E189" s="91" t="str">
        <f t="shared" si="15"/>
        <v>78</v>
      </c>
      <c r="F189" s="243" t="s">
        <v>1496</v>
      </c>
      <c r="G189" s="194">
        <f t="shared" si="10"/>
        <v>120</v>
      </c>
      <c r="H189" s="583" t="s">
        <v>1215</v>
      </c>
      <c r="I189" s="583"/>
      <c r="J189" s="270" t="s">
        <v>1305</v>
      </c>
      <c r="K189" s="194">
        <f>IF(L189="H Active",1,0)</f>
        <v>0</v>
      </c>
      <c r="L189" s="215" t="str">
        <f>IF(Main_Parameters!$S$7="Original",Main_Parameters!$M$24,J189)</f>
        <v>L Active</v>
      </c>
      <c r="M189" s="271"/>
      <c r="N189" s="264">
        <f>IF(Main_Parameters!$S$7="640x480p60Hz (1)",P189,IF(Main_Parameters!$S$7="720x480p60Hz (2)",Q189,IF(Main_Parameters!$S$7="1280x720p60Hz (4)",R189,IF(Main_Parameters!$S$7="1920x1080p60Hz (16)",S189,IF(Main_Parameters!$S$7="1920x1200p60Hz (68)",V189,IF(Main_Parameters!$S$7="2560x1600p60Hz (76)",W189,O189))))))</f>
        <v>120</v>
      </c>
      <c r="O189" s="264">
        <f>HEX2DEC(RIGHT(DEC2HEX(L187,3),2))</f>
        <v>120</v>
      </c>
      <c r="P189" s="265">
        <v>142</v>
      </c>
      <c r="Q189" s="265">
        <v>142</v>
      </c>
      <c r="R189" s="265">
        <v>142</v>
      </c>
      <c r="S189" s="265">
        <v>142</v>
      </c>
      <c r="T189" s="265">
        <v>0</v>
      </c>
      <c r="U189" s="265">
        <v>32</v>
      </c>
      <c r="V189" s="265">
        <v>176</v>
      </c>
      <c r="W189" s="265">
        <v>64</v>
      </c>
      <c r="X189" s="131"/>
      <c r="Y189" s="131"/>
      <c r="Z189" s="247"/>
      <c r="AA189" s="66"/>
      <c r="AB189" s="66"/>
      <c r="AC189" s="66"/>
      <c r="AD189" s="66"/>
      <c r="AJ189" s="266"/>
    </row>
    <row r="190" spans="2:36" ht="15">
      <c r="B190" s="93" t="s">
        <v>1035</v>
      </c>
      <c r="C190" s="89" t="s">
        <v>1036</v>
      </c>
      <c r="D190" s="510" t="s">
        <v>1497</v>
      </c>
      <c r="E190" s="91" t="str">
        <f t="shared" si="15"/>
        <v>00</v>
      </c>
      <c r="F190" s="243" t="s">
        <v>1498</v>
      </c>
      <c r="G190" s="194">
        <f t="shared" si="10"/>
        <v>0</v>
      </c>
      <c r="H190" s="583" t="s">
        <v>1218</v>
      </c>
      <c r="I190" s="583"/>
      <c r="J190" s="270" t="s">
        <v>1305</v>
      </c>
      <c r="K190" s="194">
        <f>IF(L190="H Active",1,0)</f>
        <v>0</v>
      </c>
      <c r="L190" s="215" t="str">
        <f>IF(Main_Parameters!$S$7="Original",Main_Parameters!$M$23,J190)</f>
        <v>L Active</v>
      </c>
      <c r="M190" s="271"/>
      <c r="N190" s="264">
        <f>IF(Main_Parameters!$S$7="640x480p60Hz (1)",P190,IF(Main_Parameters!$S$7="720x480p60Hz (2)",Q190,IF(Main_Parameters!$S$7="1280x720p60Hz (4)",R190,IF(Main_Parameters!$S$7="1920x1080p60Hz (16)",S190,IF(Main_Parameters!$S$7="1920x1200p60Hz (68)",V190,IF(Main_Parameters!$S$7="2560x1600p60Hz (76)",W190,O190))))))</f>
        <v>0</v>
      </c>
      <c r="O190" s="264">
        <f>HEX2DEC((LEFT(DEC2HEX(L186,3),1)))*2^4+HEX2DEC(LEFT(DEC2HEX(L187,3),1))</f>
        <v>0</v>
      </c>
      <c r="P190" s="265">
        <v>33</v>
      </c>
      <c r="Q190" s="265">
        <v>33</v>
      </c>
      <c r="R190" s="265">
        <v>33</v>
      </c>
      <c r="S190" s="265">
        <v>33</v>
      </c>
      <c r="T190" s="265">
        <v>67</v>
      </c>
      <c r="U190" s="265">
        <v>83</v>
      </c>
      <c r="V190" s="265">
        <v>116</v>
      </c>
      <c r="W190" s="265">
        <v>166</v>
      </c>
      <c r="X190" s="131"/>
      <c r="Y190" s="131"/>
      <c r="Z190" s="247"/>
      <c r="AA190" s="66"/>
      <c r="AB190" s="66"/>
      <c r="AC190" s="66"/>
      <c r="AD190" s="66"/>
      <c r="AJ190" s="266"/>
    </row>
    <row r="191" spans="2:36">
      <c r="B191" s="93" t="s">
        <v>1035</v>
      </c>
      <c r="C191" s="89" t="s">
        <v>1036</v>
      </c>
      <c r="D191" s="510" t="s">
        <v>1499</v>
      </c>
      <c r="E191" s="91" t="str">
        <f t="shared" si="15"/>
        <v>00</v>
      </c>
      <c r="F191" s="243" t="s">
        <v>1500</v>
      </c>
      <c r="G191" s="194">
        <f t="shared" si="10"/>
        <v>0</v>
      </c>
      <c r="H191"/>
      <c r="I191"/>
      <c r="J191"/>
      <c r="K191" s="194">
        <f>K188*2^7+3*2^3+K189*2^2+K190*2^1</f>
        <v>24</v>
      </c>
      <c r="L191" s="271"/>
      <c r="M191" s="271"/>
      <c r="N191" s="264">
        <f>IF(Main_Parameters!$S$7="640x480p60Hz (1)",P191,IF(Main_Parameters!$S$7="720x480p60Hz (2)",Q191,IF(Main_Parameters!$S$7="1280x720p60Hz (4)",R191,IF(Main_Parameters!$S$7="1920x1080p60Hz (16)",S191,IF(Main_Parameters!$S$7="1920x1200p60Hz (68)",V191,IF(Main_Parameters!$S$7="2560x1600p60Hz (76)",W191,O191))))))</f>
        <v>0</v>
      </c>
      <c r="O191" s="264">
        <v>0</v>
      </c>
      <c r="P191" s="265">
        <v>0</v>
      </c>
      <c r="Q191" s="265">
        <v>0</v>
      </c>
      <c r="R191" s="265">
        <v>0</v>
      </c>
      <c r="S191" s="265">
        <v>0</v>
      </c>
      <c r="T191" s="265">
        <v>0</v>
      </c>
      <c r="U191" s="265">
        <v>0</v>
      </c>
      <c r="V191" s="265">
        <v>0</v>
      </c>
      <c r="W191" s="265">
        <v>0</v>
      </c>
      <c r="X191" s="131"/>
      <c r="Y191" s="131"/>
      <c r="Z191" s="247"/>
      <c r="AA191" s="66"/>
      <c r="AB191" s="66"/>
      <c r="AC191" s="66"/>
      <c r="AD191" s="66"/>
      <c r="AJ191" s="266"/>
    </row>
    <row r="192" spans="2:36">
      <c r="B192" s="93" t="s">
        <v>1035</v>
      </c>
      <c r="C192" s="89" t="s">
        <v>1036</v>
      </c>
      <c r="D192" s="510" t="s">
        <v>1501</v>
      </c>
      <c r="E192" s="91" t="str">
        <f t="shared" si="15"/>
        <v>00</v>
      </c>
      <c r="F192" s="243" t="s">
        <v>1502</v>
      </c>
      <c r="G192" s="194">
        <f t="shared" si="10"/>
        <v>0</v>
      </c>
      <c r="H192"/>
      <c r="I192"/>
      <c r="J192"/>
      <c r="K192"/>
      <c r="L192" s="271"/>
      <c r="M192" s="271"/>
      <c r="N192" s="264">
        <f>IF(Main_Parameters!$S$7="640x480p60Hz (1)",P192,IF(Main_Parameters!$S$7="720x480p60Hz (2)",Q192,IF(Main_Parameters!$S$7="1280x720p60Hz (4)",R192,IF(Main_Parameters!$S$7="1920x1080p60Hz (16)",S192,IF(Main_Parameters!$S$7="1920x1200p60Hz (68)",V192,IF(Main_Parameters!$S$7="2560x1600p60Hz (76)",W192,O192))))))</f>
        <v>0</v>
      </c>
      <c r="O192" s="264">
        <v>0</v>
      </c>
      <c r="P192" s="265">
        <v>0</v>
      </c>
      <c r="Q192" s="265">
        <v>0</v>
      </c>
      <c r="R192" s="265">
        <v>0</v>
      </c>
      <c r="S192" s="265">
        <v>0</v>
      </c>
      <c r="T192" s="265">
        <v>0</v>
      </c>
      <c r="U192" s="265">
        <v>0</v>
      </c>
      <c r="V192" s="265">
        <v>0</v>
      </c>
      <c r="W192" s="265">
        <v>0</v>
      </c>
      <c r="X192" s="131"/>
      <c r="Y192" s="131"/>
      <c r="Z192" s="247"/>
      <c r="AA192" s="66"/>
      <c r="AB192" s="66"/>
      <c r="AC192" s="66"/>
      <c r="AD192" s="66"/>
      <c r="AJ192" s="266"/>
    </row>
    <row r="193" spans="2:36">
      <c r="B193" s="93" t="s">
        <v>1035</v>
      </c>
      <c r="C193" s="89" t="s">
        <v>1036</v>
      </c>
      <c r="D193" s="510" t="s">
        <v>1503</v>
      </c>
      <c r="E193" s="91" t="str">
        <f t="shared" si="15"/>
        <v>18</v>
      </c>
      <c r="F193" s="243" t="s">
        <v>1504</v>
      </c>
      <c r="G193" s="194">
        <f t="shared" si="10"/>
        <v>24</v>
      </c>
      <c r="H193"/>
      <c r="I193"/>
      <c r="J193"/>
      <c r="K193" s="194" t="str">
        <f>IF(Main_Parameters!$R$8="Select","Disable","Enable")</f>
        <v>Enable</v>
      </c>
      <c r="L193" s="271"/>
      <c r="M193" s="271"/>
      <c r="N193" s="272">
        <f>IF(Main_Parameters!$S$7="640x480p60Hz (1)",P193,IF(Main_Parameters!$S$7="720x480p60Hz (2)",Q193,IF(Main_Parameters!$S$7="1280x720p60Hz (4)",R193,IF(Main_Parameters!$S$7="1920x1080p60Hz (16)",S193,IF(Main_Parameters!$S$7="1920x1200p60Hz (68)",V193,IF(Main_Parameters!$S$7="2560x1600p60Hz (76)",W193,O193))))))</f>
        <v>24</v>
      </c>
      <c r="O193" s="272">
        <f>K191</f>
        <v>24</v>
      </c>
      <c r="P193" s="273">
        <v>24</v>
      </c>
      <c r="Q193" s="273">
        <v>24</v>
      </c>
      <c r="R193" s="273">
        <v>30</v>
      </c>
      <c r="S193" s="273">
        <v>30</v>
      </c>
      <c r="T193" s="273">
        <v>24</v>
      </c>
      <c r="U193" s="273">
        <v>26</v>
      </c>
      <c r="V193" s="273">
        <v>26</v>
      </c>
      <c r="W193" s="273">
        <v>26</v>
      </c>
      <c r="X193" s="131"/>
      <c r="Y193" s="131"/>
      <c r="Z193" s="247"/>
      <c r="AA193" s="66"/>
      <c r="AB193" s="66"/>
      <c r="AC193" s="66"/>
      <c r="AD193" s="66"/>
      <c r="AJ193" s="266"/>
    </row>
    <row r="194" spans="2:36" ht="15">
      <c r="B194" s="93" t="s">
        <v>1035</v>
      </c>
      <c r="C194" s="89" t="s">
        <v>1036</v>
      </c>
      <c r="D194" s="510" t="s">
        <v>1505</v>
      </c>
      <c r="E194" s="91" t="str">
        <f t="shared" si="15"/>
        <v>28</v>
      </c>
      <c r="F194" s="244" t="s">
        <v>1506</v>
      </c>
      <c r="G194" s="194">
        <f t="shared" si="10"/>
        <v>40</v>
      </c>
      <c r="H194" s="588" t="s">
        <v>1507</v>
      </c>
      <c r="I194" s="588"/>
      <c r="J194" s="588"/>
      <c r="K194" s="258" t="s">
        <v>1053</v>
      </c>
      <c r="L194" s="259" t="s">
        <v>1166</v>
      </c>
      <c r="M194" s="215"/>
      <c r="N194" s="260">
        <f>IF(Main_Parameters!$S$8="640x480p60Hz (1)",P194,IF(Main_Parameters!$S$8="720x480p60Hz (2)",Q194,IF(Main_Parameters!$S$8="1280x720p60Hz (4)",R194,IF(Main_Parameters!$S$8="1920x1080p60Hz (16)",S194,IF(Main_Parameters!$S$8="1920x1200p60Hz (68)",V194,IF(Main_Parameters!$S$8="2560x1600p60Hz (76)",W194,O194))))))</f>
        <v>40</v>
      </c>
      <c r="O194" s="260">
        <f>HEX2DEC(RIGHT(DEC2HEX(L195*100,4),2))</f>
        <v>40</v>
      </c>
      <c r="P194" s="261">
        <v>216</v>
      </c>
      <c r="Q194" s="261">
        <v>140</v>
      </c>
      <c r="R194" s="261">
        <v>1</v>
      </c>
      <c r="S194" s="261">
        <v>2</v>
      </c>
      <c r="T194" s="261">
        <v>100</v>
      </c>
      <c r="U194" s="261">
        <v>188</v>
      </c>
      <c r="V194" s="261">
        <v>40</v>
      </c>
      <c r="W194" s="261">
        <v>236</v>
      </c>
      <c r="X194" s="131"/>
      <c r="Y194" s="131"/>
      <c r="Z194" s="247"/>
      <c r="AA194" s="66"/>
      <c r="AB194" s="66"/>
      <c r="AC194" s="66"/>
      <c r="AD194" s="66"/>
      <c r="AJ194" s="266"/>
    </row>
    <row r="195" spans="2:36" ht="15">
      <c r="B195" s="93" t="s">
        <v>1035</v>
      </c>
      <c r="C195" s="89" t="s">
        <v>1036</v>
      </c>
      <c r="D195" s="510" t="s">
        <v>1508</v>
      </c>
      <c r="E195" s="91" t="str">
        <f t="shared" ref="E195:E212" si="16">DEC2HEX(N195,2)</f>
        <v>3C</v>
      </c>
      <c r="F195" s="244"/>
      <c r="G195" s="194">
        <f t="shared" si="10"/>
        <v>60</v>
      </c>
      <c r="H195" s="586" t="s">
        <v>1179</v>
      </c>
      <c r="I195" s="586"/>
      <c r="J195" s="252">
        <v>27</v>
      </c>
      <c r="K195" s="209" t="str">
        <f>IF(O141="Enable",IF(L195*100&gt;65535,"NG","OK"),"-")</f>
        <v>-</v>
      </c>
      <c r="L195" s="215">
        <f>IF(Main_Parameters!$S$8="Original",Main_Parameters!$C$20,J195)</f>
        <v>154</v>
      </c>
      <c r="M195" s="263"/>
      <c r="N195" s="264">
        <f>IF(Main_Parameters!$S$8="640x480p60Hz (1)",P195,IF(Main_Parameters!$S$8="720x480p60Hz (2)",Q195,IF(Main_Parameters!$S$8="1280x720p60Hz (4)",R195,IF(Main_Parameters!$S$8="1920x1080p60Hz (16)",S195,IF(Main_Parameters!$S$8="1920x1200p60Hz (68)",V195,IF(Main_Parameters!$S$8="2560x1600p60Hz (76)",W195,O195))))))</f>
        <v>60</v>
      </c>
      <c r="O195" s="264">
        <f>HEX2DEC(LEFT(DEC2HEX(L195*100,4),2))</f>
        <v>60</v>
      </c>
      <c r="P195" s="265">
        <v>9</v>
      </c>
      <c r="Q195" s="265">
        <v>10</v>
      </c>
      <c r="R195" s="265">
        <v>29</v>
      </c>
      <c r="S195" s="265">
        <v>58</v>
      </c>
      <c r="T195" s="265">
        <v>25</v>
      </c>
      <c r="U195" s="265">
        <v>27</v>
      </c>
      <c r="V195" s="265">
        <v>60</v>
      </c>
      <c r="W195" s="265">
        <v>104</v>
      </c>
      <c r="X195" s="131"/>
      <c r="Y195" s="131"/>
      <c r="Z195" s="247"/>
      <c r="AA195" s="66"/>
      <c r="AB195" s="66"/>
      <c r="AC195" s="66"/>
      <c r="AD195" s="66"/>
      <c r="AJ195" s="266"/>
    </row>
    <row r="196" spans="2:36" ht="15">
      <c r="B196" s="93" t="s">
        <v>1035</v>
      </c>
      <c r="C196" s="89" t="s">
        <v>1036</v>
      </c>
      <c r="D196" s="510" t="s">
        <v>1509</v>
      </c>
      <c r="E196" s="91" t="str">
        <f t="shared" si="16"/>
        <v>38</v>
      </c>
      <c r="F196" s="244" t="s">
        <v>1510</v>
      </c>
      <c r="G196" s="194">
        <f t="shared" si="10"/>
        <v>56</v>
      </c>
      <c r="H196" s="586" t="s">
        <v>1182</v>
      </c>
      <c r="I196" s="586"/>
      <c r="J196" s="252">
        <v>1440</v>
      </c>
      <c r="K196" s="209" t="str">
        <f>IF(O141="Enable",IF(L196&gt;4095,"NG","OK"),"-")</f>
        <v>-</v>
      </c>
      <c r="L196" s="215">
        <f>IF(Main_Parameters!$S$8="Original",Main_Parameters!$F$20,J196)</f>
        <v>1080</v>
      </c>
      <c r="M196" s="263"/>
      <c r="N196" s="264">
        <f>IF(Main_Parameters!$S$8="640x480p60Hz (1)",P196,IF(Main_Parameters!$S$8="720x480p60Hz (2)",Q196,IF(Main_Parameters!$S$8="1280x720p60Hz (4)",R196,IF(Main_Parameters!$S$8="1920x1080p60Hz (16)",S196,IF(Main_Parameters!$S$8="1920x1200p60Hz (68)",V196,IF(Main_Parameters!$S$8="2560x1600p60Hz (76)",W196,O196))))))</f>
        <v>56</v>
      </c>
      <c r="O196" s="264">
        <f>HEX2DEC(RIGHT(DEC2HEX(L196,3),2))</f>
        <v>56</v>
      </c>
      <c r="P196" s="265">
        <v>128</v>
      </c>
      <c r="Q196" s="265">
        <v>208</v>
      </c>
      <c r="R196" s="265">
        <v>0</v>
      </c>
      <c r="S196" s="265">
        <v>128</v>
      </c>
      <c r="T196" s="265">
        <v>0</v>
      </c>
      <c r="U196" s="265">
        <v>0</v>
      </c>
      <c r="V196" s="265">
        <v>128</v>
      </c>
      <c r="W196" s="265">
        <v>0</v>
      </c>
      <c r="X196" s="131"/>
      <c r="Y196" s="131"/>
      <c r="Z196" s="247"/>
      <c r="AA196" s="66"/>
      <c r="AB196" s="66"/>
      <c r="AC196" s="66"/>
      <c r="AD196" s="66"/>
      <c r="AJ196" s="266"/>
    </row>
    <row r="197" spans="2:36" ht="15">
      <c r="B197" s="93" t="s">
        <v>1035</v>
      </c>
      <c r="C197" s="89" t="s">
        <v>1036</v>
      </c>
      <c r="D197" s="510" t="s">
        <v>1511</v>
      </c>
      <c r="E197" s="91" t="str">
        <f t="shared" si="16"/>
        <v>FA</v>
      </c>
      <c r="F197" s="244" t="s">
        <v>1512</v>
      </c>
      <c r="G197" s="194">
        <f t="shared" si="10"/>
        <v>250</v>
      </c>
      <c r="H197" s="586" t="s">
        <v>1185</v>
      </c>
      <c r="I197" s="586"/>
      <c r="J197" s="252">
        <v>124</v>
      </c>
      <c r="K197" s="209" t="str">
        <f>IF(O141="Enable",IF(L197&gt;1023,"NG","OK"),"-")</f>
        <v>-</v>
      </c>
      <c r="L197" s="215">
        <f>IF(Main_Parameters!$S$8="Original",Main_Parameters!$D$20,J197)</f>
        <v>50</v>
      </c>
      <c r="M197" s="263"/>
      <c r="N197" s="264">
        <f>IF(Main_Parameters!$S$8="640x480p60Hz (1)",P197,IF(Main_Parameters!$S$8="720x480p60Hz (2)",Q197,IF(Main_Parameters!$S$8="1280x720p60Hz (4)",R197,IF(Main_Parameters!$S$8="1920x1080p60Hz (16)",S197,IF(Main_Parameters!$S$8="1920x1200p60Hz (68)",V197,IF(Main_Parameters!$S$8="2560x1600p60Hz (76)",W197,O197))))))</f>
        <v>250</v>
      </c>
      <c r="O197" s="264">
        <f>HEX2DEC(RIGHT(DEC2HEX(L197+L198+L199,3),2))</f>
        <v>250</v>
      </c>
      <c r="P197" s="265">
        <v>160</v>
      </c>
      <c r="Q197" s="265">
        <v>138</v>
      </c>
      <c r="R197" s="265">
        <v>114</v>
      </c>
      <c r="S197" s="265">
        <v>24</v>
      </c>
      <c r="T197" s="265">
        <v>64</v>
      </c>
      <c r="U197" s="265">
        <v>160</v>
      </c>
      <c r="V197" s="265">
        <v>160</v>
      </c>
      <c r="W197" s="265">
        <v>160</v>
      </c>
      <c r="X197" s="131"/>
      <c r="Y197" s="131"/>
      <c r="Z197" s="247"/>
      <c r="AA197" s="66"/>
      <c r="AB197" s="66"/>
      <c r="AC197" s="66"/>
      <c r="AD197" s="66"/>
      <c r="AJ197" s="266"/>
    </row>
    <row r="198" spans="2:36" ht="15">
      <c r="B198" s="93" t="s">
        <v>1035</v>
      </c>
      <c r="C198" s="89" t="s">
        <v>1036</v>
      </c>
      <c r="D198" s="510" t="s">
        <v>1513</v>
      </c>
      <c r="E198" s="91" t="str">
        <f t="shared" si="16"/>
        <v>40</v>
      </c>
      <c r="F198" s="244" t="s">
        <v>1514</v>
      </c>
      <c r="G198" s="194">
        <f t="shared" ref="G198:G258" si="17">HEX2DEC(E198)</f>
        <v>64</v>
      </c>
      <c r="H198" s="586" t="s">
        <v>1188</v>
      </c>
      <c r="I198" s="586"/>
      <c r="J198" s="252">
        <v>114</v>
      </c>
      <c r="K198" s="209" t="str">
        <f>IF(O141="Enable",IF(L197+L198+L199&gt;4095,"NG","OK"),"-")</f>
        <v>-</v>
      </c>
      <c r="L198" s="215">
        <f>IF(Main_Parameters!$S$8="Original",Main_Parameters!$E$20,J198)</f>
        <v>100</v>
      </c>
      <c r="M198" s="263"/>
      <c r="N198" s="264">
        <f>IF(Main_Parameters!$S$8="640x480p60Hz (1)",P198,IF(Main_Parameters!$S$8="720x480p60Hz (2)",Q198,IF(Main_Parameters!$S$8="1280x720p60Hz (4)",R198,IF(Main_Parameters!$S$8="1920x1080p60Hz (16)",S198,IF(Main_Parameters!$S$8="1920x1200p60Hz (68)",V198,IF(Main_Parameters!$S$8="2560x1600p60Hz (76)",W198,O198))))))</f>
        <v>64</v>
      </c>
      <c r="O198" s="264">
        <f>HEX2DEC((LEFT(DEC2HEX(L196,3),1)))*2^4+HEX2DEC(LEFT(DEC2HEX(L197+L198+L199,3),1))</f>
        <v>64</v>
      </c>
      <c r="P198" s="265">
        <v>32</v>
      </c>
      <c r="Q198" s="265">
        <v>32</v>
      </c>
      <c r="R198" s="265">
        <v>81</v>
      </c>
      <c r="S198" s="265">
        <v>113</v>
      </c>
      <c r="T198" s="265">
        <v>65</v>
      </c>
      <c r="U198" s="265">
        <v>80</v>
      </c>
      <c r="V198" s="265">
        <v>112</v>
      </c>
      <c r="W198" s="265">
        <v>160</v>
      </c>
      <c r="X198" s="131"/>
      <c r="Y198" s="131"/>
      <c r="Z198" s="247"/>
      <c r="AA198" s="66"/>
      <c r="AB198" s="66"/>
      <c r="AC198" s="66"/>
      <c r="AD198" s="66"/>
      <c r="AJ198" s="266"/>
    </row>
    <row r="199" spans="2:36" ht="15">
      <c r="B199" s="93" t="s">
        <v>1035</v>
      </c>
      <c r="C199" s="89" t="s">
        <v>1036</v>
      </c>
      <c r="D199" s="510" t="s">
        <v>1515</v>
      </c>
      <c r="E199" s="91" t="str">
        <f t="shared" si="16"/>
        <v>80</v>
      </c>
      <c r="F199" s="244" t="s">
        <v>1516</v>
      </c>
      <c r="G199" s="194">
        <f t="shared" si="17"/>
        <v>128</v>
      </c>
      <c r="H199" s="586" t="s">
        <v>1191</v>
      </c>
      <c r="I199" s="586"/>
      <c r="J199" s="252">
        <v>38</v>
      </c>
      <c r="K199" s="209" t="str">
        <f>IF(O141="Enable",IF(L199&gt;1023,"NG","OK"),"-")</f>
        <v>-</v>
      </c>
      <c r="L199" s="215">
        <f>IF(Main_Parameters!$S$8="Original",Main_Parameters!$G$20,J199)</f>
        <v>100</v>
      </c>
      <c r="M199" s="263"/>
      <c r="N199" s="264">
        <f>IF(Main_Parameters!$S$8="640x480p60Hz (1)",P199,IF(Main_Parameters!$S$8="720x480p60Hz (2)",Q199,IF(Main_Parameters!$S$8="1280x720p60Hz (4)",R199,IF(Main_Parameters!$S$8="1920x1080p60Hz (16)",S199,IF(Main_Parameters!$S$8="1920x1200p60Hz (68)",V199,IF(Main_Parameters!$S$8="2560x1600p60Hz (76)",W199,O199))))))</f>
        <v>128</v>
      </c>
      <c r="O199" s="264">
        <f>HEX2DEC(RIGHT(DEC2HEX(L200,3),2))</f>
        <v>128</v>
      </c>
      <c r="P199" s="265">
        <v>224</v>
      </c>
      <c r="Q199" s="265">
        <v>224</v>
      </c>
      <c r="R199" s="265">
        <v>208</v>
      </c>
      <c r="S199" s="265">
        <v>56</v>
      </c>
      <c r="T199" s="265">
        <v>0</v>
      </c>
      <c r="U199" s="265">
        <v>32</v>
      </c>
      <c r="V199" s="265">
        <v>176</v>
      </c>
      <c r="W199" s="265">
        <v>64</v>
      </c>
      <c r="X199" s="131"/>
      <c r="Y199" s="131"/>
      <c r="Z199" s="247"/>
      <c r="AA199" s="66"/>
      <c r="AB199" s="66"/>
      <c r="AC199" s="66"/>
      <c r="AD199" s="66"/>
      <c r="AJ199" s="266"/>
    </row>
    <row r="200" spans="2:36" ht="15">
      <c r="B200" s="93" t="s">
        <v>1035</v>
      </c>
      <c r="C200" s="89" t="s">
        <v>1036</v>
      </c>
      <c r="D200" s="510" t="s">
        <v>1517</v>
      </c>
      <c r="E200" s="91" t="str">
        <f t="shared" si="16"/>
        <v>0C</v>
      </c>
      <c r="F200" s="244" t="s">
        <v>1518</v>
      </c>
      <c r="G200" s="194">
        <f t="shared" si="17"/>
        <v>12</v>
      </c>
      <c r="H200" s="586" t="s">
        <v>1194</v>
      </c>
      <c r="I200" s="586"/>
      <c r="J200" s="252">
        <v>240</v>
      </c>
      <c r="K200" s="209" t="str">
        <f>IF(O141="Enable",IF(L200&gt;4095,"NG","OK"),"-")</f>
        <v>-</v>
      </c>
      <c r="L200" s="215">
        <f>IF(Main_Parameters!$S$8="Original",Main_Parameters!$J$20,J200)</f>
        <v>1920</v>
      </c>
      <c r="M200" s="263"/>
      <c r="N200" s="264">
        <f>IF(Main_Parameters!$S$8="640x480p60Hz (1)",P200,IF(Main_Parameters!$S$8="720x480p60Hz (2)",Q200,IF(Main_Parameters!$S$8="1280x720p60Hz (4)",R200,IF(Main_Parameters!$S$8="1920x1080p60Hz (16)",S200,IF(Main_Parameters!$S$8="1920x1200p60Hz (68)",V200,IF(Main_Parameters!$S$8="2560x1600p60Hz (76)",W200,O200))))))</f>
        <v>12</v>
      </c>
      <c r="O200" s="264">
        <f>HEX2DEC(RIGHT(DEC2HEX(L201+L202+L203,3),2))</f>
        <v>12</v>
      </c>
      <c r="P200" s="265">
        <v>45</v>
      </c>
      <c r="Q200" s="265">
        <v>45</v>
      </c>
      <c r="R200" s="265">
        <v>30</v>
      </c>
      <c r="S200" s="265">
        <v>45</v>
      </c>
      <c r="T200" s="265">
        <v>38</v>
      </c>
      <c r="U200" s="265">
        <v>23</v>
      </c>
      <c r="V200" s="265">
        <v>35</v>
      </c>
      <c r="W200" s="265">
        <v>46</v>
      </c>
      <c r="X200" s="131"/>
      <c r="Y200" s="131"/>
      <c r="Z200" s="247"/>
      <c r="AA200" s="66"/>
      <c r="AB200" s="66"/>
      <c r="AC200" s="66"/>
      <c r="AD200" s="66"/>
      <c r="AJ200" s="266"/>
    </row>
    <row r="201" spans="2:36" ht="15">
      <c r="B201" s="93" t="s">
        <v>1035</v>
      </c>
      <c r="C201" s="89" t="s">
        <v>1036</v>
      </c>
      <c r="D201" s="510" t="s">
        <v>1519</v>
      </c>
      <c r="E201" s="91" t="str">
        <f t="shared" si="16"/>
        <v>70</v>
      </c>
      <c r="F201" s="244" t="s">
        <v>1520</v>
      </c>
      <c r="G201" s="194">
        <f t="shared" si="17"/>
        <v>112</v>
      </c>
      <c r="H201" s="586" t="s">
        <v>1197</v>
      </c>
      <c r="I201" s="586"/>
      <c r="J201" s="252">
        <v>3</v>
      </c>
      <c r="K201" s="209" t="str">
        <f>IF(O141="Enable",IF(L201&gt;15,"NG","OK"),"-")</f>
        <v>-</v>
      </c>
      <c r="L201" s="215">
        <f>IF(Main_Parameters!$S$8="Original",Main_Parameters!$H$20,J201)</f>
        <v>4</v>
      </c>
      <c r="M201" s="263"/>
      <c r="N201" s="264">
        <f>IF(Main_Parameters!$S$8="640x480p60Hz (1)",P201,IF(Main_Parameters!$S$8="720x480p60Hz (2)",Q201,IF(Main_Parameters!$S$8="1280x720p60Hz (4)",R201,IF(Main_Parameters!$S$8="1920x1080p60Hz (16)",S201,IF(Main_Parameters!$S$8="1920x1200p60Hz (68)",V201,IF(Main_Parameters!$S$8="2560x1600p60Hz (76)",W201,O201))))))</f>
        <v>112</v>
      </c>
      <c r="O201" s="264">
        <f>HEX2DEC((LEFT(DEC2HEX(L200,3),1)))*2^4+HEX2DEC(LEFT(DEC2HEX(L201+L202+L203,3),1))</f>
        <v>112</v>
      </c>
      <c r="P201" s="265">
        <v>16</v>
      </c>
      <c r="Q201" s="265">
        <v>16</v>
      </c>
      <c r="R201" s="265">
        <v>32</v>
      </c>
      <c r="S201" s="265">
        <v>64</v>
      </c>
      <c r="T201" s="265">
        <v>48</v>
      </c>
      <c r="U201" s="265">
        <v>48</v>
      </c>
      <c r="V201" s="265">
        <v>64</v>
      </c>
      <c r="W201" s="265">
        <v>96</v>
      </c>
      <c r="X201" s="131"/>
      <c r="Y201" s="131"/>
      <c r="Z201" s="247"/>
      <c r="AA201" s="66"/>
      <c r="AB201" s="66"/>
      <c r="AC201" s="66"/>
      <c r="AD201" s="66"/>
      <c r="AJ201" s="266"/>
    </row>
    <row r="202" spans="2:36" ht="15">
      <c r="B202" s="93" t="s">
        <v>1035</v>
      </c>
      <c r="C202" s="89" t="s">
        <v>1036</v>
      </c>
      <c r="D202" s="510" t="s">
        <v>1521</v>
      </c>
      <c r="E202" s="91" t="str">
        <f t="shared" si="16"/>
        <v>64</v>
      </c>
      <c r="F202" s="244" t="s">
        <v>1522</v>
      </c>
      <c r="G202" s="194">
        <f t="shared" si="17"/>
        <v>100</v>
      </c>
      <c r="H202" s="586" t="s">
        <v>1200</v>
      </c>
      <c r="I202" s="586"/>
      <c r="J202" s="252">
        <v>15</v>
      </c>
      <c r="K202" s="209" t="str">
        <f>IF(O141="Enable",IF(L201+L202+L203&gt;4095,"NG","OK"),"-")</f>
        <v>-</v>
      </c>
      <c r="L202" s="215">
        <f>IF(Main_Parameters!$S$8="Original",Main_Parameters!$I$20,J202)</f>
        <v>4</v>
      </c>
      <c r="M202" s="263"/>
      <c r="N202" s="264">
        <f>IF(Main_Parameters!$S$8="640x480p60Hz (1)",P202,IF(Main_Parameters!$S$8="720x480p60Hz (2)",Q202,IF(Main_Parameters!$S$8="1280x720p60Hz (4)",R202,IF(Main_Parameters!$S$8="1920x1080p60Hz (16)",S202,IF(Main_Parameters!$S$8="1920x1200p60Hz (68)",V202,IF(Main_Parameters!$S$8="2560x1600p60Hz (76)",W202,O202))))))</f>
        <v>100</v>
      </c>
      <c r="O202" s="264">
        <f>HEX2DEC(RIGHT(DEC2HEX(L199,3),2))</f>
        <v>100</v>
      </c>
      <c r="P202" s="265">
        <v>16</v>
      </c>
      <c r="Q202" s="265">
        <v>16</v>
      </c>
      <c r="R202" s="265">
        <v>110</v>
      </c>
      <c r="S202" s="265">
        <v>88</v>
      </c>
      <c r="T202" s="265">
        <v>24</v>
      </c>
      <c r="U202" s="265">
        <v>48</v>
      </c>
      <c r="V202" s="265">
        <v>48</v>
      </c>
      <c r="W202" s="265">
        <v>48</v>
      </c>
      <c r="X202" s="131"/>
      <c r="Y202" s="131"/>
      <c r="Z202" s="247"/>
      <c r="AA202" s="66"/>
      <c r="AB202" s="66"/>
      <c r="AC202" s="66"/>
      <c r="AD202" s="66"/>
      <c r="AJ202" s="266"/>
    </row>
    <row r="203" spans="2:36" ht="15">
      <c r="B203" s="93" t="s">
        <v>1035</v>
      </c>
      <c r="C203" s="89" t="s">
        <v>1036</v>
      </c>
      <c r="D203" s="510" t="s">
        <v>1523</v>
      </c>
      <c r="E203" s="91" t="str">
        <f t="shared" si="16"/>
        <v>32</v>
      </c>
      <c r="F203" s="244" t="s">
        <v>1524</v>
      </c>
      <c r="G203" s="194">
        <f t="shared" si="17"/>
        <v>50</v>
      </c>
      <c r="H203" s="586" t="s">
        <v>1203</v>
      </c>
      <c r="I203" s="586"/>
      <c r="J203" s="252">
        <v>4</v>
      </c>
      <c r="K203" s="209" t="str">
        <f>IF(O141="Enable",IF(L203&gt;15,"NG","OK"),"-")</f>
        <v>-</v>
      </c>
      <c r="L203" s="215">
        <f>IF(Main_Parameters!$S$8="Original",Main_Parameters!$K$20,J203)</f>
        <v>4</v>
      </c>
      <c r="M203" s="263"/>
      <c r="N203" s="264">
        <f>IF(Main_Parameters!$S$8="640x480p60Hz (1)",P203,IF(Main_Parameters!$S$8="720x480p60Hz (2)",Q203,IF(Main_Parameters!$S$8="1280x720p60Hz (4)",R203,IF(Main_Parameters!$S$8="1920x1080p60Hz (16)",S203,IF(Main_Parameters!$S$8="1920x1200p60Hz (68)",V203,IF(Main_Parameters!$S$8="2560x1600p60Hz (76)",W203,O203))))))</f>
        <v>50</v>
      </c>
      <c r="O203" s="264">
        <f>HEX2DEC(RIGHT(DEC2HEX(L197,3),2))</f>
        <v>50</v>
      </c>
      <c r="P203" s="265">
        <v>96</v>
      </c>
      <c r="Q203" s="265">
        <v>62</v>
      </c>
      <c r="R203" s="265">
        <v>40</v>
      </c>
      <c r="S203" s="265">
        <v>44</v>
      </c>
      <c r="T203" s="265">
        <v>136</v>
      </c>
      <c r="U203" s="265">
        <v>32</v>
      </c>
      <c r="V203" s="265">
        <v>32</v>
      </c>
      <c r="W203" s="265">
        <v>32</v>
      </c>
      <c r="X203" s="131"/>
      <c r="Y203" s="131"/>
      <c r="Z203" s="247"/>
      <c r="AA203" s="66"/>
      <c r="AB203" s="66"/>
      <c r="AC203" s="66"/>
      <c r="AD203" s="66"/>
      <c r="AJ203" s="266"/>
    </row>
    <row r="204" spans="2:36" ht="15">
      <c r="B204" s="93" t="s">
        <v>1035</v>
      </c>
      <c r="C204" s="89" t="s">
        <v>1036</v>
      </c>
      <c r="D204" s="510" t="s">
        <v>1525</v>
      </c>
      <c r="E204" s="91" t="str">
        <f t="shared" si="16"/>
        <v>44</v>
      </c>
      <c r="F204" s="244" t="s">
        <v>1526</v>
      </c>
      <c r="G204" s="194">
        <f t="shared" si="17"/>
        <v>68</v>
      </c>
      <c r="H204" s="586" t="s">
        <v>1206</v>
      </c>
      <c r="I204" s="586"/>
      <c r="J204" s="252">
        <v>192</v>
      </c>
      <c r="K204" s="209" t="str">
        <f>IF(AI141="Disable",IF(L204&gt;4095,"NG","OK"),"-")</f>
        <v>-</v>
      </c>
      <c r="L204" s="215">
        <f>IF(Main_Parameters!$S$8="Original",Main_Parameters!$O$23,J204)</f>
        <v>192</v>
      </c>
      <c r="M204" s="263"/>
      <c r="N204" s="264">
        <f>IF(Main_Parameters!$S$8="640x480p60Hz (1)",P204,IF(Main_Parameters!$S$8="720x480p60Hz (2)",Q204,IF(Main_Parameters!$S$8="1280x720p60Hz (4)",R204,IF(Main_Parameters!$S$8="1920x1080p60Hz (16)",S204,IF(Main_Parameters!$S$8="1920x1200p60Hz (68)",V204,IF(Main_Parameters!$S$8="2560x1600p60Hz (76)",W204,O204))))))</f>
        <v>68</v>
      </c>
      <c r="O204" s="264">
        <f>HEX2DEC(RIGHT(DEC2HEX(L203,2),1))*2^4+HEX2DEC(RIGHT(DEC2HEX(L201,2),1))</f>
        <v>68</v>
      </c>
      <c r="P204" s="265">
        <v>162</v>
      </c>
      <c r="Q204" s="265">
        <v>150</v>
      </c>
      <c r="R204" s="265">
        <v>85</v>
      </c>
      <c r="S204" s="265">
        <v>69</v>
      </c>
      <c r="T204" s="265">
        <v>54</v>
      </c>
      <c r="U204" s="265">
        <v>54</v>
      </c>
      <c r="V204" s="265">
        <v>54</v>
      </c>
      <c r="W204" s="265">
        <v>54</v>
      </c>
      <c r="X204" s="131"/>
      <c r="Y204" s="131"/>
      <c r="Z204" s="247"/>
      <c r="AA204" s="66"/>
      <c r="AB204" s="66"/>
      <c r="AC204" s="66"/>
      <c r="AD204" s="66"/>
      <c r="AJ204" s="266"/>
    </row>
    <row r="205" spans="2:36" ht="15">
      <c r="B205" s="93" t="s">
        <v>1035</v>
      </c>
      <c r="C205" s="89" t="s">
        <v>1036</v>
      </c>
      <c r="D205" s="510" t="s">
        <v>1527</v>
      </c>
      <c r="E205" s="91" t="str">
        <f t="shared" si="16"/>
        <v>00</v>
      </c>
      <c r="F205" s="244" t="s">
        <v>1528</v>
      </c>
      <c r="G205" s="194">
        <f t="shared" si="17"/>
        <v>0</v>
      </c>
      <c r="H205" s="586" t="s">
        <v>1209</v>
      </c>
      <c r="I205" s="586"/>
      <c r="J205" s="252">
        <v>120</v>
      </c>
      <c r="K205" s="209" t="str">
        <f>IF(AI141="Disable",IF(L205&gt;4095,"NG","OK"),"-")</f>
        <v>-</v>
      </c>
      <c r="L205" s="215">
        <f>IF(Main_Parameters!$S$8="Original",Main_Parameters!$O$24,J205)</f>
        <v>120</v>
      </c>
      <c r="M205" s="263"/>
      <c r="N205" s="264">
        <f>IF(Main_Parameters!$S$8="640x480p60Hz (1)",P205,IF(Main_Parameters!$S$8="720x480p60Hz (2)",Q205,IF(Main_Parameters!$S$8="1280x720p60Hz (4)",R205,IF(Main_Parameters!$S$8="1920x1080p60Hz (16)",S205,IF(Main_Parameters!$S$8="1920x1200p60Hz (68)",V205,IF(Main_Parameters!$S$8="2560x1600p60Hz (76)",W205,O205))))))</f>
        <v>0</v>
      </c>
      <c r="O205" s="264">
        <f>HEX2DEC(LEFT(DEC2HEX(L199,3),1))*2^6+HEX2DEC(LEFT(DEC2HEX(L197,3),1))*2^4+HEX2DEC(LEFT(DEC2HEX(L203,2),1))*2^2+HEX2DEC(LEFT(DEC2HEX(L201,2),1))</f>
        <v>0</v>
      </c>
      <c r="P205" s="265">
        <v>0</v>
      </c>
      <c r="Q205" s="265">
        <v>0</v>
      </c>
      <c r="R205" s="265">
        <v>0</v>
      </c>
      <c r="S205" s="265">
        <v>0</v>
      </c>
      <c r="T205" s="265">
        <v>0</v>
      </c>
      <c r="U205" s="265">
        <v>0</v>
      </c>
      <c r="V205" s="265">
        <v>0</v>
      </c>
      <c r="W205" s="265">
        <v>0</v>
      </c>
      <c r="X205" s="131"/>
      <c r="Y205" s="131"/>
      <c r="Z205" s="247"/>
      <c r="AA205" s="66"/>
      <c r="AB205" s="66"/>
      <c r="AC205" s="66"/>
      <c r="AD205" s="66"/>
      <c r="AJ205" s="266"/>
    </row>
    <row r="206" spans="2:36" ht="15">
      <c r="B206" s="93" t="s">
        <v>1035</v>
      </c>
      <c r="C206" s="89" t="s">
        <v>1036</v>
      </c>
      <c r="D206" s="510" t="s">
        <v>1529</v>
      </c>
      <c r="E206" s="91" t="str">
        <f t="shared" si="16"/>
        <v>C0</v>
      </c>
      <c r="F206" s="244" t="s">
        <v>1530</v>
      </c>
      <c r="G206" s="194">
        <f t="shared" si="17"/>
        <v>192</v>
      </c>
      <c r="H206" s="586" t="s">
        <v>1212</v>
      </c>
      <c r="I206" s="586"/>
      <c r="J206" s="270" t="s">
        <v>768</v>
      </c>
      <c r="K206" s="194">
        <f>IF(L206="Interlace",1,0)</f>
        <v>0</v>
      </c>
      <c r="L206" s="215" t="str">
        <f>IF(Main_Parameters!$S$8="Original",Main_Parameters!$M$21,J206)</f>
        <v>Progressive</v>
      </c>
      <c r="M206" s="271"/>
      <c r="N206" s="264">
        <f>IF(Main_Parameters!$S$8="640x480p60Hz (1)",P206,IF(Main_Parameters!$S$8="720x480p60Hz (2)",Q206,IF(Main_Parameters!$S$8="1280x720p60Hz (4)",R206,IF(Main_Parameters!$S$8="1920x1080p60Hz (16)",S206,IF(Main_Parameters!$S$8="1920x1200p60Hz (68)",V206,IF(Main_Parameters!$S$8="2560x1600p60Hz (76)",W206,O206))))))</f>
        <v>192</v>
      </c>
      <c r="O206" s="264">
        <f>HEX2DEC(RIGHT(DEC2HEX(L204,3),2))</f>
        <v>192</v>
      </c>
      <c r="P206" s="265">
        <v>196</v>
      </c>
      <c r="Q206" s="265">
        <v>19</v>
      </c>
      <c r="R206" s="265">
        <v>196</v>
      </c>
      <c r="S206" s="265">
        <v>196</v>
      </c>
      <c r="T206" s="265">
        <v>0</v>
      </c>
      <c r="U206" s="265">
        <v>0</v>
      </c>
      <c r="V206" s="265">
        <v>128</v>
      </c>
      <c r="W206" s="265">
        <v>0</v>
      </c>
      <c r="X206" s="131"/>
      <c r="Y206" s="131"/>
      <c r="Z206" s="247"/>
      <c r="AA206" s="66"/>
      <c r="AB206" s="66"/>
      <c r="AC206" s="66"/>
      <c r="AD206" s="66"/>
      <c r="AJ206" s="266"/>
    </row>
    <row r="207" spans="2:36" ht="15">
      <c r="B207" s="93" t="s">
        <v>1035</v>
      </c>
      <c r="C207" s="89" t="s">
        <v>1036</v>
      </c>
      <c r="D207" s="510" t="s">
        <v>1531</v>
      </c>
      <c r="E207" s="91" t="str">
        <f t="shared" si="16"/>
        <v>78</v>
      </c>
      <c r="F207" s="244" t="s">
        <v>1532</v>
      </c>
      <c r="G207" s="194">
        <f t="shared" si="17"/>
        <v>120</v>
      </c>
      <c r="H207" s="586" t="s">
        <v>1215</v>
      </c>
      <c r="I207" s="586"/>
      <c r="J207" s="270" t="s">
        <v>1305</v>
      </c>
      <c r="K207" s="194">
        <f>IF(L207="H Active",1,0)</f>
        <v>0</v>
      </c>
      <c r="L207" s="215" t="str">
        <f>IF(Main_Parameters!$S$8="Original",Main_Parameters!$M$24,J207)</f>
        <v>L Active</v>
      </c>
      <c r="M207" s="271"/>
      <c r="N207" s="264">
        <f>IF(Main_Parameters!$S$8="640x480p60Hz (1)",P207,IF(Main_Parameters!$S$8="720x480p60Hz (2)",Q207,IF(Main_Parameters!$S$8="1280x720p60Hz (4)",R207,IF(Main_Parameters!$S$8="1920x1080p60Hz (16)",S207,IF(Main_Parameters!$S$8="1920x1200p60Hz (68)",V207,IF(Main_Parameters!$S$8="2560x1600p60Hz (76)",W207,O207))))))</f>
        <v>120</v>
      </c>
      <c r="O207" s="264">
        <f>HEX2DEC(RIGHT(DEC2HEX(L205,3),2))</f>
        <v>120</v>
      </c>
      <c r="P207" s="265">
        <v>142</v>
      </c>
      <c r="Q207" s="265">
        <v>142</v>
      </c>
      <c r="R207" s="265">
        <v>142</v>
      </c>
      <c r="S207" s="265">
        <v>142</v>
      </c>
      <c r="T207" s="265">
        <v>0</v>
      </c>
      <c r="U207" s="265">
        <v>32</v>
      </c>
      <c r="V207" s="265">
        <v>176</v>
      </c>
      <c r="W207" s="265">
        <v>64</v>
      </c>
      <c r="X207" s="131"/>
      <c r="Y207" s="131"/>
      <c r="Z207" s="247"/>
      <c r="AA207" s="66"/>
      <c r="AB207" s="66"/>
      <c r="AC207" s="66"/>
      <c r="AD207" s="66"/>
      <c r="AJ207" s="266"/>
    </row>
    <row r="208" spans="2:36" ht="15">
      <c r="B208" s="93" t="s">
        <v>1035</v>
      </c>
      <c r="C208" s="89" t="s">
        <v>1036</v>
      </c>
      <c r="D208" s="510" t="s">
        <v>1533</v>
      </c>
      <c r="E208" s="91" t="str">
        <f t="shared" si="16"/>
        <v>00</v>
      </c>
      <c r="F208" s="244" t="s">
        <v>1534</v>
      </c>
      <c r="G208" s="194">
        <f t="shared" si="17"/>
        <v>0</v>
      </c>
      <c r="H208" s="586" t="s">
        <v>1218</v>
      </c>
      <c r="I208" s="586"/>
      <c r="J208" s="270" t="s">
        <v>1305</v>
      </c>
      <c r="K208" s="194">
        <f>IF(L208="H Active",1,0)</f>
        <v>0</v>
      </c>
      <c r="L208" s="215" t="str">
        <f>IF(Main_Parameters!$S$8="Original",Main_Parameters!$M$23,J208)</f>
        <v>L Active</v>
      </c>
      <c r="M208" s="271"/>
      <c r="N208" s="264">
        <f>IF(Main_Parameters!$S$8="640x480p60Hz (1)",P208,IF(Main_Parameters!$S$8="720x480p60Hz (2)",Q208,IF(Main_Parameters!$S$8="1280x720p60Hz (4)",R208,IF(Main_Parameters!$S$8="1920x1080p60Hz (16)",S208,IF(Main_Parameters!$S$8="1920x1200p60Hz (68)",V208,IF(Main_Parameters!$S$8="2560x1600p60Hz (76)",W208,O208))))))</f>
        <v>0</v>
      </c>
      <c r="O208" s="264">
        <f>HEX2DEC((LEFT(DEC2HEX(L204,3),1)))*2^4+HEX2DEC(LEFT(DEC2HEX(L205,3),1))</f>
        <v>0</v>
      </c>
      <c r="P208" s="265">
        <v>33</v>
      </c>
      <c r="Q208" s="265">
        <v>33</v>
      </c>
      <c r="R208" s="265">
        <v>33</v>
      </c>
      <c r="S208" s="265">
        <v>33</v>
      </c>
      <c r="T208" s="265">
        <v>67</v>
      </c>
      <c r="U208" s="265">
        <v>83</v>
      </c>
      <c r="V208" s="265">
        <v>116</v>
      </c>
      <c r="W208" s="265">
        <v>166</v>
      </c>
      <c r="X208" s="131"/>
      <c r="Y208" s="131"/>
      <c r="Z208" s="247"/>
      <c r="AA208" s="66"/>
      <c r="AB208" s="66"/>
      <c r="AC208" s="66"/>
      <c r="AD208" s="66"/>
      <c r="AJ208" s="266"/>
    </row>
    <row r="209" spans="2:36">
      <c r="B209" s="93" t="s">
        <v>1035</v>
      </c>
      <c r="C209" s="89" t="s">
        <v>1036</v>
      </c>
      <c r="D209" s="510" t="s">
        <v>1535</v>
      </c>
      <c r="E209" s="91" t="str">
        <f t="shared" si="16"/>
        <v>00</v>
      </c>
      <c r="F209" s="244" t="s">
        <v>1536</v>
      </c>
      <c r="G209" s="194">
        <f t="shared" si="17"/>
        <v>0</v>
      </c>
      <c r="H209"/>
      <c r="I209"/>
      <c r="J209"/>
      <c r="K209" s="194">
        <f>K206*2^7+3*2^3+K207*2^2+K208*2^1</f>
        <v>24</v>
      </c>
      <c r="L209" s="271"/>
      <c r="M209" s="271"/>
      <c r="N209" s="264">
        <f>IF(Main_Parameters!$S$8="640x480p60Hz (1)",P209,IF(Main_Parameters!$S$8="720x480p60Hz (2)",Q209,IF(Main_Parameters!$S$8="1280x720p60Hz (4)",R209,IF(Main_Parameters!$S$8="1920x1080p60Hz (16)",S209,IF(Main_Parameters!$S$8="1920x1200p60Hz (68)",V209,IF(Main_Parameters!$S$8="2560x1600p60Hz (76)",W209,O209))))))</f>
        <v>0</v>
      </c>
      <c r="O209" s="264">
        <v>0</v>
      </c>
      <c r="P209" s="265">
        <v>0</v>
      </c>
      <c r="Q209" s="265">
        <v>0</v>
      </c>
      <c r="R209" s="265">
        <v>0</v>
      </c>
      <c r="S209" s="265">
        <v>0</v>
      </c>
      <c r="T209" s="265">
        <v>0</v>
      </c>
      <c r="U209" s="265">
        <v>0</v>
      </c>
      <c r="V209" s="265">
        <v>0</v>
      </c>
      <c r="W209" s="265">
        <v>0</v>
      </c>
      <c r="X209" s="131"/>
      <c r="Y209" s="131"/>
      <c r="Z209" s="247"/>
      <c r="AA209" s="66"/>
      <c r="AB209" s="66"/>
      <c r="AC209" s="66"/>
      <c r="AD209" s="66"/>
      <c r="AJ209" s="266"/>
    </row>
    <row r="210" spans="2:36">
      <c r="B210" s="93" t="s">
        <v>1035</v>
      </c>
      <c r="C210" s="89" t="s">
        <v>1036</v>
      </c>
      <c r="D210" s="510" t="s">
        <v>1537</v>
      </c>
      <c r="E210" s="91" t="str">
        <f t="shared" si="16"/>
        <v>00</v>
      </c>
      <c r="F210" s="244" t="s">
        <v>1538</v>
      </c>
      <c r="G210" s="194">
        <f t="shared" si="17"/>
        <v>0</v>
      </c>
      <c r="H210"/>
      <c r="I210"/>
      <c r="J210"/>
      <c r="K210"/>
      <c r="L210" s="271"/>
      <c r="M210" s="271"/>
      <c r="N210" s="264">
        <f>IF(Main_Parameters!$S$8="640x480p60Hz (1)",P210,IF(Main_Parameters!$S$8="720x480p60Hz (2)",Q210,IF(Main_Parameters!$S$8="1280x720p60Hz (4)",R210,IF(Main_Parameters!$S$8="1920x1080p60Hz (16)",S210,IF(Main_Parameters!$S$8="1920x1200p60Hz (68)",V210,IF(Main_Parameters!$S$8="2560x1600p60Hz (76)",W210,O210))))))</f>
        <v>0</v>
      </c>
      <c r="O210" s="264">
        <v>0</v>
      </c>
      <c r="P210" s="265">
        <v>0</v>
      </c>
      <c r="Q210" s="265">
        <v>0</v>
      </c>
      <c r="R210" s="265">
        <v>0</v>
      </c>
      <c r="S210" s="265">
        <v>0</v>
      </c>
      <c r="T210" s="265">
        <v>0</v>
      </c>
      <c r="U210" s="265">
        <v>0</v>
      </c>
      <c r="V210" s="265">
        <v>0</v>
      </c>
      <c r="W210" s="265">
        <v>0</v>
      </c>
      <c r="X210" s="131"/>
      <c r="Y210" s="131"/>
      <c r="Z210" s="247"/>
      <c r="AA210" s="66"/>
      <c r="AB210" s="66"/>
      <c r="AC210" s="66"/>
      <c r="AD210" s="66"/>
      <c r="AJ210" s="266"/>
    </row>
    <row r="211" spans="2:36">
      <c r="B211" s="93" t="s">
        <v>1035</v>
      </c>
      <c r="C211" s="89" t="s">
        <v>1036</v>
      </c>
      <c r="D211" s="510" t="s">
        <v>1539</v>
      </c>
      <c r="E211" s="91" t="str">
        <f t="shared" si="16"/>
        <v>18</v>
      </c>
      <c r="F211" s="244" t="s">
        <v>1540</v>
      </c>
      <c r="G211" s="194">
        <f t="shared" si="17"/>
        <v>24</v>
      </c>
      <c r="H211"/>
      <c r="I211"/>
      <c r="J211"/>
      <c r="K211" s="194" t="str">
        <f>IF(Main_Parameters!$R$9="Select","Disable","Enable")</f>
        <v>Enable</v>
      </c>
      <c r="L211" s="271"/>
      <c r="M211" s="271"/>
      <c r="N211" s="264">
        <f>IF(Main_Parameters!$S$8="640x480p60Hz (1)",P211,IF(Main_Parameters!$S$8="720x480p60Hz (2)",Q211,IF(Main_Parameters!$S$8="1280x720p60Hz (4)",R211,IF(Main_Parameters!$S$8="1920x1080p60Hz (16)",S211,IF(Main_Parameters!$S$8="1920x1200p60Hz (68)",V211,IF(Main_Parameters!$S$8="2560x1600p60Hz (76)",W211,O211))))))</f>
        <v>24</v>
      </c>
      <c r="O211" s="264">
        <f>K209</f>
        <v>24</v>
      </c>
      <c r="P211" s="265">
        <v>24</v>
      </c>
      <c r="Q211" s="265">
        <v>24</v>
      </c>
      <c r="R211" s="265">
        <v>30</v>
      </c>
      <c r="S211" s="265">
        <v>30</v>
      </c>
      <c r="T211" s="265">
        <v>24</v>
      </c>
      <c r="U211" s="265">
        <v>26</v>
      </c>
      <c r="V211" s="265">
        <v>26</v>
      </c>
      <c r="W211" s="265">
        <v>26</v>
      </c>
      <c r="X211" s="131"/>
      <c r="Y211" s="131"/>
      <c r="Z211" s="247"/>
      <c r="AA211" s="66"/>
      <c r="AB211" s="66"/>
      <c r="AC211" s="66"/>
      <c r="AD211" s="66"/>
      <c r="AJ211" s="266"/>
    </row>
    <row r="212" spans="2:36" ht="15">
      <c r="B212" s="93" t="s">
        <v>1035</v>
      </c>
      <c r="C212" s="89" t="s">
        <v>1036</v>
      </c>
      <c r="D212" s="510" t="s">
        <v>1541</v>
      </c>
      <c r="E212" s="91" t="str">
        <f t="shared" si="16"/>
        <v>28</v>
      </c>
      <c r="F212" s="243" t="s">
        <v>1542</v>
      </c>
      <c r="G212" s="194">
        <f t="shared" si="17"/>
        <v>40</v>
      </c>
      <c r="H212" s="587" t="s">
        <v>1543</v>
      </c>
      <c r="I212" s="587"/>
      <c r="J212" s="587"/>
      <c r="K212" s="250" t="s">
        <v>1053</v>
      </c>
      <c r="L212" s="259" t="s">
        <v>1166</v>
      </c>
      <c r="M212" s="215"/>
      <c r="N212" s="260">
        <f>IF(Main_Parameters!$S$9="640x480p60Hz (1)",P212,IF(Main_Parameters!$S$9="720x480p60Hz (2)",Q212,IF(Main_Parameters!$S$9="1280x720p60Hz (4)",R212,IF(Main_Parameters!$S$9="1920x1080p60Hz (16)",S212,IF(Main_Parameters!$S$9="1920x1200p60Hz (68)",V212,IF(Main_Parameters!$S$9="2560x1600p60Hz (76)",W212,O212))))))</f>
        <v>40</v>
      </c>
      <c r="O212" s="260">
        <f>HEX2DEC(RIGHT(DEC2HEX(L213*100,4),2))</f>
        <v>40</v>
      </c>
      <c r="P212" s="261">
        <v>216</v>
      </c>
      <c r="Q212" s="261">
        <v>140</v>
      </c>
      <c r="R212" s="261">
        <v>1</v>
      </c>
      <c r="S212" s="261">
        <v>2</v>
      </c>
      <c r="T212" s="261">
        <v>100</v>
      </c>
      <c r="U212" s="261">
        <v>188</v>
      </c>
      <c r="V212" s="261">
        <v>40</v>
      </c>
      <c r="W212" s="261">
        <v>236</v>
      </c>
      <c r="X212" s="131"/>
      <c r="Y212" s="131"/>
      <c r="Z212" s="247"/>
      <c r="AA212" s="66"/>
      <c r="AB212" s="66"/>
      <c r="AC212" s="66"/>
      <c r="AD212" s="66"/>
      <c r="AJ212" s="266"/>
    </row>
    <row r="213" spans="2:36" ht="15">
      <c r="B213" s="93" t="s">
        <v>1035</v>
      </c>
      <c r="C213" s="89" t="s">
        <v>1036</v>
      </c>
      <c r="D213" s="510" t="s">
        <v>1544</v>
      </c>
      <c r="E213" s="91" t="str">
        <f t="shared" ref="E213:E229" si="18">DEC2HEX(N213,2)</f>
        <v>3C</v>
      </c>
      <c r="F213" s="267"/>
      <c r="G213" s="194">
        <f t="shared" si="17"/>
        <v>60</v>
      </c>
      <c r="H213" s="583" t="s">
        <v>1179</v>
      </c>
      <c r="I213" s="583"/>
      <c r="J213" s="252">
        <v>148.5</v>
      </c>
      <c r="K213" s="209" t="str">
        <f>IF(O142="Enable",IF(L213*100&gt;65535,"NG","OK"),"-")</f>
        <v>-</v>
      </c>
      <c r="L213" s="215">
        <f>IF(Main_Parameters!$S$9="Original",Main_Parameters!$C$20,J213)</f>
        <v>154</v>
      </c>
      <c r="M213" s="263"/>
      <c r="N213" s="264">
        <f>IF(Main_Parameters!$S$9="640x480p60Hz (1)",P213,IF(Main_Parameters!$S$9="720x480p60Hz (2)",Q213,IF(Main_Parameters!$S$9="1280x720p60Hz (4)",R213,IF(Main_Parameters!$S$9="1920x1080p60Hz (16)",S213,IF(Main_Parameters!$S$9="1920x1200p60Hz (68)",V213,IF(Main_Parameters!$S$9="2560x1600p60Hz (76)",W213,O213))))))</f>
        <v>60</v>
      </c>
      <c r="O213" s="264">
        <f>HEX2DEC(LEFT(DEC2HEX(L213*100,4),2))</f>
        <v>60</v>
      </c>
      <c r="P213" s="265">
        <v>9</v>
      </c>
      <c r="Q213" s="265">
        <v>10</v>
      </c>
      <c r="R213" s="265">
        <v>29</v>
      </c>
      <c r="S213" s="265">
        <v>58</v>
      </c>
      <c r="T213" s="265">
        <v>25</v>
      </c>
      <c r="U213" s="265">
        <v>27</v>
      </c>
      <c r="V213" s="265">
        <v>60</v>
      </c>
      <c r="W213" s="265">
        <v>104</v>
      </c>
      <c r="X213" s="131"/>
      <c r="Y213" s="131"/>
      <c r="Z213" s="247"/>
      <c r="AA213" s="66"/>
      <c r="AB213" s="66"/>
      <c r="AC213" s="66"/>
      <c r="AD213" s="66"/>
      <c r="AJ213" s="266"/>
    </row>
    <row r="214" spans="2:36" ht="15">
      <c r="B214" s="93" t="s">
        <v>1035</v>
      </c>
      <c r="C214" s="89" t="s">
        <v>1036</v>
      </c>
      <c r="D214" s="510" t="s">
        <v>1545</v>
      </c>
      <c r="E214" s="91" t="str">
        <f t="shared" si="18"/>
        <v>38</v>
      </c>
      <c r="F214" s="243" t="s">
        <v>1546</v>
      </c>
      <c r="G214" s="194">
        <f t="shared" si="17"/>
        <v>56</v>
      </c>
      <c r="H214" s="583" t="s">
        <v>1182</v>
      </c>
      <c r="I214" s="583"/>
      <c r="J214" s="252">
        <v>1440</v>
      </c>
      <c r="K214" s="209" t="str">
        <f>IF(O142="Enable",IF(L214&gt;4095,"NG","OK"),"-")</f>
        <v>-</v>
      </c>
      <c r="L214" s="215">
        <f>IF(Main_Parameters!$S$9="Original",Main_Parameters!$F$20,J214)</f>
        <v>1080</v>
      </c>
      <c r="M214" s="263"/>
      <c r="N214" s="264">
        <f>IF(Main_Parameters!$S$9="640x480p60Hz (1)",P214,IF(Main_Parameters!$S$9="720x480p60Hz (2)",Q214,IF(Main_Parameters!$S$9="1280x720p60Hz (4)",R214,IF(Main_Parameters!$S$9="1920x1080p60Hz (16)",S214,IF(Main_Parameters!$S$9="1920x1200p60Hz (68)",V214,IF(Main_Parameters!$S$9="2560x1600p60Hz (76)",W214,O214))))))</f>
        <v>56</v>
      </c>
      <c r="O214" s="264">
        <f>HEX2DEC(RIGHT(DEC2HEX(L214,3),2))</f>
        <v>56</v>
      </c>
      <c r="P214" s="265">
        <v>128</v>
      </c>
      <c r="Q214" s="265">
        <v>208</v>
      </c>
      <c r="R214" s="265">
        <v>0</v>
      </c>
      <c r="S214" s="265">
        <v>128</v>
      </c>
      <c r="T214" s="265">
        <v>0</v>
      </c>
      <c r="U214" s="265">
        <v>0</v>
      </c>
      <c r="V214" s="265">
        <v>128</v>
      </c>
      <c r="W214" s="265">
        <v>0</v>
      </c>
      <c r="X214" s="131"/>
      <c r="Y214" s="131"/>
      <c r="Z214" s="247"/>
      <c r="AA214" s="66"/>
      <c r="AB214" s="66"/>
      <c r="AC214" s="66"/>
      <c r="AD214" s="66"/>
      <c r="AJ214" s="266"/>
    </row>
    <row r="215" spans="2:36" ht="15">
      <c r="B215" s="93" t="s">
        <v>1035</v>
      </c>
      <c r="C215" s="89" t="s">
        <v>1036</v>
      </c>
      <c r="D215" s="510" t="s">
        <v>1547</v>
      </c>
      <c r="E215" s="91" t="str">
        <f t="shared" si="18"/>
        <v>FA</v>
      </c>
      <c r="F215" s="243" t="s">
        <v>1548</v>
      </c>
      <c r="G215" s="194">
        <f t="shared" si="17"/>
        <v>250</v>
      </c>
      <c r="H215" s="583" t="s">
        <v>1185</v>
      </c>
      <c r="I215" s="583"/>
      <c r="J215" s="252">
        <v>124</v>
      </c>
      <c r="K215" s="209" t="str">
        <f>IF(O142="Enable",IF(L215&gt;1023,"NG","OK"),"-")</f>
        <v>-</v>
      </c>
      <c r="L215" s="215">
        <f>IF(Main_Parameters!$S$9="Original",Main_Parameters!$D$20,J215)</f>
        <v>50</v>
      </c>
      <c r="M215" s="263"/>
      <c r="N215" s="264">
        <f>IF(Main_Parameters!$S$9="640x480p60Hz (1)",P215,IF(Main_Parameters!$S$9="720x480p60Hz (2)",Q215,IF(Main_Parameters!$S$9="1280x720p60Hz (4)",R215,IF(Main_Parameters!$S$9="1920x1080p60Hz (16)",S215,IF(Main_Parameters!$S$9="1920x1200p60Hz (68)",V215,IF(Main_Parameters!$S$9="2560x1600p60Hz (76)",W215,O215))))))</f>
        <v>250</v>
      </c>
      <c r="O215" s="264">
        <f>HEX2DEC(RIGHT(DEC2HEX(L215+L216+L217,3),2))</f>
        <v>250</v>
      </c>
      <c r="P215" s="265">
        <v>160</v>
      </c>
      <c r="Q215" s="265">
        <v>138</v>
      </c>
      <c r="R215" s="265">
        <v>114</v>
      </c>
      <c r="S215" s="265">
        <v>24</v>
      </c>
      <c r="T215" s="265">
        <v>64</v>
      </c>
      <c r="U215" s="265">
        <v>160</v>
      </c>
      <c r="V215" s="265">
        <v>160</v>
      </c>
      <c r="W215" s="265">
        <v>160</v>
      </c>
      <c r="X215" s="131"/>
      <c r="Y215" s="131"/>
      <c r="Z215" s="247"/>
      <c r="AA215" s="66"/>
      <c r="AB215" s="66"/>
      <c r="AC215" s="66"/>
      <c r="AD215" s="66"/>
      <c r="AJ215" s="266"/>
    </row>
    <row r="216" spans="2:36" ht="15">
      <c r="B216" s="93" t="s">
        <v>1035</v>
      </c>
      <c r="C216" s="89" t="s">
        <v>1036</v>
      </c>
      <c r="D216" s="510" t="s">
        <v>1549</v>
      </c>
      <c r="E216" s="91" t="str">
        <f t="shared" si="18"/>
        <v>40</v>
      </c>
      <c r="F216" s="243" t="s">
        <v>1550</v>
      </c>
      <c r="G216" s="194">
        <f t="shared" si="17"/>
        <v>64</v>
      </c>
      <c r="H216" s="583" t="s">
        <v>1188</v>
      </c>
      <c r="I216" s="583"/>
      <c r="J216" s="252">
        <v>114</v>
      </c>
      <c r="K216" s="209" t="str">
        <f>IF(O142="Enable",IF(L215+L216+L217&gt;4095,"NG","OK"),"-")</f>
        <v>-</v>
      </c>
      <c r="L216" s="215">
        <f>IF(Main_Parameters!$S$9="Original",Main_Parameters!$E$20,J216)</f>
        <v>100</v>
      </c>
      <c r="M216" s="263"/>
      <c r="N216" s="264">
        <f>IF(Main_Parameters!$S$9="640x480p60Hz (1)",P216,IF(Main_Parameters!$S$9="720x480p60Hz (2)",Q216,IF(Main_Parameters!$S$9="1280x720p60Hz (4)",R216,IF(Main_Parameters!$S$9="1920x1080p60Hz (16)",S216,IF(Main_Parameters!$S$9="1920x1200p60Hz (68)",V216,IF(Main_Parameters!$S$9="2560x1600p60Hz (76)",W216,O216))))))</f>
        <v>64</v>
      </c>
      <c r="O216" s="264">
        <f>HEX2DEC((LEFT(DEC2HEX(L214,3),1)))*2^4+HEX2DEC(LEFT(DEC2HEX(L215+L216+L217,3),1))</f>
        <v>64</v>
      </c>
      <c r="P216" s="265">
        <v>32</v>
      </c>
      <c r="Q216" s="265">
        <v>32</v>
      </c>
      <c r="R216" s="265">
        <v>81</v>
      </c>
      <c r="S216" s="265">
        <v>113</v>
      </c>
      <c r="T216" s="265">
        <v>65</v>
      </c>
      <c r="U216" s="265">
        <v>80</v>
      </c>
      <c r="V216" s="265">
        <v>112</v>
      </c>
      <c r="W216" s="265">
        <v>160</v>
      </c>
      <c r="X216" s="131"/>
      <c r="Y216" s="131"/>
      <c r="Z216" s="247"/>
      <c r="AA216" s="66"/>
      <c r="AB216" s="66"/>
      <c r="AC216" s="66"/>
      <c r="AD216" s="66"/>
      <c r="AJ216" s="266"/>
    </row>
    <row r="217" spans="2:36" ht="15">
      <c r="B217" s="93" t="s">
        <v>1035</v>
      </c>
      <c r="C217" s="89" t="s">
        <v>1036</v>
      </c>
      <c r="D217" s="510" t="s">
        <v>1551</v>
      </c>
      <c r="E217" s="91" t="str">
        <f t="shared" si="18"/>
        <v>80</v>
      </c>
      <c r="F217" s="243" t="s">
        <v>1552</v>
      </c>
      <c r="G217" s="194">
        <f t="shared" si="17"/>
        <v>128</v>
      </c>
      <c r="H217" s="583" t="s">
        <v>1191</v>
      </c>
      <c r="I217" s="583"/>
      <c r="J217" s="252">
        <v>38</v>
      </c>
      <c r="K217" s="209" t="str">
        <f>IF(O142="Enable",IF(L217&gt;1023,"NG","OK"),"-")</f>
        <v>-</v>
      </c>
      <c r="L217" s="215">
        <f>IF(Main_Parameters!$S$9="Original",Main_Parameters!$G$20,J217)</f>
        <v>100</v>
      </c>
      <c r="M217" s="263"/>
      <c r="N217" s="264">
        <f>IF(Main_Parameters!$S$9="640x480p60Hz (1)",P217,IF(Main_Parameters!$S$9="720x480p60Hz (2)",Q217,IF(Main_Parameters!$S$9="1280x720p60Hz (4)",R217,IF(Main_Parameters!$S$9="1920x1080p60Hz (16)",S217,IF(Main_Parameters!$S$9="1920x1200p60Hz (68)",V217,IF(Main_Parameters!$S$9="2560x1600p60Hz (76)",W217,O217))))))</f>
        <v>128</v>
      </c>
      <c r="O217" s="264">
        <f>HEX2DEC(RIGHT(DEC2HEX(L218,3),2))</f>
        <v>128</v>
      </c>
      <c r="P217" s="265">
        <v>224</v>
      </c>
      <c r="Q217" s="265">
        <v>224</v>
      </c>
      <c r="R217" s="265">
        <v>208</v>
      </c>
      <c r="S217" s="265">
        <v>56</v>
      </c>
      <c r="T217" s="265">
        <v>0</v>
      </c>
      <c r="U217" s="265">
        <v>32</v>
      </c>
      <c r="V217" s="265">
        <v>176</v>
      </c>
      <c r="W217" s="265">
        <v>64</v>
      </c>
      <c r="X217" s="131"/>
      <c r="Y217" s="131"/>
      <c r="Z217" s="247"/>
      <c r="AA217" s="66"/>
      <c r="AB217" s="66"/>
      <c r="AC217" s="66"/>
      <c r="AD217" s="66"/>
      <c r="AJ217" s="266"/>
    </row>
    <row r="218" spans="2:36" ht="15">
      <c r="B218" s="93" t="s">
        <v>1035</v>
      </c>
      <c r="C218" s="89" t="s">
        <v>1036</v>
      </c>
      <c r="D218" s="510" t="s">
        <v>1553</v>
      </c>
      <c r="E218" s="91" t="str">
        <f t="shared" si="18"/>
        <v>0C</v>
      </c>
      <c r="F218" s="243" t="s">
        <v>1554</v>
      </c>
      <c r="G218" s="194">
        <f t="shared" si="17"/>
        <v>12</v>
      </c>
      <c r="H218" s="583" t="s">
        <v>1194</v>
      </c>
      <c r="I218" s="583"/>
      <c r="J218" s="252">
        <v>480</v>
      </c>
      <c r="K218" s="209" t="str">
        <f>IF(O142="Enable",IF(L218&gt;4095,"NG","OK"),"-")</f>
        <v>-</v>
      </c>
      <c r="L218" s="215">
        <f>IF(Main_Parameters!$S$9="Original",Main_Parameters!$J$20,J218)</f>
        <v>1920</v>
      </c>
      <c r="M218" s="263"/>
      <c r="N218" s="264">
        <f>IF(Main_Parameters!$S$9="640x480p60Hz (1)",P218,IF(Main_Parameters!$S$9="720x480p60Hz (2)",Q218,IF(Main_Parameters!$S$9="1280x720p60Hz (4)",R218,IF(Main_Parameters!$S$9="1920x1080p60Hz (16)",S218,IF(Main_Parameters!$S$9="1920x1200p60Hz (68)",V218,IF(Main_Parameters!$S$9="2560x1600p60Hz (76)",W218,O218))))))</f>
        <v>12</v>
      </c>
      <c r="O218" s="264">
        <f>HEX2DEC(RIGHT(DEC2HEX(L219+L220+L221,3),2))</f>
        <v>12</v>
      </c>
      <c r="P218" s="265">
        <v>45</v>
      </c>
      <c r="Q218" s="265">
        <v>45</v>
      </c>
      <c r="R218" s="265">
        <v>30</v>
      </c>
      <c r="S218" s="265">
        <v>45</v>
      </c>
      <c r="T218" s="265">
        <v>38</v>
      </c>
      <c r="U218" s="265">
        <v>23</v>
      </c>
      <c r="V218" s="265">
        <v>35</v>
      </c>
      <c r="W218" s="265">
        <v>46</v>
      </c>
      <c r="X218" s="131"/>
      <c r="Y218" s="131"/>
      <c r="Z218" s="247"/>
      <c r="AA218" s="66"/>
      <c r="AB218" s="66"/>
      <c r="AC218" s="66"/>
      <c r="AD218" s="66"/>
      <c r="AJ218" s="266"/>
    </row>
    <row r="219" spans="2:36" ht="15">
      <c r="B219" s="93" t="s">
        <v>1035</v>
      </c>
      <c r="C219" s="89" t="s">
        <v>1036</v>
      </c>
      <c r="D219" s="510" t="s">
        <v>1555</v>
      </c>
      <c r="E219" s="91" t="str">
        <f t="shared" si="18"/>
        <v>70</v>
      </c>
      <c r="F219" s="243" t="s">
        <v>1556</v>
      </c>
      <c r="G219" s="194">
        <f t="shared" si="17"/>
        <v>112</v>
      </c>
      <c r="H219" s="583" t="s">
        <v>1197</v>
      </c>
      <c r="I219" s="583"/>
      <c r="J219" s="252">
        <v>3</v>
      </c>
      <c r="K219" s="209" t="str">
        <f>IF(O142="Enable",IF(L219&gt;15,"NG","OK"),"-")</f>
        <v>-</v>
      </c>
      <c r="L219" s="215">
        <f>IF(Main_Parameters!$S$9="Original",Main_Parameters!$H$20,J219)</f>
        <v>4</v>
      </c>
      <c r="M219" s="263"/>
      <c r="N219" s="264">
        <f>IF(Main_Parameters!$S$9="640x480p60Hz (1)",P219,IF(Main_Parameters!$S$9="720x480p60Hz (2)",Q219,IF(Main_Parameters!$S$9="1280x720p60Hz (4)",R219,IF(Main_Parameters!$S$9="1920x1080p60Hz (16)",S219,IF(Main_Parameters!$S$9="1920x1200p60Hz (68)",V219,IF(Main_Parameters!$S$9="2560x1600p60Hz (76)",W219,O219))))))</f>
        <v>112</v>
      </c>
      <c r="O219" s="264">
        <f>HEX2DEC((LEFT(DEC2HEX(L218,3),1)))*2^4+HEX2DEC(LEFT(DEC2HEX(L219+L220+L221,3),1))</f>
        <v>112</v>
      </c>
      <c r="P219" s="265">
        <v>16</v>
      </c>
      <c r="Q219" s="265">
        <v>16</v>
      </c>
      <c r="R219" s="265">
        <v>32</v>
      </c>
      <c r="S219" s="265">
        <v>64</v>
      </c>
      <c r="T219" s="265">
        <v>48</v>
      </c>
      <c r="U219" s="265">
        <v>48</v>
      </c>
      <c r="V219" s="265">
        <v>64</v>
      </c>
      <c r="W219" s="265">
        <v>96</v>
      </c>
      <c r="X219" s="131"/>
      <c r="Y219" s="131"/>
      <c r="Z219" s="247"/>
      <c r="AA219" s="66"/>
      <c r="AB219" s="66"/>
      <c r="AC219" s="66"/>
      <c r="AD219" s="66"/>
      <c r="AJ219" s="266"/>
    </row>
    <row r="220" spans="2:36" ht="15">
      <c r="B220" s="93" t="s">
        <v>1035</v>
      </c>
      <c r="C220" s="89" t="s">
        <v>1036</v>
      </c>
      <c r="D220" s="510" t="s">
        <v>1557</v>
      </c>
      <c r="E220" s="91" t="str">
        <f t="shared" si="18"/>
        <v>64</v>
      </c>
      <c r="F220" s="243" t="s">
        <v>1558</v>
      </c>
      <c r="G220" s="194">
        <f t="shared" si="17"/>
        <v>100</v>
      </c>
      <c r="H220" s="583" t="s">
        <v>1200</v>
      </c>
      <c r="I220" s="583"/>
      <c r="J220" s="252">
        <v>15</v>
      </c>
      <c r="K220" s="209" t="str">
        <f>IF(O142="Enable",IF(L219+L220+L221&gt;4095,"NG","OK"),"-")</f>
        <v>-</v>
      </c>
      <c r="L220" s="215">
        <f>IF(Main_Parameters!$S$9="Original",Main_Parameters!$I$20,J220)</f>
        <v>4</v>
      </c>
      <c r="M220" s="263"/>
      <c r="N220" s="264">
        <f>IF(Main_Parameters!$S$9="640x480p60Hz (1)",P220,IF(Main_Parameters!$S$9="720x480p60Hz (2)",Q220,IF(Main_Parameters!$S$9="1280x720p60Hz (4)",R220,IF(Main_Parameters!$S$9="1920x1080p60Hz (16)",S220,IF(Main_Parameters!$S$9="1920x1200p60Hz (68)",V220,IF(Main_Parameters!$S$9="2560x1600p60Hz (76)",W220,O220))))))</f>
        <v>100</v>
      </c>
      <c r="O220" s="264">
        <f>HEX2DEC(RIGHT(DEC2HEX(L217,3),2))</f>
        <v>100</v>
      </c>
      <c r="P220" s="265">
        <v>16</v>
      </c>
      <c r="Q220" s="265">
        <v>16</v>
      </c>
      <c r="R220" s="265">
        <v>110</v>
      </c>
      <c r="S220" s="265">
        <v>88</v>
      </c>
      <c r="T220" s="265">
        <v>24</v>
      </c>
      <c r="U220" s="265">
        <v>48</v>
      </c>
      <c r="V220" s="265">
        <v>48</v>
      </c>
      <c r="W220" s="265">
        <v>48</v>
      </c>
      <c r="X220" s="131"/>
      <c r="Y220" s="131"/>
      <c r="Z220" s="247"/>
      <c r="AA220" s="66"/>
      <c r="AB220" s="66"/>
      <c r="AC220" s="66"/>
      <c r="AD220" s="66"/>
      <c r="AJ220" s="266"/>
    </row>
    <row r="221" spans="2:36" ht="15">
      <c r="B221" s="93" t="s">
        <v>1035</v>
      </c>
      <c r="C221" s="89" t="s">
        <v>1036</v>
      </c>
      <c r="D221" s="510" t="s">
        <v>1559</v>
      </c>
      <c r="E221" s="91" t="str">
        <f t="shared" si="18"/>
        <v>32</v>
      </c>
      <c r="F221" s="243" t="s">
        <v>1560</v>
      </c>
      <c r="G221" s="194">
        <f t="shared" si="17"/>
        <v>50</v>
      </c>
      <c r="H221" s="583" t="s">
        <v>1203</v>
      </c>
      <c r="I221" s="583"/>
      <c r="J221" s="252">
        <v>4</v>
      </c>
      <c r="K221" s="209" t="str">
        <f>IF(O142="Enable",IF(L221&gt;15,"NG","OK"),"-")</f>
        <v>-</v>
      </c>
      <c r="L221" s="215">
        <f>IF(Main_Parameters!$S$9="Original",Main_Parameters!$K$20,J221)</f>
        <v>4</v>
      </c>
      <c r="M221" s="263"/>
      <c r="N221" s="264">
        <f>IF(Main_Parameters!$S$9="640x480p60Hz (1)",P221,IF(Main_Parameters!$S$9="720x480p60Hz (2)",Q221,IF(Main_Parameters!$S$9="1280x720p60Hz (4)",R221,IF(Main_Parameters!$S$9="1920x1080p60Hz (16)",S221,IF(Main_Parameters!$S$9="1920x1200p60Hz (68)",V221,IF(Main_Parameters!$S$9="2560x1600p60Hz (76)",W221,O221))))))</f>
        <v>50</v>
      </c>
      <c r="O221" s="264">
        <f>HEX2DEC(RIGHT(DEC2HEX(L215,3),2))</f>
        <v>50</v>
      </c>
      <c r="P221" s="265">
        <v>96</v>
      </c>
      <c r="Q221" s="265">
        <v>62</v>
      </c>
      <c r="R221" s="265">
        <v>40</v>
      </c>
      <c r="S221" s="265">
        <v>44</v>
      </c>
      <c r="T221" s="265">
        <v>136</v>
      </c>
      <c r="U221" s="265">
        <v>32</v>
      </c>
      <c r="V221" s="265">
        <v>32</v>
      </c>
      <c r="W221" s="265">
        <v>32</v>
      </c>
      <c r="X221" s="131"/>
      <c r="Y221" s="131"/>
      <c r="Z221" s="247"/>
      <c r="AA221" s="66"/>
      <c r="AB221" s="66"/>
      <c r="AC221" s="66"/>
      <c r="AD221" s="66"/>
      <c r="AJ221" s="266"/>
    </row>
    <row r="222" spans="2:36" ht="15">
      <c r="B222" s="93" t="s">
        <v>1035</v>
      </c>
      <c r="C222" s="89" t="s">
        <v>1036</v>
      </c>
      <c r="D222" s="510" t="s">
        <v>1561</v>
      </c>
      <c r="E222" s="91" t="str">
        <f t="shared" si="18"/>
        <v>44</v>
      </c>
      <c r="F222" s="243" t="s">
        <v>1562</v>
      </c>
      <c r="G222" s="194">
        <f t="shared" si="17"/>
        <v>68</v>
      </c>
      <c r="H222" s="583" t="s">
        <v>1206</v>
      </c>
      <c r="I222" s="583"/>
      <c r="J222" s="252">
        <v>192</v>
      </c>
      <c r="K222" s="209" t="str">
        <f>IF(AI142="Disable",IF(L222&gt;4095,"NG","OK"),"-")</f>
        <v>-</v>
      </c>
      <c r="L222" s="215">
        <f>IF(Main_Parameters!$S$9="Original",Main_Parameters!$O$23,J222)</f>
        <v>192</v>
      </c>
      <c r="M222" s="263"/>
      <c r="N222" s="264">
        <f>IF(Main_Parameters!$S$9="640x480p60Hz (1)",P222,IF(Main_Parameters!$S$9="720x480p60Hz (2)",Q222,IF(Main_Parameters!$S$9="1280x720p60Hz (4)",R222,IF(Main_Parameters!$S$9="1920x1080p60Hz (16)",S222,IF(Main_Parameters!$S$9="1920x1200p60Hz (68)",V222,IF(Main_Parameters!$S$9="2560x1600p60Hz (76)",W222,O222))))))</f>
        <v>68</v>
      </c>
      <c r="O222" s="264">
        <f>HEX2DEC(RIGHT(DEC2HEX(L221,2),1))*2^4+HEX2DEC(RIGHT(DEC2HEX(L219,2),1))</f>
        <v>68</v>
      </c>
      <c r="P222" s="265">
        <v>162</v>
      </c>
      <c r="Q222" s="265">
        <v>150</v>
      </c>
      <c r="R222" s="265">
        <v>85</v>
      </c>
      <c r="S222" s="265">
        <v>69</v>
      </c>
      <c r="T222" s="265">
        <v>54</v>
      </c>
      <c r="U222" s="265">
        <v>54</v>
      </c>
      <c r="V222" s="265">
        <v>54</v>
      </c>
      <c r="W222" s="265">
        <v>54</v>
      </c>
      <c r="X222" s="131"/>
      <c r="Y222" s="131"/>
      <c r="Z222" s="247"/>
      <c r="AA222" s="66"/>
      <c r="AB222" s="66"/>
      <c r="AC222" s="66"/>
      <c r="AD222" s="66"/>
      <c r="AJ222" s="266"/>
    </row>
    <row r="223" spans="2:36" ht="15">
      <c r="B223" s="93" t="s">
        <v>1035</v>
      </c>
      <c r="C223" s="89" t="s">
        <v>1036</v>
      </c>
      <c r="D223" s="510" t="s">
        <v>1563</v>
      </c>
      <c r="E223" s="91" t="str">
        <f t="shared" si="18"/>
        <v>00</v>
      </c>
      <c r="F223" s="243" t="s">
        <v>1564</v>
      </c>
      <c r="G223" s="194">
        <f t="shared" si="17"/>
        <v>0</v>
      </c>
      <c r="H223" s="583" t="s">
        <v>1209</v>
      </c>
      <c r="I223" s="583"/>
      <c r="J223" s="252">
        <v>120</v>
      </c>
      <c r="K223" s="209" t="str">
        <f>IF(AI142="Disable",IF(L223&gt;4095,"NG","OK"),"-")</f>
        <v>-</v>
      </c>
      <c r="L223" s="215">
        <f>IF(Main_Parameters!$S$9="Original",Main_Parameters!$O$24,J223)</f>
        <v>120</v>
      </c>
      <c r="M223" s="263"/>
      <c r="N223" s="264">
        <f>IF(Main_Parameters!$S$9="640x480p60Hz (1)",P223,IF(Main_Parameters!$S$9="720x480p60Hz (2)",Q223,IF(Main_Parameters!$S$9="1280x720p60Hz (4)",R223,IF(Main_Parameters!$S$9="1920x1080p60Hz (16)",S223,IF(Main_Parameters!$S$9="1920x1200p60Hz (68)",V223,IF(Main_Parameters!$S$9="2560x1600p60Hz (76)",W223,O223))))))</f>
        <v>0</v>
      </c>
      <c r="O223" s="264">
        <f>HEX2DEC(LEFT(DEC2HEX(L217,3),1))*2^6+HEX2DEC(LEFT(DEC2HEX(L215,3),1))*2^4+HEX2DEC(LEFT(DEC2HEX(L221,2),1))*2^2+HEX2DEC(LEFT(DEC2HEX(L219,2),1))</f>
        <v>0</v>
      </c>
      <c r="P223" s="265">
        <v>0</v>
      </c>
      <c r="Q223" s="265">
        <v>0</v>
      </c>
      <c r="R223" s="265">
        <v>0</v>
      </c>
      <c r="S223" s="265">
        <v>0</v>
      </c>
      <c r="T223" s="265">
        <v>0</v>
      </c>
      <c r="U223" s="265">
        <v>0</v>
      </c>
      <c r="V223" s="265">
        <v>0</v>
      </c>
      <c r="W223" s="265">
        <v>0</v>
      </c>
      <c r="X223" s="131"/>
      <c r="Y223" s="131"/>
      <c r="Z223" s="247"/>
      <c r="AA223" s="66"/>
      <c r="AB223" s="66"/>
      <c r="AC223" s="66"/>
      <c r="AD223" s="66"/>
      <c r="AJ223" s="266"/>
    </row>
    <row r="224" spans="2:36" ht="15">
      <c r="B224" s="93" t="s">
        <v>1035</v>
      </c>
      <c r="C224" s="89" t="s">
        <v>1036</v>
      </c>
      <c r="D224" s="510" t="s">
        <v>1565</v>
      </c>
      <c r="E224" s="91" t="str">
        <f t="shared" si="18"/>
        <v>C0</v>
      </c>
      <c r="F224" s="243" t="s">
        <v>1566</v>
      </c>
      <c r="G224" s="194">
        <f t="shared" si="17"/>
        <v>192</v>
      </c>
      <c r="H224" s="583" t="s">
        <v>1212</v>
      </c>
      <c r="I224" s="583"/>
      <c r="J224" s="270" t="s">
        <v>768</v>
      </c>
      <c r="K224" s="194">
        <f>IF(L224="Interlace",1,0)</f>
        <v>0</v>
      </c>
      <c r="L224" s="215" t="str">
        <f>IF(Main_Parameters!$S$9="Original",Main_Parameters!$M$21,J224)</f>
        <v>Progressive</v>
      </c>
      <c r="M224" s="271"/>
      <c r="N224" s="264">
        <f>IF(Main_Parameters!$S$9="640x480p60Hz (1)",P224,IF(Main_Parameters!$S$9="720x480p60Hz (2)",Q224,IF(Main_Parameters!$S$9="1280x720p60Hz (4)",R224,IF(Main_Parameters!$S$9="1920x1080p60Hz (16)",S224,IF(Main_Parameters!$S$9="1920x1200p60Hz (68)",V224,IF(Main_Parameters!$S$9="2560x1600p60Hz (76)",W224,O224))))))</f>
        <v>192</v>
      </c>
      <c r="O224" s="264">
        <f>HEX2DEC(RIGHT(DEC2HEX(L222,3),2))</f>
        <v>192</v>
      </c>
      <c r="P224" s="265">
        <v>196</v>
      </c>
      <c r="Q224" s="265">
        <v>19</v>
      </c>
      <c r="R224" s="265">
        <v>196</v>
      </c>
      <c r="S224" s="265">
        <v>196</v>
      </c>
      <c r="T224" s="265">
        <v>0</v>
      </c>
      <c r="U224" s="265">
        <v>0</v>
      </c>
      <c r="V224" s="265">
        <v>128</v>
      </c>
      <c r="W224" s="265">
        <v>0</v>
      </c>
      <c r="X224" s="131"/>
      <c r="Y224" s="131"/>
      <c r="Z224" s="247"/>
      <c r="AA224" s="66"/>
      <c r="AB224" s="66"/>
      <c r="AC224" s="66"/>
      <c r="AD224" s="66"/>
      <c r="AJ224" s="266"/>
    </row>
    <row r="225" spans="2:36" ht="15">
      <c r="B225" s="93" t="s">
        <v>1035</v>
      </c>
      <c r="C225" s="89" t="s">
        <v>1036</v>
      </c>
      <c r="D225" s="510" t="s">
        <v>1567</v>
      </c>
      <c r="E225" s="91" t="str">
        <f t="shared" si="18"/>
        <v>78</v>
      </c>
      <c r="F225" s="243" t="s">
        <v>1568</v>
      </c>
      <c r="G225" s="194">
        <f t="shared" si="17"/>
        <v>120</v>
      </c>
      <c r="H225" s="583" t="s">
        <v>1215</v>
      </c>
      <c r="I225" s="583"/>
      <c r="J225" s="270" t="s">
        <v>1305</v>
      </c>
      <c r="K225" s="194">
        <f>IF(L225="H Active",1,0)</f>
        <v>0</v>
      </c>
      <c r="L225" s="215" t="str">
        <f>IF(Main_Parameters!$S$9="Original",Main_Parameters!$M$24,J225)</f>
        <v>L Active</v>
      </c>
      <c r="M225" s="271"/>
      <c r="N225" s="264">
        <f>IF(Main_Parameters!$S$9="640x480p60Hz (1)",P225,IF(Main_Parameters!$S$9="720x480p60Hz (2)",Q225,IF(Main_Parameters!$S$9="1280x720p60Hz (4)",R225,IF(Main_Parameters!$S$9="1920x1080p60Hz (16)",S225,IF(Main_Parameters!$S$9="1920x1200p60Hz (68)",V225,IF(Main_Parameters!$S$9="2560x1600p60Hz (76)",W225,O225))))))</f>
        <v>120</v>
      </c>
      <c r="O225" s="264">
        <f>HEX2DEC(RIGHT(DEC2HEX(L223,3),2))</f>
        <v>120</v>
      </c>
      <c r="P225" s="265">
        <v>142</v>
      </c>
      <c r="Q225" s="265">
        <v>142</v>
      </c>
      <c r="R225" s="265">
        <v>142</v>
      </c>
      <c r="S225" s="265">
        <v>142</v>
      </c>
      <c r="T225" s="265">
        <v>0</v>
      </c>
      <c r="U225" s="265">
        <v>32</v>
      </c>
      <c r="V225" s="265">
        <v>176</v>
      </c>
      <c r="W225" s="265">
        <v>64</v>
      </c>
      <c r="X225" s="131"/>
      <c r="Y225" s="131"/>
      <c r="Z225" s="247"/>
      <c r="AA225" s="66"/>
      <c r="AB225" s="66"/>
      <c r="AC225" s="66"/>
      <c r="AD225" s="66"/>
      <c r="AJ225" s="266"/>
    </row>
    <row r="226" spans="2:36" ht="15">
      <c r="B226" s="93" t="s">
        <v>1035</v>
      </c>
      <c r="C226" s="89" t="s">
        <v>1036</v>
      </c>
      <c r="D226" s="510" t="s">
        <v>1569</v>
      </c>
      <c r="E226" s="91" t="str">
        <f t="shared" si="18"/>
        <v>00</v>
      </c>
      <c r="F226" s="243" t="s">
        <v>1570</v>
      </c>
      <c r="G226" s="194">
        <f t="shared" si="17"/>
        <v>0</v>
      </c>
      <c r="H226" s="583" t="s">
        <v>1218</v>
      </c>
      <c r="I226" s="583"/>
      <c r="J226" s="270" t="s">
        <v>1305</v>
      </c>
      <c r="K226" s="194">
        <f>IF(L226="H Active",1,0)</f>
        <v>0</v>
      </c>
      <c r="L226" s="215" t="str">
        <f>IF(Main_Parameters!$S$9="Original",Main_Parameters!$M$23,J226)</f>
        <v>L Active</v>
      </c>
      <c r="M226" s="271"/>
      <c r="N226" s="264">
        <f>IF(Main_Parameters!$S$9="640x480p60Hz (1)",P226,IF(Main_Parameters!$S$9="720x480p60Hz (2)",Q226,IF(Main_Parameters!$S$9="1280x720p60Hz (4)",R226,IF(Main_Parameters!$S$9="1920x1080p60Hz (16)",S226,IF(Main_Parameters!$S$9="1920x1200p60Hz (68)",V226,IF(Main_Parameters!$S$9="2560x1600p60Hz (76)",W226,O226))))))</f>
        <v>0</v>
      </c>
      <c r="O226" s="264">
        <f>HEX2DEC((LEFT(DEC2HEX(L222,3),1)))*2^4+HEX2DEC(LEFT(DEC2HEX(L223,3),1))</f>
        <v>0</v>
      </c>
      <c r="P226" s="265">
        <v>33</v>
      </c>
      <c r="Q226" s="265">
        <v>33</v>
      </c>
      <c r="R226" s="265">
        <v>33</v>
      </c>
      <c r="S226" s="265">
        <v>33</v>
      </c>
      <c r="T226" s="265">
        <v>67</v>
      </c>
      <c r="U226" s="265">
        <v>83</v>
      </c>
      <c r="V226" s="265">
        <v>116</v>
      </c>
      <c r="W226" s="265">
        <v>166</v>
      </c>
      <c r="X226" s="131"/>
      <c r="Y226" s="131"/>
      <c r="Z226" s="247"/>
      <c r="AA226" s="66"/>
      <c r="AB226" s="66"/>
      <c r="AC226" s="66"/>
      <c r="AD226" s="66"/>
      <c r="AJ226" s="266"/>
    </row>
    <row r="227" spans="2:36">
      <c r="B227" s="93" t="s">
        <v>1035</v>
      </c>
      <c r="C227" s="89" t="s">
        <v>1036</v>
      </c>
      <c r="D227" s="510" t="s">
        <v>1571</v>
      </c>
      <c r="E227" s="91" t="str">
        <f t="shared" si="18"/>
        <v>00</v>
      </c>
      <c r="F227" s="243" t="s">
        <v>1572</v>
      </c>
      <c r="G227" s="194">
        <f t="shared" si="17"/>
        <v>0</v>
      </c>
      <c r="H227"/>
      <c r="I227"/>
      <c r="J227"/>
      <c r="K227" s="194">
        <f>K224*2^7+3*2^3+K225*2^2+K226*2^1</f>
        <v>24</v>
      </c>
      <c r="L227" s="271"/>
      <c r="M227" s="271"/>
      <c r="N227" s="264">
        <f>IF(Main_Parameters!$S$9="640x480p60Hz (1)",P227,IF(Main_Parameters!$S$9="720x480p60Hz (2)",Q227,IF(Main_Parameters!$S$9="1280x720p60Hz (4)",R227,IF(Main_Parameters!$S$9="1920x1080p60Hz (16)",S227,IF(Main_Parameters!$S$9="1920x1200p60Hz (68)",V227,IF(Main_Parameters!$S$9="2560x1600p60Hz (76)",W227,O227))))))</f>
        <v>0</v>
      </c>
      <c r="O227" s="264">
        <v>0</v>
      </c>
      <c r="P227" s="265">
        <v>0</v>
      </c>
      <c r="Q227" s="265">
        <v>0</v>
      </c>
      <c r="R227" s="265">
        <v>0</v>
      </c>
      <c r="S227" s="265">
        <v>0</v>
      </c>
      <c r="T227" s="265">
        <v>0</v>
      </c>
      <c r="U227" s="265">
        <v>0</v>
      </c>
      <c r="V227" s="265">
        <v>0</v>
      </c>
      <c r="W227" s="265">
        <v>0</v>
      </c>
      <c r="X227" s="131"/>
      <c r="Y227" s="131"/>
      <c r="Z227" s="266"/>
      <c r="AJ227" s="266"/>
    </row>
    <row r="228" spans="2:36">
      <c r="B228" s="93" t="s">
        <v>1035</v>
      </c>
      <c r="C228" s="89" t="s">
        <v>1036</v>
      </c>
      <c r="D228" s="510" t="s">
        <v>1573</v>
      </c>
      <c r="E228" s="91" t="str">
        <f t="shared" si="18"/>
        <v>00</v>
      </c>
      <c r="F228" s="243" t="s">
        <v>1574</v>
      </c>
      <c r="G228" s="194">
        <f t="shared" si="17"/>
        <v>0</v>
      </c>
      <c r="H228"/>
      <c r="I228"/>
      <c r="J228"/>
      <c r="K228"/>
      <c r="L228" s="271"/>
      <c r="M228" s="271"/>
      <c r="N228" s="264">
        <f>IF(Main_Parameters!$S$9="640x480p60Hz (1)",P228,IF(Main_Parameters!$S$9="720x480p60Hz (2)",Q228,IF(Main_Parameters!$S$9="1280x720p60Hz (4)",R228,IF(Main_Parameters!$S$9="1920x1080p60Hz (16)",S228,IF(Main_Parameters!$S$9="1920x1200p60Hz (68)",V228,IF(Main_Parameters!$S$9="2560x1600p60Hz (76)",W228,O228))))))</f>
        <v>0</v>
      </c>
      <c r="O228" s="264">
        <v>0</v>
      </c>
      <c r="P228" s="265">
        <v>0</v>
      </c>
      <c r="Q228" s="265">
        <v>0</v>
      </c>
      <c r="R228" s="265">
        <v>0</v>
      </c>
      <c r="S228" s="265">
        <v>0</v>
      </c>
      <c r="T228" s="265">
        <v>0</v>
      </c>
      <c r="U228" s="265">
        <v>0</v>
      </c>
      <c r="V228" s="265">
        <v>0</v>
      </c>
      <c r="W228" s="265">
        <v>0</v>
      </c>
      <c r="X228" s="131"/>
      <c r="Y228" s="131"/>
      <c r="Z228" s="266"/>
      <c r="AJ228" s="266"/>
    </row>
    <row r="229" spans="2:36">
      <c r="B229" s="93" t="s">
        <v>1035</v>
      </c>
      <c r="C229" s="89" t="s">
        <v>1036</v>
      </c>
      <c r="D229" s="510" t="s">
        <v>1575</v>
      </c>
      <c r="E229" s="91" t="str">
        <f t="shared" si="18"/>
        <v>18</v>
      </c>
      <c r="F229" s="243" t="s">
        <v>1576</v>
      </c>
      <c r="G229" s="194">
        <f t="shared" si="17"/>
        <v>24</v>
      </c>
      <c r="H229"/>
      <c r="I229"/>
      <c r="J229"/>
      <c r="K229"/>
      <c r="L229" s="271"/>
      <c r="M229" s="271"/>
      <c r="N229" s="272">
        <f>IF(Main_Parameters!$S$9="640x480p60Hz (1)",P229,IF(Main_Parameters!$S$9="720x480p60Hz (2)",Q229,IF(Main_Parameters!$S$9="1280x720p60Hz (4)",R229,IF(Main_Parameters!$S$9="1920x1080p60Hz (16)",S229,IF(Main_Parameters!$S$9="1920x1200p60Hz (68)",V229,IF(Main_Parameters!$S$9="2560x1600p60Hz (76)",W229,O229))))))</f>
        <v>24</v>
      </c>
      <c r="O229" s="272">
        <f>K227</f>
        <v>24</v>
      </c>
      <c r="P229" s="273">
        <v>24</v>
      </c>
      <c r="Q229" s="273">
        <v>24</v>
      </c>
      <c r="R229" s="273">
        <v>30</v>
      </c>
      <c r="S229" s="273">
        <v>30</v>
      </c>
      <c r="T229" s="273">
        <v>24</v>
      </c>
      <c r="U229" s="273">
        <v>26</v>
      </c>
      <c r="V229" s="273">
        <v>26</v>
      </c>
      <c r="W229" s="273">
        <v>26</v>
      </c>
      <c r="X229" s="131"/>
      <c r="Y229" s="131"/>
      <c r="Z229" s="266"/>
      <c r="AJ229" s="266"/>
    </row>
    <row r="230" spans="2:36">
      <c r="B230" s="93" t="s">
        <v>1035</v>
      </c>
      <c r="C230" s="89" t="s">
        <v>1036</v>
      </c>
      <c r="D230" s="510" t="s">
        <v>1577</v>
      </c>
      <c r="E230" s="511" t="s">
        <v>1038</v>
      </c>
      <c r="F230" s="243" t="s">
        <v>1578</v>
      </c>
      <c r="G230" s="194">
        <f t="shared" si="17"/>
        <v>0</v>
      </c>
      <c r="H230"/>
      <c r="I230"/>
      <c r="J230"/>
      <c r="K230"/>
      <c r="L230" s="248" t="s">
        <v>1579</v>
      </c>
      <c r="M230" s="284"/>
      <c r="N230" s="247"/>
      <c r="T230" s="247"/>
      <c r="U230" s="266"/>
      <c r="V230" s="266"/>
      <c r="W230" s="266"/>
      <c r="X230" s="266"/>
      <c r="Y230" s="266"/>
      <c r="Z230" s="266"/>
      <c r="AJ230" s="266"/>
    </row>
    <row r="231" spans="2:36">
      <c r="B231" s="93" t="s">
        <v>1035</v>
      </c>
      <c r="C231" s="89" t="s">
        <v>1036</v>
      </c>
      <c r="D231" s="510" t="s">
        <v>1580</v>
      </c>
      <c r="E231" s="511" t="s">
        <v>1038</v>
      </c>
      <c r="F231" s="243" t="s">
        <v>1578</v>
      </c>
      <c r="G231" s="194">
        <f t="shared" si="17"/>
        <v>0</v>
      </c>
      <c r="H231"/>
      <c r="I231"/>
      <c r="J231"/>
      <c r="K231"/>
      <c r="L231" s="248" t="s">
        <v>1579</v>
      </c>
      <c r="M231" s="284"/>
      <c r="N231" s="247"/>
      <c r="O231" s="247"/>
      <c r="P231" s="247"/>
      <c r="Q231" s="247"/>
      <c r="R231" s="247"/>
      <c r="S231" s="247"/>
      <c r="T231" s="247"/>
      <c r="U231" s="266"/>
      <c r="V231" s="266"/>
      <c r="W231" s="266"/>
      <c r="X231" s="266"/>
      <c r="Y231" s="266"/>
      <c r="Z231" s="266"/>
      <c r="AJ231" s="266"/>
    </row>
    <row r="232" spans="2:36">
      <c r="B232" s="93" t="s">
        <v>1035</v>
      </c>
      <c r="C232" s="89" t="s">
        <v>1036</v>
      </c>
      <c r="D232" s="510" t="s">
        <v>1581</v>
      </c>
      <c r="E232" s="511" t="s">
        <v>1038</v>
      </c>
      <c r="F232" s="243" t="s">
        <v>1578</v>
      </c>
      <c r="G232" s="194">
        <f t="shared" si="17"/>
        <v>0</v>
      </c>
      <c r="H232"/>
      <c r="I232"/>
      <c r="J232"/>
      <c r="K232"/>
      <c r="L232" s="248" t="s">
        <v>1579</v>
      </c>
      <c r="M232" s="284"/>
      <c r="N232" s="247"/>
      <c r="O232" s="247"/>
      <c r="P232" s="247"/>
      <c r="Q232" s="247"/>
      <c r="R232" s="247"/>
      <c r="S232" s="247"/>
      <c r="T232" s="247"/>
      <c r="U232" s="266"/>
      <c r="V232" s="266"/>
      <c r="W232" s="266"/>
      <c r="X232" s="266"/>
      <c r="Y232" s="266"/>
      <c r="Z232" s="266"/>
      <c r="AJ232" s="266"/>
    </row>
    <row r="233" spans="2:36">
      <c r="B233" s="93" t="s">
        <v>1035</v>
      </c>
      <c r="C233" s="89" t="s">
        <v>1036</v>
      </c>
      <c r="D233" s="510" t="s">
        <v>1582</v>
      </c>
      <c r="E233" s="511" t="s">
        <v>1038</v>
      </c>
      <c r="F233" s="243" t="s">
        <v>1578</v>
      </c>
      <c r="G233" s="194">
        <f t="shared" si="17"/>
        <v>0</v>
      </c>
      <c r="H233"/>
      <c r="I233"/>
      <c r="J233"/>
      <c r="K233"/>
      <c r="L233" s="248" t="s">
        <v>1579</v>
      </c>
      <c r="M233" s="284"/>
      <c r="N233" s="247"/>
      <c r="O233" s="247"/>
      <c r="P233" s="247"/>
      <c r="Q233" s="247"/>
      <c r="R233" s="247"/>
      <c r="S233" s="247"/>
      <c r="T233" s="247"/>
      <c r="U233" s="266"/>
      <c r="V233" s="266"/>
      <c r="W233" s="266"/>
      <c r="X233" s="266"/>
      <c r="Y233" s="266"/>
      <c r="Z233" s="266"/>
      <c r="AJ233" s="266"/>
    </row>
    <row r="234" spans="2:36">
      <c r="B234" s="93" t="s">
        <v>1035</v>
      </c>
      <c r="C234" s="89" t="s">
        <v>1036</v>
      </c>
      <c r="D234" s="510" t="s">
        <v>1583</v>
      </c>
      <c r="E234" s="511" t="s">
        <v>1038</v>
      </c>
      <c r="F234" s="243" t="s">
        <v>1578</v>
      </c>
      <c r="G234" s="194">
        <f t="shared" si="17"/>
        <v>0</v>
      </c>
      <c r="H234"/>
      <c r="I234"/>
      <c r="J234"/>
      <c r="K234"/>
      <c r="L234" s="248" t="s">
        <v>1579</v>
      </c>
      <c r="M234" s="284"/>
      <c r="N234" s="247"/>
      <c r="O234" s="247"/>
      <c r="P234" s="247"/>
      <c r="Q234" s="247"/>
      <c r="R234" s="247"/>
      <c r="S234" s="247"/>
      <c r="T234" s="247"/>
      <c r="U234" s="266"/>
      <c r="V234" s="266"/>
      <c r="W234" s="266"/>
      <c r="X234" s="266"/>
      <c r="Y234" s="266"/>
      <c r="Z234" s="266"/>
      <c r="AJ234" s="266"/>
    </row>
    <row r="235" spans="2:36">
      <c r="B235" s="93" t="s">
        <v>1035</v>
      </c>
      <c r="C235" s="89" t="s">
        <v>1036</v>
      </c>
      <c r="D235" s="510" t="s">
        <v>1584</v>
      </c>
      <c r="E235" s="511" t="s">
        <v>1038</v>
      </c>
      <c r="F235" s="243" t="s">
        <v>1578</v>
      </c>
      <c r="G235" s="194">
        <f t="shared" si="17"/>
        <v>0</v>
      </c>
      <c r="H235"/>
      <c r="I235"/>
      <c r="J235"/>
      <c r="K235"/>
      <c r="L235" s="248" t="s">
        <v>1579</v>
      </c>
      <c r="M235" s="284"/>
      <c r="N235" s="247"/>
      <c r="O235" s="247"/>
      <c r="P235" s="247"/>
      <c r="Q235" s="247"/>
      <c r="R235" s="247"/>
      <c r="S235" s="247"/>
      <c r="T235" s="247"/>
      <c r="U235" s="266"/>
      <c r="V235" s="266"/>
      <c r="W235" s="266"/>
      <c r="X235" s="266"/>
      <c r="Y235" s="266"/>
      <c r="Z235" s="266"/>
      <c r="AJ235" s="266"/>
    </row>
    <row r="236" spans="2:36">
      <c r="B236" s="93" t="s">
        <v>1035</v>
      </c>
      <c r="C236" s="89" t="s">
        <v>1036</v>
      </c>
      <c r="D236" s="510" t="s">
        <v>1585</v>
      </c>
      <c r="E236" s="511" t="s">
        <v>1038</v>
      </c>
      <c r="F236" s="243" t="s">
        <v>1578</v>
      </c>
      <c r="G236" s="194">
        <f t="shared" si="17"/>
        <v>0</v>
      </c>
      <c r="H236"/>
      <c r="I236"/>
      <c r="J236"/>
      <c r="K236"/>
      <c r="L236" s="248" t="s">
        <v>1579</v>
      </c>
      <c r="M236" s="284"/>
      <c r="N236" s="247"/>
      <c r="O236" s="247"/>
      <c r="P236" s="247"/>
      <c r="Q236" s="247"/>
      <c r="R236" s="247"/>
      <c r="S236" s="247"/>
      <c r="T236" s="247"/>
      <c r="U236" s="266"/>
      <c r="V236" s="266"/>
      <c r="W236" s="266"/>
      <c r="X236" s="266"/>
      <c r="Y236" s="266"/>
      <c r="Z236" s="266"/>
      <c r="AJ236" s="266"/>
    </row>
    <row r="237" spans="2:36">
      <c r="B237" s="93" t="s">
        <v>1035</v>
      </c>
      <c r="C237" s="89" t="s">
        <v>1036</v>
      </c>
      <c r="D237" s="510" t="s">
        <v>1586</v>
      </c>
      <c r="E237" s="511" t="s">
        <v>1038</v>
      </c>
      <c r="F237" s="243" t="s">
        <v>1578</v>
      </c>
      <c r="G237" s="194">
        <f t="shared" si="17"/>
        <v>0</v>
      </c>
      <c r="H237"/>
      <c r="I237"/>
      <c r="J237"/>
      <c r="K237"/>
      <c r="L237" s="248" t="s">
        <v>1579</v>
      </c>
      <c r="M237" s="284"/>
      <c r="N237" s="247"/>
      <c r="O237" s="247"/>
      <c r="P237" s="247"/>
      <c r="Q237" s="247"/>
      <c r="R237" s="247"/>
      <c r="S237" s="247"/>
      <c r="T237" s="247"/>
      <c r="U237" s="266"/>
      <c r="V237" s="266"/>
      <c r="W237" s="266"/>
      <c r="X237" s="266"/>
      <c r="Y237" s="266"/>
      <c r="Z237" s="266"/>
      <c r="AJ237" s="266"/>
    </row>
    <row r="238" spans="2:36">
      <c r="B238" s="93" t="s">
        <v>1035</v>
      </c>
      <c r="C238" s="89" t="s">
        <v>1036</v>
      </c>
      <c r="D238" s="510" t="s">
        <v>1587</v>
      </c>
      <c r="E238" s="511" t="s">
        <v>1038</v>
      </c>
      <c r="F238" s="243" t="s">
        <v>1578</v>
      </c>
      <c r="G238" s="194">
        <f t="shared" si="17"/>
        <v>0</v>
      </c>
      <c r="H238"/>
      <c r="I238"/>
      <c r="J238"/>
      <c r="K238"/>
      <c r="L238" s="248" t="s">
        <v>1579</v>
      </c>
      <c r="M238" s="284"/>
      <c r="N238" s="247"/>
      <c r="O238" s="247"/>
      <c r="P238" s="247"/>
      <c r="Q238" s="247"/>
      <c r="R238" s="247"/>
      <c r="S238" s="247"/>
      <c r="T238" s="247"/>
      <c r="U238" s="266"/>
      <c r="V238" s="266"/>
      <c r="W238" s="266"/>
      <c r="X238" s="266"/>
      <c r="Y238" s="266"/>
      <c r="Z238" s="266"/>
      <c r="AJ238" s="266"/>
    </row>
    <row r="239" spans="2:36">
      <c r="B239" s="93" t="s">
        <v>1035</v>
      </c>
      <c r="C239" s="89" t="s">
        <v>1036</v>
      </c>
      <c r="D239" s="510" t="s">
        <v>1588</v>
      </c>
      <c r="E239" s="511" t="s">
        <v>1038</v>
      </c>
      <c r="F239" s="243" t="s">
        <v>1578</v>
      </c>
      <c r="G239" s="194">
        <f t="shared" si="17"/>
        <v>0</v>
      </c>
      <c r="H239"/>
      <c r="I239"/>
      <c r="J239"/>
      <c r="K239"/>
      <c r="L239" s="248" t="s">
        <v>1579</v>
      </c>
      <c r="M239" s="284"/>
      <c r="N239" s="247"/>
      <c r="O239" s="247"/>
      <c r="P239" s="247"/>
      <c r="Q239" s="247"/>
      <c r="R239" s="247"/>
      <c r="S239" s="247"/>
      <c r="T239" s="247"/>
      <c r="U239" s="266"/>
      <c r="V239" s="266"/>
      <c r="W239" s="266"/>
      <c r="X239" s="266"/>
      <c r="Y239" s="266"/>
      <c r="Z239" s="266"/>
      <c r="AJ239" s="266"/>
    </row>
    <row r="240" spans="2:36">
      <c r="B240" s="93" t="s">
        <v>1035</v>
      </c>
      <c r="C240" s="89" t="s">
        <v>1036</v>
      </c>
      <c r="D240" s="510" t="s">
        <v>1589</v>
      </c>
      <c r="E240" s="511" t="s">
        <v>1038</v>
      </c>
      <c r="F240" s="243" t="s">
        <v>1578</v>
      </c>
      <c r="G240" s="194">
        <f t="shared" si="17"/>
        <v>0</v>
      </c>
      <c r="H240"/>
      <c r="I240"/>
      <c r="J240"/>
      <c r="K240"/>
      <c r="L240" s="248" t="s">
        <v>1579</v>
      </c>
      <c r="M240" s="284"/>
      <c r="N240" s="247"/>
      <c r="O240" s="247"/>
      <c r="P240" s="247"/>
      <c r="Q240" s="247"/>
      <c r="R240" s="247"/>
      <c r="S240" s="247"/>
      <c r="T240" s="247"/>
      <c r="U240" s="266"/>
      <c r="V240" s="266"/>
      <c r="W240" s="266"/>
      <c r="X240" s="266"/>
      <c r="Y240" s="266"/>
      <c r="Z240" s="266"/>
      <c r="AJ240" s="266"/>
    </row>
    <row r="241" spans="2:36">
      <c r="B241" s="93" t="s">
        <v>1035</v>
      </c>
      <c r="C241" s="89" t="s">
        <v>1036</v>
      </c>
      <c r="D241" s="510" t="s">
        <v>1590</v>
      </c>
      <c r="E241" s="511" t="s">
        <v>1038</v>
      </c>
      <c r="F241" s="243" t="s">
        <v>1578</v>
      </c>
      <c r="G241" s="194">
        <f t="shared" si="17"/>
        <v>0</v>
      </c>
      <c r="H241"/>
      <c r="I241"/>
      <c r="J241"/>
      <c r="K241"/>
      <c r="L241" s="248" t="s">
        <v>1579</v>
      </c>
      <c r="M241" s="284"/>
      <c r="N241" s="247"/>
      <c r="O241" s="247"/>
      <c r="P241" s="247"/>
      <c r="Q241" s="247"/>
      <c r="R241" s="247"/>
      <c r="S241" s="247"/>
      <c r="T241" s="247"/>
      <c r="U241" s="266"/>
      <c r="V241" s="266"/>
      <c r="W241" s="266"/>
      <c r="X241" s="266"/>
      <c r="Y241" s="266"/>
      <c r="Z241" s="266"/>
      <c r="AJ241" s="266"/>
    </row>
    <row r="242" spans="2:36">
      <c r="B242" s="93" t="s">
        <v>1035</v>
      </c>
      <c r="C242" s="89" t="s">
        <v>1036</v>
      </c>
      <c r="D242" s="510" t="s">
        <v>1591</v>
      </c>
      <c r="E242" s="511" t="s">
        <v>1038</v>
      </c>
      <c r="F242" s="243" t="s">
        <v>1578</v>
      </c>
      <c r="G242" s="194">
        <f t="shared" si="17"/>
        <v>0</v>
      </c>
      <c r="H242"/>
      <c r="I242"/>
      <c r="J242"/>
      <c r="K242"/>
      <c r="L242" s="248" t="s">
        <v>1579</v>
      </c>
      <c r="M242" s="284"/>
      <c r="N242" s="247"/>
      <c r="O242" s="247"/>
      <c r="P242" s="247"/>
      <c r="Q242" s="247"/>
      <c r="R242" s="247"/>
      <c r="S242" s="247"/>
      <c r="T242" s="247"/>
      <c r="U242" s="266"/>
      <c r="V242" s="266"/>
      <c r="W242" s="266"/>
      <c r="X242" s="266"/>
      <c r="Y242" s="266"/>
      <c r="Z242" s="266"/>
      <c r="AJ242" s="266"/>
    </row>
    <row r="243" spans="2:36">
      <c r="B243" s="93" t="s">
        <v>1035</v>
      </c>
      <c r="C243" s="89" t="s">
        <v>1036</v>
      </c>
      <c r="D243" s="510" t="s">
        <v>1592</v>
      </c>
      <c r="E243" s="511" t="s">
        <v>1038</v>
      </c>
      <c r="F243" s="243" t="s">
        <v>1578</v>
      </c>
      <c r="G243" s="194">
        <f t="shared" si="17"/>
        <v>0</v>
      </c>
      <c r="H243"/>
      <c r="I243"/>
      <c r="J243"/>
      <c r="K243"/>
      <c r="L243" s="248" t="s">
        <v>1579</v>
      </c>
      <c r="M243" s="284"/>
      <c r="N243" s="247"/>
      <c r="O243" s="247"/>
      <c r="P243" s="247"/>
      <c r="Q243" s="247"/>
      <c r="R243" s="247"/>
      <c r="S243" s="247"/>
      <c r="T243" s="247"/>
      <c r="U243" s="266"/>
      <c r="V243" s="266"/>
      <c r="W243" s="266"/>
      <c r="X243" s="266"/>
      <c r="Y243" s="266"/>
      <c r="Z243" s="266"/>
      <c r="AJ243" s="266"/>
    </row>
    <row r="244" spans="2:36">
      <c r="B244" s="93" t="s">
        <v>1035</v>
      </c>
      <c r="C244" s="89" t="s">
        <v>1036</v>
      </c>
      <c r="D244" s="510" t="s">
        <v>1593</v>
      </c>
      <c r="E244" s="511" t="s">
        <v>1038</v>
      </c>
      <c r="F244" s="243" t="s">
        <v>1578</v>
      </c>
      <c r="G244" s="194">
        <f t="shared" si="17"/>
        <v>0</v>
      </c>
      <c r="H244"/>
      <c r="I244"/>
      <c r="J244"/>
      <c r="K244"/>
      <c r="L244" s="248" t="s">
        <v>1579</v>
      </c>
      <c r="M244" s="284"/>
      <c r="N244" s="247"/>
      <c r="O244" s="247"/>
      <c r="P244" s="247"/>
      <c r="Q244" s="247"/>
      <c r="R244" s="247"/>
      <c r="S244" s="247"/>
      <c r="T244" s="247"/>
      <c r="U244" s="266"/>
      <c r="V244" s="266"/>
      <c r="W244" s="266"/>
      <c r="X244" s="266"/>
      <c r="Y244" s="266"/>
      <c r="Z244" s="266"/>
      <c r="AJ244" s="266"/>
    </row>
    <row r="245" spans="2:36">
      <c r="B245" s="93" t="s">
        <v>1035</v>
      </c>
      <c r="C245" s="89" t="s">
        <v>1036</v>
      </c>
      <c r="D245" s="510" t="s">
        <v>1594</v>
      </c>
      <c r="E245" s="511" t="s">
        <v>1038</v>
      </c>
      <c r="F245" s="243" t="s">
        <v>1578</v>
      </c>
      <c r="G245" s="194">
        <f t="shared" si="17"/>
        <v>0</v>
      </c>
      <c r="H245"/>
      <c r="I245"/>
      <c r="J245"/>
      <c r="K245"/>
      <c r="L245" s="248" t="s">
        <v>1579</v>
      </c>
      <c r="M245" s="284"/>
      <c r="N245" s="247"/>
      <c r="O245" s="247"/>
      <c r="P245" s="247"/>
      <c r="Q245" s="247"/>
      <c r="R245" s="247"/>
      <c r="S245" s="247"/>
      <c r="T245" s="247"/>
      <c r="U245" s="266"/>
      <c r="V245" s="266"/>
      <c r="W245" s="266"/>
      <c r="X245" s="266"/>
      <c r="Y245" s="266"/>
      <c r="Z245" s="266"/>
      <c r="AJ245" s="266"/>
    </row>
    <row r="246" spans="2:36">
      <c r="B246" s="93" t="s">
        <v>1035</v>
      </c>
      <c r="C246" s="89" t="s">
        <v>1036</v>
      </c>
      <c r="D246" s="510" t="s">
        <v>1595</v>
      </c>
      <c r="E246" s="511" t="s">
        <v>1038</v>
      </c>
      <c r="F246" s="243" t="s">
        <v>1578</v>
      </c>
      <c r="G246" s="194">
        <f t="shared" si="17"/>
        <v>0</v>
      </c>
      <c r="H246"/>
      <c r="I246"/>
      <c r="J246"/>
      <c r="K246"/>
      <c r="L246" s="248" t="s">
        <v>1579</v>
      </c>
      <c r="M246" s="284"/>
      <c r="N246" s="247"/>
      <c r="O246" s="247"/>
      <c r="P246" s="247"/>
      <c r="Q246" s="247"/>
      <c r="R246" s="247"/>
      <c r="S246" s="247"/>
      <c r="T246" s="247"/>
      <c r="U246"/>
      <c r="V246"/>
      <c r="W246" s="266"/>
      <c r="X246" s="266"/>
      <c r="Y246" s="266"/>
      <c r="Z246" s="266"/>
      <c r="AJ246" s="266"/>
    </row>
    <row r="247" spans="2:36">
      <c r="B247" s="93" t="s">
        <v>1035</v>
      </c>
      <c r="C247" s="89" t="s">
        <v>1036</v>
      </c>
      <c r="D247" s="510" t="s">
        <v>1596</v>
      </c>
      <c r="E247" s="511" t="s">
        <v>1038</v>
      </c>
      <c r="F247" s="243" t="s">
        <v>1578</v>
      </c>
      <c r="G247" s="194">
        <f t="shared" si="17"/>
        <v>0</v>
      </c>
      <c r="H247"/>
      <c r="I247"/>
      <c r="J247"/>
      <c r="K247"/>
      <c r="L247" s="248" t="s">
        <v>1579</v>
      </c>
      <c r="M247" s="284"/>
      <c r="N247" s="247"/>
      <c r="O247" s="247"/>
      <c r="P247" s="247"/>
      <c r="Q247" s="247"/>
      <c r="R247" s="247"/>
      <c r="S247" s="247"/>
      <c r="T247" s="247"/>
      <c r="U247"/>
      <c r="V247"/>
      <c r="W247" s="266"/>
      <c r="X247" s="266"/>
      <c r="Y247" s="266"/>
      <c r="Z247" s="266"/>
      <c r="AJ247" s="266"/>
    </row>
    <row r="248" spans="2:36">
      <c r="B248" s="93" t="s">
        <v>1035</v>
      </c>
      <c r="C248" s="89" t="s">
        <v>1036</v>
      </c>
      <c r="D248" s="510" t="s">
        <v>1597</v>
      </c>
      <c r="E248" s="511" t="s">
        <v>1038</v>
      </c>
      <c r="F248" s="243" t="s">
        <v>1578</v>
      </c>
      <c r="G248" s="194">
        <f t="shared" si="17"/>
        <v>0</v>
      </c>
      <c r="H248"/>
      <c r="I248"/>
      <c r="J248"/>
      <c r="K248"/>
      <c r="L248" s="248" t="s">
        <v>1579</v>
      </c>
      <c r="M248" s="284"/>
      <c r="N248" s="247"/>
      <c r="O248" s="247"/>
      <c r="P248" s="247"/>
      <c r="Q248" s="247"/>
      <c r="R248" s="247"/>
      <c r="S248" s="247"/>
      <c r="T248" s="247"/>
      <c r="U248"/>
      <c r="V248"/>
      <c r="W248" s="266"/>
      <c r="X248" s="266"/>
      <c r="Y248" s="266"/>
      <c r="Z248" s="266"/>
      <c r="AJ248" s="266"/>
    </row>
    <row r="249" spans="2:36">
      <c r="B249" s="93" t="s">
        <v>1035</v>
      </c>
      <c r="C249" s="89" t="s">
        <v>1036</v>
      </c>
      <c r="D249" s="510" t="s">
        <v>1598</v>
      </c>
      <c r="E249" s="511" t="s">
        <v>1038</v>
      </c>
      <c r="F249" s="243" t="s">
        <v>1578</v>
      </c>
      <c r="G249" s="194">
        <f t="shared" si="17"/>
        <v>0</v>
      </c>
      <c r="H249"/>
      <c r="I249"/>
      <c r="J249"/>
      <c r="K249"/>
      <c r="L249" s="248" t="s">
        <v>1579</v>
      </c>
      <c r="M249" s="284"/>
      <c r="N249" s="247"/>
      <c r="O249" s="247"/>
      <c r="P249" s="247"/>
      <c r="Q249" s="247"/>
      <c r="R249" s="247"/>
      <c r="S249" s="247"/>
      <c r="T249" s="247"/>
      <c r="U249"/>
      <c r="V249"/>
      <c r="W249" s="266"/>
      <c r="X249" s="266"/>
      <c r="Y249" s="266"/>
      <c r="Z249" s="266"/>
      <c r="AJ249" s="266"/>
    </row>
    <row r="250" spans="2:36">
      <c r="B250" s="93" t="s">
        <v>1035</v>
      </c>
      <c r="C250" s="89" t="s">
        <v>1036</v>
      </c>
      <c r="D250" s="510" t="s">
        <v>1599</v>
      </c>
      <c r="E250" s="511" t="s">
        <v>1038</v>
      </c>
      <c r="F250" s="243" t="s">
        <v>1578</v>
      </c>
      <c r="G250" s="194">
        <f t="shared" si="17"/>
        <v>0</v>
      </c>
      <c r="H250"/>
      <c r="I250"/>
      <c r="J250"/>
      <c r="K250"/>
      <c r="L250" s="248" t="s">
        <v>1579</v>
      </c>
      <c r="M250" s="284"/>
      <c r="N250" s="247"/>
      <c r="O250" s="247"/>
      <c r="P250" s="247"/>
      <c r="Q250" s="247"/>
      <c r="R250" s="247"/>
      <c r="S250" s="247"/>
      <c r="T250" s="247"/>
      <c r="U250"/>
      <c r="V250"/>
      <c r="W250" s="266"/>
      <c r="X250" s="266"/>
      <c r="Y250" s="266"/>
      <c r="Z250" s="266"/>
      <c r="AJ250" s="266"/>
    </row>
    <row r="251" spans="2:36">
      <c r="B251" s="93" t="s">
        <v>1035</v>
      </c>
      <c r="C251" s="89" t="s">
        <v>1036</v>
      </c>
      <c r="D251" s="510" t="s">
        <v>1600</v>
      </c>
      <c r="E251" s="511" t="s">
        <v>1038</v>
      </c>
      <c r="F251" s="243" t="s">
        <v>1578</v>
      </c>
      <c r="G251" s="194">
        <f t="shared" si="17"/>
        <v>0</v>
      </c>
      <c r="H251"/>
      <c r="I251"/>
      <c r="J251"/>
      <c r="K251"/>
      <c r="L251" s="248" t="s">
        <v>1579</v>
      </c>
      <c r="M251" s="284"/>
      <c r="N251" s="247"/>
      <c r="O251" s="247"/>
      <c r="P251" s="247"/>
      <c r="Q251" s="247"/>
      <c r="R251" s="247"/>
      <c r="S251" s="247"/>
      <c r="T251" s="247"/>
      <c r="U251"/>
      <c r="V251"/>
      <c r="W251" s="266"/>
      <c r="X251" s="266"/>
      <c r="Y251" s="266"/>
      <c r="Z251" s="266"/>
      <c r="AJ251" s="266"/>
    </row>
    <row r="252" spans="2:36">
      <c r="B252" s="93" t="s">
        <v>1035</v>
      </c>
      <c r="C252" s="89" t="s">
        <v>1036</v>
      </c>
      <c r="D252" s="510" t="s">
        <v>1601</v>
      </c>
      <c r="E252" s="511" t="s">
        <v>1038</v>
      </c>
      <c r="F252" s="243" t="s">
        <v>1578</v>
      </c>
      <c r="G252" s="194">
        <f t="shared" si="17"/>
        <v>0</v>
      </c>
      <c r="H252"/>
      <c r="I252"/>
      <c r="J252"/>
      <c r="K252"/>
      <c r="L252" s="248" t="s">
        <v>1579</v>
      </c>
      <c r="M252" s="284"/>
      <c r="N252" s="247"/>
      <c r="O252" s="247"/>
      <c r="P252" s="247"/>
      <c r="Q252" s="247"/>
      <c r="R252" s="247"/>
      <c r="S252" s="247"/>
      <c r="T252" s="247"/>
      <c r="U252"/>
      <c r="V252"/>
      <c r="W252" s="266"/>
      <c r="X252" s="266"/>
      <c r="Y252" s="266"/>
      <c r="Z252" s="266"/>
      <c r="AJ252" s="266"/>
    </row>
    <row r="253" spans="2:36">
      <c r="B253" s="93" t="s">
        <v>1035</v>
      </c>
      <c r="C253" s="89" t="s">
        <v>1036</v>
      </c>
      <c r="D253" s="510" t="s">
        <v>1602</v>
      </c>
      <c r="E253" s="511" t="s">
        <v>1038</v>
      </c>
      <c r="F253" s="243" t="s">
        <v>1578</v>
      </c>
      <c r="G253" s="194">
        <f t="shared" si="17"/>
        <v>0</v>
      </c>
      <c r="H253"/>
      <c r="I253"/>
      <c r="J253"/>
      <c r="K253"/>
      <c r="L253" s="248" t="s">
        <v>1579</v>
      </c>
      <c r="M253" s="284"/>
      <c r="N253" s="247"/>
      <c r="O253" s="247"/>
      <c r="P253" s="247"/>
      <c r="Q253" s="247"/>
      <c r="R253" s="247"/>
      <c r="S253" s="247"/>
      <c r="T253" s="247"/>
      <c r="U253"/>
      <c r="V253"/>
      <c r="W253" s="266"/>
      <c r="X253" s="266"/>
      <c r="Y253" s="266"/>
      <c r="Z253" s="266"/>
      <c r="AJ253" s="266"/>
    </row>
    <row r="254" spans="2:36">
      <c r="B254" s="93" t="s">
        <v>1035</v>
      </c>
      <c r="C254" s="89" t="s">
        <v>1036</v>
      </c>
      <c r="D254" s="510" t="s">
        <v>1603</v>
      </c>
      <c r="E254" s="511" t="s">
        <v>1038</v>
      </c>
      <c r="F254" s="243" t="s">
        <v>1578</v>
      </c>
      <c r="G254" s="194">
        <f t="shared" si="17"/>
        <v>0</v>
      </c>
      <c r="H254"/>
      <c r="I254"/>
      <c r="J254"/>
      <c r="K254"/>
      <c r="L254" s="248" t="s">
        <v>1579</v>
      </c>
      <c r="M254" s="284"/>
      <c r="N254" s="247"/>
      <c r="O254" s="247"/>
      <c r="P254" s="247"/>
      <c r="Q254" s="247"/>
      <c r="R254" s="247"/>
      <c r="S254" s="247"/>
      <c r="T254" s="247"/>
      <c r="U254"/>
      <c r="V254"/>
      <c r="W254" s="266"/>
      <c r="X254" s="266"/>
      <c r="Y254" s="266"/>
      <c r="Z254" s="266"/>
      <c r="AJ254" s="266"/>
    </row>
    <row r="255" spans="2:36">
      <c r="B255" s="93" t="s">
        <v>1035</v>
      </c>
      <c r="C255" s="89" t="s">
        <v>1036</v>
      </c>
      <c r="D255" s="510" t="s">
        <v>1604</v>
      </c>
      <c r="E255" s="511" t="s">
        <v>1038</v>
      </c>
      <c r="F255" s="243" t="s">
        <v>1578</v>
      </c>
      <c r="G255" s="194">
        <f t="shared" si="17"/>
        <v>0</v>
      </c>
      <c r="H255"/>
      <c r="I255"/>
      <c r="J255"/>
      <c r="K255"/>
      <c r="L255" s="248" t="s">
        <v>1579</v>
      </c>
      <c r="M255" s="284"/>
      <c r="N255" s="247"/>
      <c r="O255" s="247"/>
      <c r="P255" s="247"/>
      <c r="Q255" s="247"/>
      <c r="R255" s="247"/>
      <c r="S255" s="247"/>
      <c r="T255" s="247"/>
      <c r="U255"/>
      <c r="V255"/>
      <c r="W255" s="266"/>
      <c r="X255" s="266"/>
      <c r="Y255" s="266"/>
      <c r="Z255" s="266"/>
      <c r="AJ255" s="266"/>
    </row>
    <row r="256" spans="2:36">
      <c r="B256" s="93" t="s">
        <v>1035</v>
      </c>
      <c r="C256" s="89" t="s">
        <v>1036</v>
      </c>
      <c r="D256" s="510" t="s">
        <v>1605</v>
      </c>
      <c r="E256" s="511" t="s">
        <v>1038</v>
      </c>
      <c r="F256" s="243" t="s">
        <v>1578</v>
      </c>
      <c r="G256" s="194">
        <f t="shared" si="17"/>
        <v>0</v>
      </c>
      <c r="H256"/>
      <c r="I256"/>
      <c r="J256"/>
      <c r="K256"/>
      <c r="L256" s="248" t="s">
        <v>1579</v>
      </c>
      <c r="M256" s="284"/>
      <c r="N256" s="247"/>
      <c r="O256" s="247"/>
      <c r="P256" s="247"/>
      <c r="Q256" s="247"/>
      <c r="R256" s="247"/>
      <c r="S256" s="247"/>
      <c r="T256" s="247"/>
      <c r="U256"/>
      <c r="V256"/>
      <c r="W256" s="266"/>
      <c r="X256" s="266"/>
      <c r="Y256" s="266"/>
      <c r="Z256" s="266"/>
      <c r="AJ256" s="266"/>
    </row>
    <row r="257" spans="1:57">
      <c r="B257" s="93" t="s">
        <v>1035</v>
      </c>
      <c r="C257" s="89" t="s">
        <v>1036</v>
      </c>
      <c r="D257" s="510" t="s">
        <v>1606</v>
      </c>
      <c r="E257" s="511" t="s">
        <v>1038</v>
      </c>
      <c r="F257" s="243" t="s">
        <v>1578</v>
      </c>
      <c r="G257" s="194">
        <f t="shared" si="17"/>
        <v>0</v>
      </c>
      <c r="H257"/>
      <c r="I257"/>
      <c r="J257"/>
      <c r="K257"/>
      <c r="L257" s="248" t="s">
        <v>1579</v>
      </c>
      <c r="M257" s="284"/>
      <c r="N257" s="247"/>
      <c r="O257" s="247"/>
      <c r="P257" s="247"/>
      <c r="Q257" s="247"/>
      <c r="R257" s="247"/>
      <c r="S257" s="247"/>
      <c r="T257" s="247"/>
      <c r="U257"/>
      <c r="V257"/>
      <c r="W257" s="266"/>
      <c r="X257" s="266"/>
      <c r="Y257" s="266"/>
      <c r="Z257" s="266"/>
      <c r="AJ257" s="266"/>
    </row>
    <row r="258" spans="1:57">
      <c r="B258" s="93" t="s">
        <v>1035</v>
      </c>
      <c r="C258" s="89" t="s">
        <v>1036</v>
      </c>
      <c r="D258" s="510" t="s">
        <v>1607</v>
      </c>
      <c r="E258" s="511" t="s">
        <v>1038</v>
      </c>
      <c r="F258" s="243" t="s">
        <v>1578</v>
      </c>
      <c r="G258" s="194">
        <f t="shared" si="17"/>
        <v>0</v>
      </c>
      <c r="H258"/>
      <c r="I258"/>
      <c r="J258"/>
      <c r="K258"/>
      <c r="L258" s="248" t="s">
        <v>1579</v>
      </c>
      <c r="M258" s="284"/>
      <c r="N258" s="247"/>
      <c r="O258" s="247"/>
      <c r="P258" s="247"/>
      <c r="Q258" s="247"/>
      <c r="R258" s="247"/>
      <c r="S258" s="247"/>
      <c r="T258" s="247"/>
      <c r="U258"/>
      <c r="V258"/>
      <c r="W258" s="266"/>
      <c r="X258" s="266"/>
      <c r="Y258" s="266"/>
      <c r="Z258" s="266"/>
      <c r="AJ258" s="266"/>
    </row>
    <row r="259" spans="1:57">
      <c r="B259" s="93" t="s">
        <v>1035</v>
      </c>
      <c r="C259" s="89" t="s">
        <v>1036</v>
      </c>
      <c r="D259" s="510" t="s">
        <v>1608</v>
      </c>
      <c r="E259" s="91" t="str">
        <f>DEC2HEX(G259,2)</f>
        <v>93</v>
      </c>
      <c r="F259" s="243" t="s">
        <v>1609</v>
      </c>
      <c r="G259" s="194">
        <f>MOD(256-MOD(SUM(G132:G258),256),256)</f>
        <v>147</v>
      </c>
      <c r="H259"/>
      <c r="I259"/>
      <c r="J259"/>
      <c r="K259"/>
      <c r="L259" s="248" t="s">
        <v>1361</v>
      </c>
      <c r="M259" s="284"/>
      <c r="N259" s="247"/>
      <c r="O259" s="247"/>
      <c r="P259" s="247"/>
      <c r="Q259" s="247"/>
      <c r="R259" s="247"/>
      <c r="S259" s="247"/>
      <c r="T259" s="247"/>
      <c r="U259"/>
      <c r="V259"/>
      <c r="W259" s="266"/>
      <c r="X259" s="266"/>
      <c r="Y259" s="266"/>
      <c r="Z259" s="266"/>
      <c r="AJ259" s="266"/>
    </row>
    <row r="260" spans="1:57">
      <c r="A260"/>
      <c r="B260"/>
      <c r="C260"/>
      <c r="D260"/>
      <c r="E260"/>
      <c r="F260"/>
      <c r="G260"/>
      <c r="H260"/>
      <c r="I260"/>
      <c r="J260"/>
      <c r="K260"/>
      <c r="L260" s="247"/>
      <c r="M260" s="247"/>
      <c r="N260" s="247"/>
      <c r="O260" s="247"/>
      <c r="P260" s="247"/>
      <c r="Q260" s="247"/>
      <c r="R260" s="247"/>
      <c r="S260" s="247"/>
      <c r="T260" s="247"/>
      <c r="U260"/>
      <c r="V260"/>
      <c r="W260" s="266"/>
      <c r="X260" s="266"/>
      <c r="Y260" s="266"/>
      <c r="Z260" s="266"/>
      <c r="AJ260" s="266"/>
    </row>
    <row r="261" spans="1:57">
      <c r="A261"/>
      <c r="B261"/>
      <c r="C261"/>
      <c r="D261"/>
      <c r="E261"/>
      <c r="F261"/>
      <c r="G261"/>
      <c r="H261"/>
      <c r="I261"/>
      <c r="J261"/>
      <c r="K261"/>
      <c r="L261" s="247"/>
      <c r="M261" s="247"/>
      <c r="N261" s="247"/>
      <c r="O261" s="247"/>
      <c r="P261" s="247"/>
      <c r="Q261" s="247"/>
      <c r="R261" s="247"/>
      <c r="S261" s="247"/>
      <c r="T261" s="247"/>
      <c r="U261"/>
      <c r="V261"/>
      <c r="W261" s="266"/>
      <c r="X261" s="266"/>
      <c r="Y261" s="266"/>
      <c r="Z261" s="266"/>
      <c r="AJ261" s="266"/>
    </row>
    <row r="262" spans="1:57">
      <c r="A262"/>
      <c r="B262"/>
      <c r="C262"/>
      <c r="D262"/>
      <c r="E262"/>
      <c r="F262"/>
      <c r="G262"/>
      <c r="H262"/>
      <c r="I262"/>
      <c r="J262"/>
      <c r="K262"/>
      <c r="L262" s="247"/>
      <c r="M262" s="247"/>
      <c r="N262" s="247"/>
      <c r="O262" s="247"/>
      <c r="P262" s="247"/>
      <c r="Q262" s="247"/>
      <c r="R262" s="247"/>
      <c r="S262" s="247"/>
      <c r="T262" s="247"/>
      <c r="U262"/>
      <c r="V262"/>
      <c r="W262" s="266"/>
      <c r="X262" s="266"/>
      <c r="Y262" s="266"/>
      <c r="Z262" s="266"/>
      <c r="AA262" s="266"/>
      <c r="AB262" s="266"/>
      <c r="AC262" s="266"/>
      <c r="AD262" s="266"/>
      <c r="AE262" s="266"/>
      <c r="AF262" s="266"/>
      <c r="AG262" s="266"/>
      <c r="AH262" s="266"/>
      <c r="AI262" s="266"/>
      <c r="AJ262" s="266"/>
      <c r="AK262" s="266"/>
      <c r="AL262" s="266"/>
      <c r="AM262" s="266"/>
      <c r="AN262" s="266"/>
      <c r="AO262" s="266"/>
      <c r="AP262" s="266"/>
      <c r="AQ262" s="266"/>
      <c r="AR262" s="266"/>
      <c r="AS262"/>
      <c r="AT262"/>
      <c r="AU262"/>
      <c r="AV262"/>
      <c r="AW262"/>
      <c r="AX262"/>
      <c r="AY262"/>
      <c r="AZ262"/>
      <c r="BA262"/>
      <c r="BB262"/>
      <c r="BC262"/>
      <c r="BD262"/>
      <c r="BE262"/>
    </row>
    <row r="263" spans="1:57">
      <c r="A263"/>
      <c r="B263"/>
      <c r="C263"/>
      <c r="D263"/>
      <c r="E263"/>
      <c r="F263"/>
      <c r="G263"/>
      <c r="H263"/>
      <c r="I263"/>
      <c r="J263"/>
      <c r="K263"/>
      <c r="L263" s="247"/>
      <c r="M263" s="247"/>
      <c r="N263" s="247"/>
      <c r="O263" s="247"/>
      <c r="P263" s="247"/>
      <c r="Q263" s="247"/>
      <c r="R263" s="247"/>
      <c r="S263" s="247"/>
      <c r="T263" s="247"/>
      <c r="U263"/>
      <c r="V263"/>
      <c r="W263" s="266"/>
      <c r="X263" s="266"/>
      <c r="Y263" s="266"/>
      <c r="Z263" s="266"/>
      <c r="AA263" s="266"/>
      <c r="AB263" s="266"/>
      <c r="AC263" s="266"/>
      <c r="AD263" s="266"/>
      <c r="AE263" s="266"/>
      <c r="AF263" s="266"/>
      <c r="AG263" s="266"/>
      <c r="AH263" s="266"/>
      <c r="AI263" s="266"/>
      <c r="AJ263" s="266"/>
      <c r="AK263" s="266"/>
      <c r="AL263" s="266"/>
      <c r="AM263" s="266"/>
      <c r="AN263" s="266"/>
      <c r="AO263" s="266"/>
      <c r="AP263" s="266"/>
      <c r="AQ263" s="266"/>
      <c r="AR263" s="266"/>
      <c r="AS263"/>
      <c r="AT263"/>
      <c r="AU263"/>
      <c r="AV263"/>
      <c r="AW263"/>
      <c r="AX263"/>
      <c r="AY263"/>
      <c r="AZ263"/>
      <c r="BA263"/>
      <c r="BB263"/>
      <c r="BC263"/>
      <c r="BD263"/>
      <c r="BE263"/>
    </row>
    <row r="264" spans="1:57">
      <c r="A264"/>
      <c r="B264"/>
      <c r="C264"/>
      <c r="D264"/>
      <c r="E264"/>
      <c r="F264"/>
      <c r="G264"/>
      <c r="H264"/>
      <c r="I264"/>
      <c r="J264"/>
      <c r="K264"/>
      <c r="L264" s="247"/>
      <c r="M264" s="247"/>
      <c r="N264" s="247"/>
      <c r="O264" s="247"/>
      <c r="P264" s="247"/>
      <c r="Q264" s="247"/>
      <c r="R264" s="247"/>
      <c r="S264" s="247"/>
      <c r="T264" s="247"/>
      <c r="U264"/>
      <c r="V264"/>
      <c r="W264" s="266"/>
      <c r="X264" s="266"/>
      <c r="Y264" s="266"/>
      <c r="Z264" s="266"/>
      <c r="AA264" s="266"/>
      <c r="AB264" s="266"/>
      <c r="AC264" s="266"/>
      <c r="AD264" s="266"/>
      <c r="AE264" s="266"/>
      <c r="AF264" s="266"/>
      <c r="AG264" s="266"/>
      <c r="AH264" s="266"/>
      <c r="AI264" s="266"/>
      <c r="AJ264" s="266"/>
      <c r="AK264" s="266"/>
      <c r="AL264" s="266"/>
      <c r="AM264" s="266"/>
      <c r="AN264" s="266"/>
      <c r="AO264" s="266"/>
      <c r="AP264" s="266"/>
      <c r="AQ264" s="266"/>
      <c r="AR264" s="266"/>
      <c r="AS264"/>
      <c r="AT264"/>
      <c r="AU264"/>
      <c r="AV264"/>
      <c r="AW264"/>
      <c r="AX264"/>
      <c r="AY264"/>
      <c r="AZ264"/>
      <c r="BA264"/>
      <c r="BB264"/>
      <c r="BC264"/>
      <c r="BD264"/>
      <c r="BE264"/>
    </row>
    <row r="265" spans="1:57">
      <c r="A265"/>
      <c r="B265"/>
      <c r="C265"/>
      <c r="D265"/>
      <c r="E265"/>
      <c r="F265"/>
      <c r="G265"/>
      <c r="H265"/>
      <c r="I265"/>
      <c r="J265"/>
      <c r="K265"/>
      <c r="L265" s="247"/>
      <c r="M265" s="247"/>
      <c r="N265" s="247"/>
      <c r="O265" s="247"/>
      <c r="P265" s="247"/>
      <c r="Q265" s="247"/>
      <c r="R265" s="247"/>
      <c r="S265" s="247"/>
      <c r="T265" s="247"/>
      <c r="U265"/>
      <c r="V265"/>
      <c r="W265" s="266"/>
      <c r="X265" s="266"/>
      <c r="Y265" s="266"/>
      <c r="Z265" s="266"/>
      <c r="AA265" s="266"/>
      <c r="AB265" s="266"/>
      <c r="AC265" s="266"/>
      <c r="AD265" s="266"/>
      <c r="AE265" s="266"/>
      <c r="AF265" s="266"/>
      <c r="AG265" s="266"/>
      <c r="AH265" s="266"/>
      <c r="AI265" s="266"/>
      <c r="AJ265" s="266"/>
      <c r="AK265" s="266"/>
      <c r="AL265" s="266"/>
      <c r="AM265" s="266"/>
      <c r="AN265" s="266"/>
      <c r="AO265" s="266"/>
      <c r="AP265" s="266"/>
      <c r="AQ265" s="266"/>
      <c r="AR265" s="266"/>
      <c r="AS265"/>
      <c r="AT265"/>
      <c r="AU265"/>
      <c r="AV265"/>
      <c r="AW265"/>
      <c r="AX265"/>
      <c r="AY265"/>
      <c r="AZ265"/>
      <c r="BA265"/>
      <c r="BB265"/>
      <c r="BC265"/>
      <c r="BD265"/>
      <c r="BE265"/>
    </row>
    <row r="266" spans="1:57">
      <c r="A266"/>
      <c r="B266"/>
      <c r="C266"/>
      <c r="D266"/>
      <c r="E266"/>
      <c r="F266"/>
      <c r="G266"/>
      <c r="H266"/>
      <c r="I266"/>
      <c r="J266"/>
      <c r="K266"/>
      <c r="L266" s="247"/>
      <c r="M266" s="247"/>
      <c r="N266" s="247"/>
      <c r="O266" s="247"/>
      <c r="P266" s="247"/>
      <c r="Q266" s="247"/>
      <c r="R266" s="247"/>
      <c r="S266" s="247"/>
      <c r="T266" s="247"/>
      <c r="U266"/>
      <c r="V266"/>
      <c r="W266" s="266"/>
      <c r="X266" s="266"/>
      <c r="Y266" s="266"/>
      <c r="Z266" s="266"/>
      <c r="AA266" s="266"/>
      <c r="AB266" s="266"/>
      <c r="AC266" s="266"/>
      <c r="AD266" s="266"/>
      <c r="AE266" s="266"/>
      <c r="AF266" s="266"/>
      <c r="AG266" s="266"/>
      <c r="AH266" s="266"/>
      <c r="AI266" s="266"/>
      <c r="AJ266" s="266"/>
      <c r="AK266" s="266"/>
      <c r="AL266" s="266"/>
      <c r="AM266" s="266"/>
      <c r="AN266" s="266"/>
      <c r="AO266" s="266"/>
      <c r="AP266" s="266"/>
      <c r="AQ266" s="266"/>
      <c r="AR266" s="266"/>
      <c r="AS266"/>
      <c r="AT266"/>
      <c r="AU266"/>
      <c r="AV266"/>
      <c r="AW266"/>
      <c r="AX266"/>
      <c r="AY266"/>
      <c r="AZ266"/>
      <c r="BA266"/>
      <c r="BB266"/>
      <c r="BC266"/>
      <c r="BD266"/>
      <c r="BE266"/>
    </row>
    <row r="267" spans="1:57">
      <c r="A267"/>
      <c r="B267"/>
      <c r="C267"/>
      <c r="D267"/>
      <c r="E267"/>
      <c r="F267"/>
      <c r="G267"/>
      <c r="H267"/>
      <c r="I267"/>
      <c r="J267"/>
      <c r="K267"/>
      <c r="L267" s="247"/>
      <c r="M267" s="247"/>
      <c r="N267" s="247"/>
      <c r="O267" s="247"/>
      <c r="P267" s="247"/>
      <c r="Q267" s="247"/>
      <c r="R267" s="247"/>
      <c r="S267" s="247"/>
      <c r="T267" s="247"/>
      <c r="U267"/>
      <c r="V267"/>
      <c r="W267" s="266"/>
      <c r="X267" s="266"/>
      <c r="Y267" s="266"/>
      <c r="Z267" s="266"/>
      <c r="AA267" s="266"/>
      <c r="AB267" s="266"/>
      <c r="AC267" s="266"/>
      <c r="AD267" s="266"/>
      <c r="AE267" s="266"/>
      <c r="AF267" s="266"/>
      <c r="AG267" s="266"/>
      <c r="AH267" s="266"/>
      <c r="AI267" s="266"/>
      <c r="AJ267" s="266"/>
      <c r="AK267" s="266"/>
      <c r="AL267" s="266"/>
      <c r="AM267" s="266"/>
      <c r="AN267" s="266"/>
      <c r="AO267" s="266"/>
      <c r="AP267" s="266"/>
      <c r="AQ267" s="266"/>
      <c r="AR267" s="266"/>
      <c r="AS267"/>
      <c r="AT267"/>
      <c r="AU267"/>
      <c r="AV267"/>
      <c r="AW267"/>
      <c r="AX267"/>
      <c r="AY267"/>
      <c r="AZ267"/>
      <c r="BA267"/>
      <c r="BB267"/>
      <c r="BC267"/>
      <c r="BD267"/>
      <c r="BE267"/>
    </row>
    <row r="268" spans="1:57">
      <c r="A268"/>
      <c r="B268"/>
      <c r="C268"/>
      <c r="D268"/>
      <c r="E268"/>
      <c r="F268"/>
      <c r="G268"/>
      <c r="H268"/>
      <c r="I268"/>
      <c r="J268"/>
      <c r="K268"/>
      <c r="L268" s="247"/>
      <c r="M268" s="247"/>
      <c r="N268" s="247"/>
      <c r="O268" s="247"/>
      <c r="P268" s="247"/>
      <c r="Q268" s="247"/>
      <c r="R268" s="247"/>
      <c r="S268" s="247"/>
      <c r="T268" s="247"/>
      <c r="U268"/>
      <c r="V268"/>
      <c r="W268" s="266"/>
      <c r="X268" s="266"/>
      <c r="Y268" s="266"/>
      <c r="Z268" s="266"/>
      <c r="AA268" s="266"/>
      <c r="AB268" s="266"/>
      <c r="AC268" s="266"/>
      <c r="AD268" s="266"/>
      <c r="AE268" s="266"/>
      <c r="AF268" s="266"/>
      <c r="AG268" s="266"/>
      <c r="AH268" s="266"/>
      <c r="AI268" s="266"/>
      <c r="AJ268" s="266"/>
      <c r="AK268" s="266"/>
      <c r="AL268" s="266"/>
      <c r="AM268" s="266"/>
      <c r="AN268" s="266"/>
      <c r="AO268" s="266"/>
      <c r="AP268" s="266"/>
      <c r="AQ268" s="266"/>
      <c r="AR268" s="266"/>
      <c r="AS268"/>
      <c r="AT268"/>
      <c r="AU268"/>
      <c r="AV268"/>
      <c r="AW268"/>
      <c r="AX268"/>
      <c r="AY268"/>
      <c r="AZ268"/>
      <c r="BA268"/>
      <c r="BB268"/>
      <c r="BC268"/>
      <c r="BD268"/>
      <c r="BE268"/>
    </row>
    <row r="269" spans="1:57">
      <c r="A269"/>
      <c r="B269"/>
      <c r="C269"/>
      <c r="D269"/>
      <c r="E269"/>
      <c r="F269"/>
      <c r="G269"/>
      <c r="H269"/>
      <c r="I269"/>
      <c r="J269"/>
      <c r="K269"/>
      <c r="L269" s="247"/>
      <c r="M269" s="247"/>
      <c r="N269" s="247"/>
      <c r="O269" s="247"/>
      <c r="P269" s="247"/>
      <c r="Q269" s="247"/>
      <c r="R269" s="247"/>
      <c r="S269" s="247"/>
      <c r="T269" s="247"/>
      <c r="U269"/>
      <c r="V269"/>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c r="AT269"/>
      <c r="AU269"/>
      <c r="AV269"/>
      <c r="AW269"/>
      <c r="AX269"/>
      <c r="AY269"/>
      <c r="AZ269"/>
      <c r="BA269"/>
      <c r="BB269"/>
      <c r="BC269"/>
      <c r="BD269"/>
      <c r="BE269"/>
    </row>
    <row r="270" spans="1:57">
      <c r="A270"/>
      <c r="B270"/>
      <c r="C270"/>
      <c r="D270"/>
      <c r="E270"/>
      <c r="F270"/>
      <c r="G270"/>
      <c r="H270"/>
      <c r="I270"/>
      <c r="J270"/>
      <c r="K270"/>
      <c r="L270" s="247"/>
      <c r="M270" s="247"/>
      <c r="N270" s="247"/>
      <c r="O270" s="247"/>
      <c r="P270" s="247"/>
      <c r="Q270" s="247"/>
      <c r="R270" s="247"/>
      <c r="S270" s="247"/>
      <c r="T270" s="247"/>
      <c r="U270"/>
      <c r="V270"/>
      <c r="W270" s="266"/>
      <c r="X270" s="266"/>
      <c r="Y270" s="266"/>
      <c r="Z270" s="266"/>
      <c r="AA270" s="266"/>
      <c r="AB270" s="266"/>
      <c r="AC270" s="266"/>
      <c r="AD270" s="266"/>
      <c r="AE270" s="266"/>
      <c r="AF270" s="266"/>
      <c r="AG270" s="266"/>
      <c r="AH270" s="266"/>
      <c r="AI270" s="266"/>
      <c r="AJ270" s="266"/>
      <c r="AK270" s="266"/>
      <c r="AL270" s="266"/>
      <c r="AM270" s="266"/>
      <c r="AN270" s="266"/>
      <c r="AO270" s="266"/>
      <c r="AP270" s="266"/>
      <c r="AQ270" s="266"/>
      <c r="AR270" s="266"/>
      <c r="AS270"/>
      <c r="AT270"/>
      <c r="AU270"/>
      <c r="AV270"/>
      <c r="AW270"/>
      <c r="AX270"/>
      <c r="AY270"/>
      <c r="AZ270"/>
      <c r="BA270"/>
      <c r="BB270"/>
      <c r="BC270"/>
      <c r="BD270"/>
      <c r="BE270"/>
    </row>
    <row r="271" spans="1:57">
      <c r="A271"/>
      <c r="B271"/>
      <c r="C271"/>
      <c r="D271"/>
      <c r="E271"/>
      <c r="F271"/>
      <c r="G271"/>
      <c r="H271"/>
      <c r="I271"/>
      <c r="J271"/>
      <c r="K271"/>
      <c r="L271" s="247"/>
      <c r="M271" s="247"/>
      <c r="N271" s="247"/>
      <c r="O271" s="247"/>
      <c r="P271" s="247"/>
      <c r="Q271" s="247"/>
      <c r="R271" s="247"/>
      <c r="S271" s="247"/>
      <c r="T271" s="247"/>
      <c r="U271"/>
      <c r="V271"/>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c r="AT271"/>
      <c r="AU271"/>
      <c r="AV271"/>
      <c r="AW271"/>
      <c r="AX271"/>
      <c r="AY271"/>
      <c r="AZ271"/>
      <c r="BA271"/>
      <c r="BB271"/>
      <c r="BC271"/>
      <c r="BD271"/>
      <c r="BE271"/>
    </row>
    <row r="272" spans="1:57">
      <c r="A272"/>
      <c r="B272"/>
      <c r="C272"/>
      <c r="D272"/>
      <c r="E272"/>
      <c r="F272"/>
      <c r="G272"/>
      <c r="H272"/>
      <c r="I272"/>
      <c r="J272"/>
      <c r="K272"/>
      <c r="L272" s="247"/>
      <c r="M272" s="247"/>
      <c r="N272" s="247"/>
      <c r="O272" s="247"/>
      <c r="P272" s="247"/>
      <c r="Q272" s="247"/>
      <c r="R272" s="247"/>
      <c r="S272" s="247"/>
      <c r="T272" s="247"/>
      <c r="U272"/>
      <c r="V272"/>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c r="AT272"/>
      <c r="AU272"/>
      <c r="AV272"/>
      <c r="AW272"/>
      <c r="AX272"/>
      <c r="AY272"/>
      <c r="AZ272"/>
      <c r="BA272"/>
      <c r="BB272"/>
      <c r="BC272"/>
      <c r="BD272"/>
      <c r="BE272"/>
    </row>
    <row r="273" spans="1:57">
      <c r="A273"/>
      <c r="B273"/>
      <c r="C273"/>
      <c r="D273"/>
      <c r="E273"/>
      <c r="F273"/>
      <c r="G273"/>
      <c r="H273"/>
      <c r="I273"/>
      <c r="J273"/>
      <c r="K273"/>
      <c r="L273" s="247"/>
      <c r="M273" s="247"/>
      <c r="N273" s="247"/>
      <c r="O273" s="247"/>
      <c r="P273" s="247"/>
      <c r="Q273" s="247"/>
      <c r="R273" s="247"/>
      <c r="S273" s="247"/>
      <c r="T273" s="247"/>
      <c r="U273"/>
      <c r="V273"/>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c r="AT273"/>
      <c r="AU273"/>
      <c r="AV273"/>
      <c r="AW273"/>
      <c r="AX273"/>
      <c r="AY273"/>
      <c r="AZ273"/>
      <c r="BA273"/>
      <c r="BB273"/>
      <c r="BC273"/>
      <c r="BD273"/>
      <c r="BE273"/>
    </row>
    <row r="274" spans="1:57">
      <c r="A274"/>
      <c r="B274"/>
      <c r="C274"/>
      <c r="D274"/>
      <c r="E274"/>
      <c r="F274"/>
      <c r="G274"/>
      <c r="H274"/>
      <c r="I274"/>
      <c r="J274"/>
      <c r="K274"/>
      <c r="L274" s="247"/>
      <c r="M274" s="247"/>
      <c r="N274" s="247"/>
      <c r="O274" s="247"/>
      <c r="P274" s="247"/>
      <c r="Q274" s="247"/>
      <c r="R274" s="247"/>
      <c r="S274" s="247"/>
      <c r="T274" s="247"/>
      <c r="U274"/>
      <c r="V274"/>
      <c r="W274" s="266"/>
      <c r="X274" s="266"/>
      <c r="Y274" s="266"/>
      <c r="Z274" s="266"/>
      <c r="AA274" s="266"/>
      <c r="AB274" s="266"/>
      <c r="AC274" s="266"/>
      <c r="AD274" s="266"/>
      <c r="AE274" s="266"/>
      <c r="AF274" s="266"/>
      <c r="AG274" s="266"/>
      <c r="AH274" s="266"/>
      <c r="AI274" s="266"/>
      <c r="AJ274" s="266"/>
      <c r="AK274" s="266"/>
      <c r="AL274" s="266"/>
      <c r="AM274" s="266"/>
      <c r="AN274" s="266"/>
      <c r="AO274" s="266"/>
      <c r="AP274" s="266"/>
      <c r="AQ274" s="266"/>
      <c r="AR274" s="266"/>
      <c r="AS274"/>
      <c r="AT274"/>
      <c r="AU274"/>
      <c r="AV274"/>
      <c r="AW274"/>
      <c r="AX274"/>
      <c r="AY274"/>
      <c r="AZ274"/>
      <c r="BA274"/>
      <c r="BB274"/>
      <c r="BC274"/>
      <c r="BD274"/>
      <c r="BE274"/>
    </row>
    <row r="275" spans="1:57">
      <c r="A275"/>
      <c r="B275"/>
      <c r="C275"/>
      <c r="D275"/>
      <c r="E275"/>
      <c r="F275"/>
      <c r="G275"/>
      <c r="H275"/>
      <c r="I275"/>
      <c r="J275"/>
      <c r="K275"/>
      <c r="L275" s="247"/>
      <c r="M275" s="247"/>
      <c r="N275" s="247"/>
      <c r="O275" s="247"/>
      <c r="P275" s="247"/>
      <c r="Q275" s="247"/>
      <c r="R275" s="247"/>
      <c r="S275" s="247"/>
      <c r="T275" s="247"/>
      <c r="U275"/>
      <c r="V275"/>
      <c r="W275" s="266"/>
      <c r="X275" s="266"/>
      <c r="Y275" s="266"/>
      <c r="Z275" s="266"/>
      <c r="AA275" s="266"/>
      <c r="AB275" s="266"/>
      <c r="AC275" s="266"/>
      <c r="AD275" s="266"/>
      <c r="AE275" s="266"/>
      <c r="AF275" s="266"/>
      <c r="AG275" s="266"/>
      <c r="AH275" s="266"/>
      <c r="AI275" s="266"/>
      <c r="AJ275" s="266"/>
      <c r="AK275" s="266"/>
      <c r="AL275" s="266"/>
      <c r="AM275" s="266"/>
      <c r="AN275" s="266"/>
      <c r="AO275" s="266"/>
      <c r="AP275" s="266"/>
      <c r="AQ275" s="266"/>
      <c r="AR275" s="266"/>
      <c r="AS275"/>
      <c r="AT275"/>
      <c r="AU275"/>
      <c r="AV275"/>
      <c r="AW275"/>
      <c r="AX275"/>
      <c r="AY275"/>
      <c r="AZ275"/>
      <c r="BA275"/>
      <c r="BB275"/>
      <c r="BC275"/>
      <c r="BD275"/>
      <c r="BE275"/>
    </row>
    <row r="276" spans="1:57">
      <c r="A276"/>
      <c r="B276"/>
      <c r="C276"/>
      <c r="D276"/>
      <c r="E276"/>
      <c r="F276"/>
      <c r="G276"/>
      <c r="H276"/>
      <c r="I276"/>
      <c r="J276"/>
      <c r="K276"/>
      <c r="L276" s="247"/>
      <c r="M276" s="247"/>
      <c r="N276" s="247"/>
      <c r="O276" s="247"/>
      <c r="P276" s="247"/>
      <c r="Q276" s="247"/>
      <c r="R276" s="247"/>
      <c r="S276" s="247"/>
      <c r="T276" s="247"/>
      <c r="U276"/>
      <c r="V276"/>
      <c r="W276" s="266"/>
      <c r="X276" s="266"/>
      <c r="Y276" s="266"/>
      <c r="Z276" s="266"/>
      <c r="AA276" s="266"/>
      <c r="AB276" s="266"/>
      <c r="AC276" s="266"/>
      <c r="AD276" s="266"/>
      <c r="AE276" s="266"/>
      <c r="AF276" s="266"/>
      <c r="AG276" s="266"/>
      <c r="AH276" s="266"/>
      <c r="AI276" s="266"/>
      <c r="AJ276" s="266"/>
      <c r="AK276" s="266"/>
      <c r="AL276" s="266"/>
      <c r="AM276" s="266"/>
      <c r="AN276" s="266"/>
      <c r="AO276" s="266"/>
      <c r="AP276" s="266"/>
      <c r="AQ276" s="266"/>
      <c r="AR276" s="266"/>
      <c r="AS276"/>
      <c r="AT276"/>
      <c r="AU276"/>
      <c r="AV276"/>
      <c r="AW276"/>
      <c r="AX276"/>
      <c r="AY276"/>
      <c r="AZ276"/>
      <c r="BA276"/>
      <c r="BB276"/>
      <c r="BC276"/>
      <c r="BD276"/>
      <c r="BE276"/>
    </row>
    <row r="277" spans="1:57">
      <c r="A277"/>
      <c r="B277"/>
      <c r="C277"/>
      <c r="D277"/>
      <c r="E277"/>
      <c r="F277"/>
      <c r="G277"/>
      <c r="H277"/>
      <c r="I277"/>
      <c r="J277"/>
      <c r="K277"/>
      <c r="L277" s="247"/>
      <c r="M277" s="247"/>
      <c r="N277" s="247"/>
      <c r="O277" s="247"/>
      <c r="P277" s="247"/>
      <c r="Q277" s="247"/>
      <c r="R277" s="247"/>
      <c r="S277" s="247"/>
      <c r="T277" s="247"/>
      <c r="U277"/>
      <c r="V277"/>
      <c r="W277" s="266"/>
      <c r="X277" s="266"/>
      <c r="Y277" s="266"/>
      <c r="Z277" s="266"/>
      <c r="AA277" s="266"/>
      <c r="AB277" s="266"/>
      <c r="AC277" s="266"/>
      <c r="AD277" s="266"/>
      <c r="AE277" s="266"/>
      <c r="AF277" s="266"/>
      <c r="AG277" s="266"/>
      <c r="AH277" s="266"/>
      <c r="AI277" s="266"/>
      <c r="AJ277" s="266"/>
      <c r="AK277" s="266"/>
      <c r="AL277" s="266"/>
      <c r="AM277" s="266"/>
      <c r="AN277" s="266"/>
      <c r="AO277" s="266"/>
      <c r="AP277" s="266"/>
      <c r="AQ277" s="266"/>
      <c r="AR277" s="266"/>
      <c r="AS277"/>
      <c r="AT277"/>
      <c r="AU277"/>
      <c r="AV277"/>
      <c r="AW277"/>
      <c r="AX277"/>
      <c r="AY277"/>
      <c r="AZ277"/>
      <c r="BA277"/>
      <c r="BB277"/>
      <c r="BC277"/>
      <c r="BD277"/>
      <c r="BE277"/>
    </row>
    <row r="278" spans="1:57">
      <c r="A278"/>
      <c r="B278"/>
      <c r="C278"/>
      <c r="D278"/>
      <c r="E278"/>
      <c r="F278"/>
      <c r="G278"/>
      <c r="H278"/>
      <c r="I278"/>
      <c r="J278"/>
      <c r="K278"/>
      <c r="L278" s="247"/>
      <c r="M278" s="247"/>
      <c r="N278" s="247"/>
      <c r="O278" s="247"/>
      <c r="P278" s="247"/>
      <c r="Q278" s="247"/>
      <c r="R278" s="247"/>
      <c r="S278" s="247"/>
      <c r="T278" s="247"/>
      <c r="U278"/>
      <c r="V278"/>
      <c r="W278" s="266"/>
      <c r="X278" s="266"/>
      <c r="Y278" s="266"/>
      <c r="Z278" s="266"/>
      <c r="AA278" s="266"/>
      <c r="AB278" s="266"/>
      <c r="AC278" s="266"/>
      <c r="AD278" s="266"/>
      <c r="AE278" s="266"/>
      <c r="AF278" s="266"/>
      <c r="AG278" s="266"/>
      <c r="AH278" s="266"/>
      <c r="AI278" s="266"/>
      <c r="AJ278" s="266"/>
      <c r="AK278" s="266"/>
      <c r="AL278" s="266"/>
      <c r="AM278" s="266"/>
      <c r="AN278" s="266"/>
      <c r="AO278" s="266"/>
      <c r="AP278" s="266"/>
      <c r="AQ278" s="266"/>
      <c r="AR278" s="266"/>
      <c r="AS278"/>
      <c r="AT278"/>
      <c r="AU278"/>
      <c r="AV278"/>
      <c r="AW278"/>
      <c r="AX278"/>
      <c r="AY278"/>
      <c r="AZ278"/>
      <c r="BA278"/>
      <c r="BB278"/>
      <c r="BC278"/>
      <c r="BD278"/>
      <c r="BE278"/>
    </row>
    <row r="279" spans="1:57">
      <c r="A279"/>
      <c r="B279"/>
      <c r="C279"/>
      <c r="D279"/>
      <c r="E279"/>
      <c r="F279"/>
      <c r="G279"/>
      <c r="H279"/>
      <c r="I279"/>
      <c r="J279"/>
      <c r="K279"/>
      <c r="L279" s="247"/>
      <c r="M279" s="247"/>
      <c r="N279" s="247"/>
      <c r="O279" s="247"/>
      <c r="P279" s="247"/>
      <c r="Q279" s="247"/>
      <c r="R279" s="247"/>
      <c r="S279" s="247"/>
      <c r="T279" s="247"/>
      <c r="U279"/>
      <c r="V279"/>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6"/>
      <c r="AS279"/>
      <c r="AT279"/>
      <c r="AU279"/>
      <c r="AV279"/>
      <c r="AW279"/>
      <c r="AX279"/>
      <c r="AY279"/>
      <c r="AZ279"/>
      <c r="BA279"/>
      <c r="BB279"/>
      <c r="BC279"/>
      <c r="BD279"/>
      <c r="BE279"/>
    </row>
    <row r="280" spans="1:57">
      <c r="A280"/>
      <c r="B280"/>
      <c r="C280"/>
      <c r="D280"/>
      <c r="E280"/>
      <c r="F280"/>
      <c r="G280"/>
      <c r="H280"/>
      <c r="I280"/>
      <c r="J280"/>
      <c r="K280"/>
      <c r="L280" s="247"/>
      <c r="M280" s="247"/>
      <c r="N280" s="247"/>
      <c r="O280" s="247"/>
      <c r="P280" s="247"/>
      <c r="Q280" s="247"/>
      <c r="R280" s="247"/>
      <c r="S280" s="247"/>
      <c r="T280" s="247"/>
      <c r="U280"/>
      <c r="V280"/>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c r="AT280"/>
      <c r="AU280"/>
      <c r="AV280"/>
      <c r="AW280"/>
      <c r="AX280"/>
      <c r="AY280"/>
      <c r="AZ280"/>
      <c r="BA280"/>
      <c r="BB280"/>
      <c r="BC280"/>
      <c r="BD280"/>
      <c r="BE280"/>
    </row>
    <row r="281" spans="1:57">
      <c r="A281"/>
      <c r="B281"/>
      <c r="C281"/>
      <c r="D281"/>
      <c r="E281"/>
      <c r="F281"/>
      <c r="G281"/>
      <c r="H281"/>
      <c r="I281"/>
      <c r="J281"/>
      <c r="K281"/>
      <c r="L281" s="247"/>
      <c r="M281" s="247"/>
      <c r="N281" s="247"/>
      <c r="O281" s="247"/>
      <c r="P281" s="247"/>
      <c r="Q281" s="247"/>
      <c r="R281" s="247"/>
      <c r="S281" s="247"/>
      <c r="T281" s="247"/>
      <c r="U281"/>
      <c r="V281"/>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c r="AT281"/>
      <c r="AU281"/>
      <c r="AV281"/>
      <c r="AW281"/>
      <c r="AX281"/>
      <c r="AY281"/>
      <c r="AZ281"/>
      <c r="BA281"/>
      <c r="BB281"/>
      <c r="BC281"/>
      <c r="BD281"/>
      <c r="BE281"/>
    </row>
    <row r="282" spans="1:57">
      <c r="A282"/>
      <c r="B282"/>
      <c r="C282"/>
      <c r="D282"/>
      <c r="E282"/>
      <c r="F282"/>
      <c r="G282"/>
      <c r="H282"/>
      <c r="I282"/>
      <c r="J282"/>
      <c r="K282"/>
      <c r="L282" s="247"/>
      <c r="M282" s="247"/>
      <c r="N282" s="247"/>
      <c r="O282" s="247"/>
      <c r="P282" s="247"/>
      <c r="Q282" s="247"/>
      <c r="R282" s="247"/>
      <c r="S282" s="247"/>
      <c r="T282" s="247"/>
      <c r="U282"/>
      <c r="V282"/>
      <c r="W282" s="266"/>
      <c r="X282" s="266"/>
      <c r="Y282" s="266"/>
      <c r="Z282" s="266"/>
      <c r="AA282" s="266"/>
      <c r="AB282" s="266"/>
      <c r="AC282" s="266"/>
      <c r="AD282" s="266"/>
      <c r="AE282" s="266"/>
      <c r="AF282" s="266"/>
      <c r="AG282" s="266"/>
      <c r="AH282" s="266"/>
      <c r="AI282" s="266"/>
      <c r="AJ282" s="266"/>
      <c r="AK282" s="266"/>
      <c r="AL282" s="266"/>
      <c r="AM282" s="266"/>
      <c r="AN282" s="266"/>
      <c r="AO282" s="266"/>
      <c r="AP282" s="266"/>
      <c r="AQ282" s="266"/>
      <c r="AR282" s="266"/>
      <c r="AS282"/>
      <c r="AT282"/>
      <c r="AU282"/>
      <c r="AV282"/>
      <c r="AW282"/>
      <c r="AX282"/>
      <c r="AY282"/>
      <c r="AZ282"/>
      <c r="BA282"/>
      <c r="BB282"/>
      <c r="BC282"/>
      <c r="BD282"/>
      <c r="BE282"/>
    </row>
    <row r="283" spans="1:57">
      <c r="A283"/>
      <c r="B283"/>
      <c r="C283"/>
      <c r="D283"/>
      <c r="E283"/>
      <c r="F283"/>
      <c r="G283"/>
      <c r="H283"/>
      <c r="I283"/>
      <c r="J283"/>
      <c r="K283"/>
      <c r="L283" s="247"/>
      <c r="M283" s="247"/>
      <c r="N283" s="247"/>
      <c r="O283" s="247"/>
      <c r="P283" s="247"/>
      <c r="Q283" s="247"/>
      <c r="R283" s="247"/>
      <c r="S283" s="247"/>
      <c r="T283" s="247"/>
      <c r="U283"/>
      <c r="V283"/>
      <c r="W283" s="266"/>
      <c r="X283" s="266"/>
      <c r="Y283" s="266"/>
      <c r="Z283" s="266"/>
      <c r="AA283" s="266"/>
      <c r="AB283" s="266"/>
      <c r="AC283" s="266"/>
      <c r="AD283" s="266"/>
      <c r="AE283" s="266"/>
      <c r="AF283" s="266"/>
      <c r="AG283" s="266"/>
      <c r="AH283" s="266"/>
      <c r="AI283" s="266"/>
      <c r="AJ283" s="266"/>
      <c r="AK283" s="266"/>
      <c r="AL283" s="266"/>
      <c r="AM283" s="266"/>
      <c r="AN283" s="266"/>
      <c r="AO283" s="266"/>
      <c r="AP283" s="266"/>
      <c r="AQ283" s="266"/>
      <c r="AR283" s="266"/>
      <c r="AS283"/>
      <c r="AT283"/>
      <c r="AU283"/>
      <c r="AV283"/>
      <c r="AW283"/>
      <c r="AX283"/>
      <c r="AY283"/>
      <c r="AZ283"/>
      <c r="BA283"/>
      <c r="BB283"/>
      <c r="BC283"/>
      <c r="BD283"/>
      <c r="BE283"/>
    </row>
    <row r="284" spans="1:57">
      <c r="A284"/>
      <c r="B284"/>
      <c r="C284"/>
      <c r="D284"/>
      <c r="E284"/>
      <c r="F284"/>
      <c r="G284"/>
      <c r="H284"/>
      <c r="I284"/>
      <c r="J284"/>
      <c r="K284"/>
      <c r="L284" s="247"/>
      <c r="M284" s="247"/>
      <c r="N284" s="247"/>
      <c r="O284" s="247"/>
      <c r="P284" s="247"/>
      <c r="Q284" s="247"/>
      <c r="R284" s="247"/>
      <c r="S284" s="247"/>
      <c r="T284" s="247"/>
      <c r="U284"/>
      <c r="V284"/>
      <c r="W284" s="266"/>
      <c r="X284" s="266"/>
      <c r="Y284" s="266"/>
      <c r="Z284" s="266"/>
      <c r="AA284" s="266"/>
      <c r="AB284" s="266"/>
      <c r="AC284" s="266"/>
      <c r="AD284" s="266"/>
      <c r="AE284" s="266"/>
      <c r="AF284" s="266"/>
      <c r="AG284" s="266"/>
      <c r="AH284" s="266"/>
      <c r="AI284" s="266"/>
      <c r="AJ284" s="266"/>
      <c r="AK284" s="266"/>
      <c r="AL284" s="266"/>
      <c r="AM284" s="266"/>
      <c r="AN284" s="266"/>
      <c r="AO284" s="266"/>
      <c r="AP284" s="266"/>
      <c r="AQ284" s="266"/>
      <c r="AR284" s="266"/>
      <c r="AS284"/>
      <c r="AT284"/>
      <c r="AU284"/>
      <c r="AV284"/>
      <c r="AW284"/>
      <c r="AX284"/>
      <c r="AY284"/>
      <c r="AZ284"/>
      <c r="BA284"/>
      <c r="BB284"/>
      <c r="BC284"/>
      <c r="BD284"/>
      <c r="BE284"/>
    </row>
    <row r="285" spans="1:57">
      <c r="A285"/>
      <c r="B285"/>
      <c r="C285"/>
      <c r="D285"/>
      <c r="E285"/>
      <c r="F285"/>
      <c r="G285"/>
      <c r="H285"/>
      <c r="I285"/>
      <c r="J285"/>
      <c r="K285"/>
      <c r="L285" s="247"/>
      <c r="M285" s="247"/>
      <c r="N285" s="247"/>
      <c r="O285" s="247"/>
      <c r="P285" s="247"/>
      <c r="Q285" s="247"/>
      <c r="R285" s="247"/>
      <c r="S285" s="247"/>
      <c r="T285" s="247"/>
      <c r="U285"/>
      <c r="V285"/>
      <c r="W285" s="266"/>
      <c r="X285" s="266"/>
      <c r="Y285" s="266"/>
      <c r="Z285" s="266"/>
      <c r="AA285" s="266"/>
      <c r="AB285" s="266"/>
      <c r="AC285" s="266"/>
      <c r="AD285" s="266"/>
      <c r="AE285" s="266"/>
      <c r="AF285" s="266"/>
      <c r="AG285" s="266"/>
      <c r="AH285" s="266"/>
      <c r="AI285" s="266"/>
      <c r="AJ285" s="266"/>
      <c r="AK285" s="266"/>
      <c r="AL285" s="266"/>
      <c r="AM285" s="266"/>
      <c r="AN285" s="266"/>
      <c r="AO285" s="266"/>
      <c r="AP285" s="266"/>
      <c r="AQ285" s="266"/>
      <c r="AR285" s="266"/>
      <c r="AS285"/>
      <c r="AT285"/>
      <c r="AU285"/>
      <c r="AV285"/>
      <c r="AW285"/>
      <c r="AX285"/>
      <c r="AY285"/>
      <c r="AZ285"/>
      <c r="BA285"/>
      <c r="BB285"/>
      <c r="BC285"/>
      <c r="BD285"/>
      <c r="BE285"/>
    </row>
    <row r="286" spans="1:57">
      <c r="A286"/>
      <c r="B286"/>
      <c r="C286"/>
      <c r="D286"/>
      <c r="E286"/>
      <c r="F286"/>
      <c r="G286"/>
      <c r="H286"/>
      <c r="I286"/>
      <c r="J286"/>
      <c r="K286"/>
      <c r="L286" s="247"/>
      <c r="M286" s="247"/>
      <c r="N286" s="247"/>
      <c r="O286" s="247"/>
      <c r="P286" s="247"/>
      <c r="Q286" s="247"/>
      <c r="R286" s="247"/>
      <c r="S286" s="247"/>
      <c r="T286" s="247"/>
      <c r="U286"/>
      <c r="V286"/>
      <c r="W286" s="266"/>
      <c r="X286" s="266"/>
      <c r="Y286" s="266"/>
      <c r="Z286" s="266"/>
      <c r="AA286" s="266"/>
      <c r="AB286" s="266"/>
      <c r="AC286" s="266"/>
      <c r="AD286" s="266"/>
      <c r="AE286" s="266"/>
      <c r="AF286" s="266"/>
      <c r="AG286" s="266"/>
      <c r="AH286" s="266"/>
      <c r="AI286" s="266"/>
      <c r="AJ286" s="266"/>
      <c r="AK286" s="266"/>
      <c r="AL286" s="266"/>
      <c r="AM286" s="266"/>
      <c r="AN286" s="266"/>
      <c r="AO286" s="266"/>
      <c r="AP286" s="266"/>
      <c r="AQ286" s="266"/>
      <c r="AR286" s="266"/>
      <c r="AS286"/>
      <c r="AT286"/>
      <c r="AU286"/>
      <c r="AV286"/>
      <c r="AW286"/>
      <c r="AX286"/>
      <c r="AY286"/>
      <c r="AZ286"/>
      <c r="BA286"/>
      <c r="BB286"/>
      <c r="BC286"/>
      <c r="BD286"/>
      <c r="BE286"/>
    </row>
    <row r="287" spans="1:57">
      <c r="A287"/>
      <c r="B287"/>
      <c r="C287"/>
      <c r="D287"/>
      <c r="E287"/>
      <c r="F287"/>
      <c r="G287"/>
      <c r="H287"/>
      <c r="I287"/>
      <c r="J287"/>
      <c r="K287"/>
      <c r="L287" s="247"/>
      <c r="M287" s="247"/>
      <c r="N287" s="247"/>
      <c r="O287" s="247"/>
      <c r="P287" s="247"/>
      <c r="Q287" s="247"/>
      <c r="R287" s="247"/>
      <c r="S287" s="247"/>
      <c r="T287" s="247"/>
      <c r="U287"/>
      <c r="V287"/>
      <c r="W287" s="266"/>
      <c r="X287" s="266"/>
      <c r="Y287" s="266"/>
      <c r="Z287" s="266"/>
      <c r="AA287" s="266"/>
      <c r="AB287" s="266"/>
      <c r="AC287" s="266"/>
      <c r="AD287" s="266"/>
      <c r="AE287" s="266"/>
      <c r="AF287" s="266"/>
      <c r="AG287" s="266"/>
      <c r="AH287" s="266"/>
      <c r="AI287" s="266"/>
      <c r="AJ287" s="266"/>
      <c r="AK287" s="266"/>
      <c r="AL287" s="266"/>
      <c r="AM287" s="266"/>
      <c r="AN287" s="266"/>
      <c r="AO287" s="266"/>
      <c r="AP287" s="266"/>
      <c r="AQ287" s="266"/>
      <c r="AR287" s="266"/>
      <c r="AS287"/>
      <c r="AT287"/>
      <c r="AU287"/>
      <c r="AV287"/>
      <c r="AW287"/>
      <c r="AX287"/>
      <c r="AY287"/>
      <c r="AZ287"/>
      <c r="BA287"/>
      <c r="BB287"/>
      <c r="BC287"/>
      <c r="BD287"/>
      <c r="BE287"/>
    </row>
    <row r="288" spans="1:57">
      <c r="A288"/>
      <c r="B288"/>
      <c r="C288"/>
      <c r="D288"/>
      <c r="E288"/>
      <c r="F288"/>
      <c r="G288"/>
      <c r="H288"/>
      <c r="I288"/>
      <c r="J288"/>
      <c r="K288"/>
      <c r="L288" s="247"/>
      <c r="M288" s="247"/>
      <c r="N288" s="247"/>
      <c r="O288" s="247"/>
      <c r="P288" s="247"/>
      <c r="Q288" s="247"/>
      <c r="R288" s="247"/>
      <c r="S288" s="247"/>
      <c r="T288" s="247"/>
      <c r="U288"/>
      <c r="V288"/>
      <c r="W288" s="266"/>
      <c r="X288" s="266"/>
      <c r="Y288" s="266"/>
      <c r="Z288" s="266"/>
      <c r="AA288" s="266"/>
      <c r="AB288" s="266"/>
      <c r="AC288" s="266"/>
      <c r="AD288" s="266"/>
      <c r="AE288" s="266"/>
      <c r="AF288" s="266"/>
      <c r="AG288" s="266"/>
      <c r="AH288" s="266"/>
      <c r="AI288" s="266"/>
      <c r="AJ288" s="266"/>
      <c r="AK288" s="266"/>
      <c r="AL288" s="266"/>
      <c r="AM288" s="266"/>
      <c r="AN288" s="266"/>
      <c r="AO288" s="266"/>
      <c r="AP288" s="266"/>
      <c r="AQ288" s="266"/>
      <c r="AR288" s="266"/>
      <c r="AS288"/>
      <c r="AT288"/>
      <c r="AU288"/>
      <c r="AV288"/>
      <c r="AW288"/>
      <c r="AX288"/>
      <c r="AY288"/>
      <c r="AZ288"/>
      <c r="BA288"/>
      <c r="BB288"/>
      <c r="BC288"/>
      <c r="BD288"/>
      <c r="BE288"/>
    </row>
    <row r="289" spans="1:57">
      <c r="A289"/>
      <c r="B289"/>
      <c r="C289"/>
      <c r="D289"/>
      <c r="E289"/>
      <c r="F289"/>
      <c r="G289"/>
      <c r="H289"/>
      <c r="I289"/>
      <c r="J289"/>
      <c r="K289"/>
      <c r="L289" s="247"/>
      <c r="M289" s="247"/>
      <c r="N289" s="247"/>
      <c r="O289" s="247"/>
      <c r="P289" s="247"/>
      <c r="Q289" s="247"/>
      <c r="R289" s="247"/>
      <c r="S289" s="247"/>
      <c r="T289" s="247"/>
      <c r="U289"/>
      <c r="V289"/>
      <c r="W289" s="266"/>
      <c r="X289" s="266"/>
      <c r="Y289" s="266"/>
      <c r="Z289" s="266"/>
      <c r="AA289" s="266"/>
      <c r="AB289" s="266"/>
      <c r="AC289" s="266"/>
      <c r="AD289" s="266"/>
      <c r="AE289" s="266"/>
      <c r="AF289" s="266"/>
      <c r="AG289" s="266"/>
      <c r="AH289" s="266"/>
      <c r="AI289" s="266"/>
      <c r="AJ289" s="266"/>
      <c r="AK289" s="266"/>
      <c r="AL289" s="266"/>
      <c r="AM289" s="266"/>
      <c r="AN289" s="266"/>
      <c r="AO289" s="266"/>
      <c r="AP289" s="266"/>
      <c r="AQ289" s="266"/>
      <c r="AR289" s="266"/>
      <c r="AS289"/>
      <c r="AT289"/>
      <c r="AU289"/>
      <c r="AV289"/>
      <c r="AW289"/>
      <c r="AX289"/>
      <c r="AY289"/>
      <c r="AZ289"/>
      <c r="BA289"/>
      <c r="BB289"/>
      <c r="BC289"/>
      <c r="BD289"/>
      <c r="BE289"/>
    </row>
    <row r="290" spans="1:57">
      <c r="A290"/>
      <c r="B290"/>
      <c r="C290"/>
      <c r="D290"/>
      <c r="E290"/>
      <c r="F290"/>
      <c r="G290"/>
      <c r="H290"/>
      <c r="I290"/>
      <c r="J290"/>
      <c r="K290"/>
      <c r="L290" s="247"/>
      <c r="M290" s="247"/>
      <c r="N290" s="247"/>
      <c r="O290" s="247"/>
      <c r="P290" s="247"/>
      <c r="Q290" s="247"/>
      <c r="R290" s="247"/>
      <c r="S290" s="247"/>
      <c r="T290" s="247"/>
      <c r="U290"/>
      <c r="V290"/>
      <c r="W290" s="266"/>
      <c r="X290" s="266"/>
      <c r="Y290" s="266"/>
      <c r="Z290" s="266"/>
      <c r="AA290" s="266"/>
      <c r="AB290" s="266"/>
      <c r="AC290" s="266"/>
      <c r="AD290" s="266"/>
      <c r="AE290" s="266"/>
      <c r="AF290" s="266"/>
      <c r="AG290" s="266"/>
      <c r="AH290" s="266"/>
      <c r="AI290" s="266"/>
      <c r="AJ290" s="266"/>
      <c r="AK290" s="266"/>
      <c r="AL290" s="266"/>
      <c r="AM290" s="266"/>
      <c r="AN290" s="266"/>
      <c r="AO290" s="266"/>
      <c r="AP290" s="266"/>
      <c r="AQ290" s="266"/>
      <c r="AR290" s="266"/>
      <c r="AS290"/>
      <c r="AT290"/>
      <c r="AU290"/>
      <c r="AV290"/>
      <c r="AW290"/>
      <c r="AX290"/>
      <c r="AY290"/>
      <c r="AZ290"/>
      <c r="BA290"/>
      <c r="BB290"/>
      <c r="BC290"/>
      <c r="BD290"/>
      <c r="BE290"/>
    </row>
    <row r="291" spans="1:57">
      <c r="A291"/>
      <c r="B291"/>
      <c r="C291"/>
      <c r="D291"/>
      <c r="E291"/>
      <c r="F291"/>
      <c r="G291"/>
      <c r="H291"/>
      <c r="I291"/>
      <c r="J291"/>
      <c r="K291"/>
      <c r="L291" s="247"/>
      <c r="M291" s="247"/>
      <c r="N291" s="247"/>
      <c r="O291" s="247"/>
      <c r="P291" s="247"/>
      <c r="Q291" s="247"/>
      <c r="R291" s="247"/>
      <c r="S291" s="247"/>
      <c r="T291" s="247"/>
      <c r="U291"/>
      <c r="V291"/>
      <c r="W291" s="266"/>
      <c r="X291" s="266"/>
      <c r="Y291" s="266"/>
      <c r="Z291" s="266"/>
      <c r="AA291" s="266"/>
      <c r="AB291" s="266"/>
      <c r="AC291" s="266"/>
      <c r="AD291" s="266"/>
      <c r="AE291" s="266"/>
      <c r="AF291" s="266"/>
      <c r="AG291" s="266"/>
      <c r="AH291" s="266"/>
      <c r="AI291" s="266"/>
      <c r="AJ291" s="266"/>
      <c r="AK291" s="266"/>
      <c r="AL291" s="266"/>
      <c r="AM291" s="266"/>
      <c r="AN291" s="266"/>
      <c r="AO291" s="266"/>
      <c r="AP291" s="266"/>
      <c r="AQ291" s="266"/>
      <c r="AR291" s="266"/>
      <c r="AS291"/>
      <c r="AT291"/>
      <c r="AU291"/>
      <c r="AV291"/>
      <c r="AW291"/>
      <c r="AX291"/>
      <c r="AY291"/>
      <c r="AZ291"/>
      <c r="BA291"/>
      <c r="BB291"/>
      <c r="BC291"/>
      <c r="BD291"/>
      <c r="BE291"/>
    </row>
    <row r="292" spans="1:57">
      <c r="A292"/>
      <c r="B292"/>
      <c r="C292"/>
      <c r="D292"/>
      <c r="E292"/>
      <c r="F292"/>
      <c r="G292"/>
      <c r="H292"/>
      <c r="I292"/>
      <c r="J292"/>
      <c r="K292"/>
      <c r="L292" s="247"/>
      <c r="M292" s="247"/>
      <c r="N292" s="247"/>
      <c r="O292" s="247"/>
      <c r="P292" s="247"/>
      <c r="Q292" s="247"/>
      <c r="R292" s="247"/>
      <c r="S292" s="247"/>
      <c r="T292" s="247"/>
      <c r="U292"/>
      <c r="V292"/>
      <c r="W292" s="266"/>
      <c r="X292" s="266"/>
      <c r="Y292" s="266"/>
      <c r="Z292" s="266"/>
      <c r="AA292" s="266"/>
      <c r="AB292" s="266"/>
      <c r="AC292" s="266"/>
      <c r="AD292" s="266"/>
      <c r="AE292" s="266"/>
      <c r="AF292" s="266"/>
      <c r="AG292" s="266"/>
      <c r="AH292" s="266"/>
      <c r="AI292" s="266"/>
      <c r="AJ292" s="266"/>
      <c r="AK292" s="266"/>
      <c r="AL292" s="266"/>
      <c r="AM292" s="266"/>
      <c r="AN292" s="266"/>
      <c r="AO292" s="266"/>
      <c r="AP292" s="266"/>
      <c r="AQ292" s="266"/>
      <c r="AR292" s="266"/>
      <c r="AS292"/>
      <c r="AT292"/>
      <c r="AU292"/>
      <c r="AV292"/>
      <c r="AW292"/>
      <c r="AX292"/>
      <c r="AY292"/>
      <c r="AZ292"/>
      <c r="BA292"/>
      <c r="BB292"/>
      <c r="BC292"/>
      <c r="BD292"/>
      <c r="BE292"/>
    </row>
    <row r="293" spans="1:57">
      <c r="A293"/>
      <c r="B293"/>
      <c r="C293"/>
      <c r="D293"/>
      <c r="E293"/>
      <c r="F293"/>
      <c r="G293"/>
      <c r="H293"/>
      <c r="I293"/>
      <c r="J293"/>
      <c r="K293"/>
      <c r="L293" s="247"/>
      <c r="M293" s="247"/>
      <c r="N293" s="247"/>
      <c r="O293" s="247"/>
      <c r="P293" s="247"/>
      <c r="Q293" s="247"/>
      <c r="R293" s="247"/>
      <c r="S293" s="247"/>
      <c r="T293" s="247"/>
      <c r="U293" s="266"/>
      <c r="V293" s="266"/>
      <c r="W293" s="266"/>
      <c r="X293" s="266"/>
      <c r="Y293" s="266"/>
      <c r="Z293" s="266"/>
      <c r="AA293" s="266"/>
      <c r="AB293" s="266"/>
      <c r="AC293" s="266"/>
      <c r="AD293" s="266"/>
      <c r="AE293" s="266"/>
      <c r="AF293" s="266"/>
      <c r="AG293" s="266"/>
      <c r="AH293" s="266"/>
      <c r="AI293" s="266"/>
      <c r="AJ293" s="266"/>
      <c r="AK293" s="266"/>
      <c r="AL293" s="266"/>
      <c r="AM293" s="266"/>
      <c r="AN293" s="266"/>
      <c r="AO293" s="266"/>
      <c r="AP293" s="266"/>
      <c r="AQ293" s="266"/>
      <c r="AR293" s="266"/>
      <c r="AS293"/>
      <c r="AT293"/>
      <c r="AU293"/>
      <c r="AV293"/>
      <c r="AW293"/>
      <c r="AX293"/>
      <c r="AY293"/>
      <c r="AZ293"/>
      <c r="BA293"/>
      <c r="BB293"/>
      <c r="BC293"/>
      <c r="BD293"/>
      <c r="BE293"/>
    </row>
    <row r="294" spans="1:57">
      <c r="A294"/>
      <c r="B294"/>
      <c r="C294"/>
      <c r="D294"/>
      <c r="E294"/>
      <c r="F294"/>
      <c r="G294"/>
      <c r="H294"/>
      <c r="I294"/>
      <c r="J294"/>
      <c r="K294"/>
      <c r="L294" s="247"/>
      <c r="M294" s="247"/>
      <c r="N294" s="247"/>
      <c r="O294" s="247"/>
      <c r="P294" s="247"/>
      <c r="Q294" s="247"/>
      <c r="R294" s="247"/>
      <c r="S294" s="247"/>
      <c r="T294" s="247"/>
      <c r="U294" s="266"/>
      <c r="V294" s="266"/>
      <c r="W294" s="266"/>
      <c r="X294" s="266"/>
      <c r="Y294" s="266"/>
      <c r="Z294" s="266"/>
      <c r="AA294" s="266"/>
      <c r="AB294" s="266"/>
      <c r="AC294" s="266"/>
      <c r="AD294" s="266"/>
      <c r="AE294" s="266"/>
      <c r="AF294" s="266"/>
      <c r="AG294" s="266"/>
      <c r="AH294" s="266"/>
      <c r="AI294" s="266"/>
      <c r="AJ294" s="266"/>
      <c r="AK294" s="266"/>
      <c r="AL294" s="266"/>
      <c r="AM294" s="266"/>
      <c r="AN294" s="266"/>
      <c r="AO294" s="266"/>
      <c r="AP294" s="266"/>
      <c r="AQ294" s="266"/>
      <c r="AR294" s="266"/>
      <c r="AS294"/>
      <c r="AT294"/>
      <c r="AU294"/>
      <c r="AV294"/>
      <c r="AW294"/>
      <c r="AX294"/>
      <c r="AY294"/>
      <c r="AZ294"/>
      <c r="BA294"/>
      <c r="BB294"/>
      <c r="BC294"/>
      <c r="BD294"/>
      <c r="BE294"/>
    </row>
    <row r="295" spans="1:57">
      <c r="A295"/>
      <c r="B295"/>
      <c r="C295"/>
      <c r="D295"/>
      <c r="E295"/>
      <c r="F295"/>
      <c r="G295"/>
      <c r="H295"/>
      <c r="I295"/>
      <c r="J295"/>
      <c r="K295"/>
      <c r="L295" s="247"/>
      <c r="M295" s="247"/>
      <c r="N295" s="247"/>
      <c r="O295" s="247"/>
      <c r="P295" s="247"/>
      <c r="Q295" s="247"/>
      <c r="R295" s="247"/>
      <c r="S295" s="247"/>
      <c r="T295" s="247"/>
      <c r="U295" s="266"/>
      <c r="V295" s="266"/>
      <c r="W295" s="266"/>
      <c r="X295" s="266"/>
      <c r="Y295" s="266"/>
      <c r="Z295" s="266"/>
      <c r="AA295" s="266"/>
      <c r="AB295" s="266"/>
      <c r="AC295" s="266"/>
      <c r="AD295" s="266"/>
      <c r="AE295" s="266"/>
      <c r="AF295" s="266"/>
      <c r="AG295" s="266"/>
      <c r="AH295" s="266"/>
      <c r="AI295" s="266"/>
      <c r="AJ295" s="266"/>
      <c r="AK295" s="266"/>
      <c r="AL295" s="266"/>
      <c r="AM295" s="266"/>
      <c r="AN295" s="266"/>
      <c r="AO295" s="266"/>
      <c r="AP295" s="266"/>
      <c r="AQ295" s="266"/>
      <c r="AR295" s="266"/>
      <c r="AS295"/>
      <c r="AT295"/>
      <c r="AU295"/>
      <c r="AV295"/>
      <c r="AW295"/>
      <c r="AX295"/>
      <c r="AY295"/>
      <c r="AZ295"/>
      <c r="BA295"/>
      <c r="BB295"/>
      <c r="BC295"/>
      <c r="BD295"/>
      <c r="BE295"/>
    </row>
    <row r="296" spans="1:57">
      <c r="A296"/>
      <c r="B296"/>
      <c r="C296"/>
      <c r="D296"/>
      <c r="E296"/>
      <c r="F296"/>
      <c r="G296"/>
      <c r="H296"/>
      <c r="I296"/>
      <c r="J296"/>
      <c r="K296"/>
      <c r="L296" s="247"/>
      <c r="M296" s="247"/>
      <c r="N296" s="247"/>
      <c r="O296" s="247"/>
      <c r="P296" s="247"/>
      <c r="Q296" s="247"/>
      <c r="R296" s="247"/>
      <c r="S296" s="247"/>
      <c r="T296" s="247"/>
      <c r="U296" s="266"/>
      <c r="V296" s="266"/>
      <c r="W296" s="266"/>
      <c r="X296" s="266"/>
      <c r="Y296" s="266"/>
      <c r="Z296" s="266"/>
      <c r="AA296" s="266"/>
      <c r="AB296" s="266"/>
      <c r="AC296" s="266"/>
      <c r="AD296" s="266"/>
      <c r="AE296" s="266"/>
      <c r="AF296" s="266"/>
      <c r="AG296" s="266"/>
      <c r="AH296" s="266"/>
      <c r="AI296" s="266"/>
      <c r="AJ296" s="266"/>
      <c r="AK296" s="266"/>
      <c r="AL296" s="266"/>
      <c r="AM296" s="266"/>
      <c r="AN296" s="266"/>
      <c r="AO296" s="266"/>
      <c r="AP296" s="266"/>
      <c r="AQ296" s="266"/>
      <c r="AR296" s="266"/>
      <c r="AS296"/>
      <c r="AT296"/>
      <c r="AU296"/>
      <c r="AV296"/>
      <c r="AW296"/>
      <c r="AX296"/>
      <c r="AY296"/>
      <c r="AZ296"/>
      <c r="BA296"/>
      <c r="BB296"/>
      <c r="BC296"/>
      <c r="BD296"/>
      <c r="BE296"/>
    </row>
    <row r="297" spans="1:57">
      <c r="A297"/>
      <c r="B297"/>
      <c r="C297"/>
      <c r="D297"/>
      <c r="E297"/>
      <c r="F297"/>
      <c r="G297"/>
      <c r="H297"/>
      <c r="I297"/>
      <c r="J297"/>
      <c r="K297"/>
      <c r="L297" s="247"/>
      <c r="M297" s="247"/>
      <c r="N297" s="247"/>
      <c r="O297" s="247"/>
      <c r="P297" s="247"/>
      <c r="Q297" s="247"/>
      <c r="R297" s="247"/>
      <c r="S297" s="247"/>
      <c r="T297" s="247"/>
      <c r="U297" s="266"/>
      <c r="V297" s="266"/>
      <c r="W297" s="266"/>
      <c r="X297" s="266"/>
      <c r="Y297" s="266"/>
      <c r="Z297" s="266"/>
      <c r="AA297" s="266"/>
      <c r="AB297" s="266"/>
      <c r="AC297" s="266"/>
      <c r="AD297" s="266"/>
      <c r="AE297" s="266"/>
      <c r="AF297" s="266"/>
      <c r="AG297" s="266"/>
      <c r="AH297" s="266"/>
      <c r="AI297" s="266"/>
      <c r="AJ297" s="266"/>
      <c r="AK297" s="266"/>
      <c r="AL297" s="266"/>
      <c r="AM297" s="266"/>
      <c r="AN297" s="266"/>
      <c r="AO297" s="266"/>
      <c r="AP297" s="266"/>
      <c r="AQ297" s="266"/>
      <c r="AR297" s="266"/>
      <c r="AS297"/>
      <c r="AT297"/>
      <c r="AU297"/>
      <c r="AV297"/>
      <c r="AW297"/>
      <c r="AX297"/>
      <c r="AY297"/>
      <c r="AZ297"/>
      <c r="BA297"/>
      <c r="BB297"/>
      <c r="BC297"/>
      <c r="BD297"/>
      <c r="BE297"/>
    </row>
    <row r="298" spans="1:57">
      <c r="A298"/>
      <c r="B298"/>
      <c r="C298"/>
      <c r="D298"/>
      <c r="E298"/>
      <c r="F298"/>
      <c r="G298"/>
      <c r="H298"/>
      <c r="I298"/>
      <c r="J298"/>
      <c r="K298"/>
      <c r="L298" s="247"/>
      <c r="M298" s="247"/>
      <c r="N298" s="247"/>
      <c r="O298" s="247"/>
      <c r="P298" s="247"/>
      <c r="Q298" s="247"/>
      <c r="R298" s="247"/>
      <c r="S298" s="247"/>
      <c r="T298" s="247"/>
      <c r="U298" s="266"/>
      <c r="V298" s="266"/>
      <c r="W298" s="266"/>
      <c r="X298" s="266"/>
      <c r="Y298" s="266"/>
      <c r="Z298" s="266"/>
      <c r="AA298" s="266"/>
      <c r="AB298" s="266"/>
      <c r="AC298" s="266"/>
      <c r="AD298" s="266"/>
      <c r="AE298" s="266"/>
      <c r="AF298" s="266"/>
      <c r="AG298" s="266"/>
      <c r="AH298" s="266"/>
      <c r="AI298" s="266"/>
      <c r="AJ298" s="266"/>
      <c r="AK298" s="266"/>
      <c r="AL298" s="266"/>
      <c r="AM298" s="266"/>
      <c r="AN298" s="266"/>
      <c r="AO298" s="266"/>
      <c r="AP298" s="266"/>
      <c r="AQ298" s="266"/>
      <c r="AR298" s="266"/>
      <c r="AS298"/>
      <c r="AT298"/>
      <c r="AU298"/>
      <c r="AV298"/>
      <c r="AW298"/>
      <c r="AX298"/>
      <c r="AY298"/>
      <c r="AZ298"/>
      <c r="BA298"/>
      <c r="BB298"/>
      <c r="BC298"/>
      <c r="BD298"/>
      <c r="BE298"/>
    </row>
    <row r="299" spans="1:57">
      <c r="A299"/>
      <c r="B299"/>
      <c r="C299"/>
      <c r="D299"/>
      <c r="E299"/>
      <c r="F299"/>
      <c r="G299"/>
      <c r="H299"/>
      <c r="I299"/>
      <c r="J299"/>
      <c r="K299"/>
      <c r="L299" s="247"/>
      <c r="M299" s="247"/>
      <c r="N299" s="247"/>
      <c r="O299" s="247"/>
      <c r="P299" s="247"/>
      <c r="Q299" s="247"/>
      <c r="R299" s="247"/>
      <c r="S299" s="247"/>
      <c r="T299" s="247"/>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c r="AT299"/>
      <c r="AU299"/>
      <c r="AV299"/>
      <c r="AW299"/>
      <c r="AX299"/>
      <c r="AY299"/>
      <c r="AZ299"/>
      <c r="BA299"/>
      <c r="BB299"/>
      <c r="BC299"/>
      <c r="BD299"/>
      <c r="BE299"/>
    </row>
    <row r="300" spans="1:57">
      <c r="A300"/>
      <c r="B300"/>
      <c r="C300"/>
      <c r="D300"/>
      <c r="E300"/>
      <c r="F300"/>
      <c r="G300"/>
      <c r="H300"/>
      <c r="I300"/>
      <c r="J300"/>
      <c r="K300"/>
      <c r="L300" s="247"/>
      <c r="M300" s="247"/>
      <c r="N300" s="247"/>
      <c r="O300" s="247"/>
      <c r="P300" s="247"/>
      <c r="Q300" s="247"/>
      <c r="R300" s="247"/>
      <c r="S300" s="247"/>
      <c r="T300" s="247"/>
      <c r="U300" s="266"/>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c r="AT300"/>
      <c r="AU300"/>
      <c r="AV300"/>
      <c r="AW300"/>
      <c r="AX300"/>
      <c r="AY300"/>
      <c r="AZ300"/>
      <c r="BA300"/>
      <c r="BB300"/>
      <c r="BC300"/>
      <c r="BD300"/>
      <c r="BE300"/>
    </row>
    <row r="301" spans="1:57">
      <c r="A301"/>
      <c r="B301"/>
      <c r="C301"/>
      <c r="D301"/>
      <c r="E301"/>
      <c r="F301"/>
      <c r="G301"/>
      <c r="H301"/>
      <c r="I301"/>
      <c r="J301"/>
      <c r="K301"/>
      <c r="L301" s="247"/>
      <c r="M301" s="247"/>
      <c r="N301" s="247"/>
      <c r="O301" s="247"/>
      <c r="P301" s="247"/>
      <c r="Q301" s="247"/>
      <c r="R301" s="247"/>
      <c r="S301" s="247"/>
      <c r="T301" s="247"/>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c r="AT301"/>
      <c r="AU301"/>
      <c r="AV301"/>
      <c r="AW301"/>
      <c r="AX301"/>
      <c r="AY301"/>
      <c r="AZ301"/>
      <c r="BA301"/>
      <c r="BB301"/>
      <c r="BC301"/>
      <c r="BD301"/>
      <c r="BE301"/>
    </row>
    <row r="302" spans="1:57">
      <c r="A302"/>
      <c r="B302"/>
      <c r="C302"/>
      <c r="D302"/>
      <c r="E302"/>
      <c r="F302"/>
      <c r="G302"/>
      <c r="H302"/>
      <c r="I302"/>
      <c r="J302"/>
      <c r="K302"/>
      <c r="L302" s="247"/>
      <c r="M302" s="247"/>
      <c r="N302" s="247"/>
      <c r="O302" s="247"/>
      <c r="P302" s="247"/>
      <c r="Q302" s="247"/>
      <c r="R302" s="247"/>
      <c r="S302" s="247"/>
      <c r="T302" s="247"/>
      <c r="U302" s="266"/>
      <c r="V302" s="266"/>
      <c r="W302" s="266"/>
      <c r="X302" s="266"/>
      <c r="Y302" s="266"/>
      <c r="Z302" s="266"/>
      <c r="AA302" s="266"/>
      <c r="AB302" s="266"/>
      <c r="AC302" s="266"/>
      <c r="AD302" s="266"/>
      <c r="AE302" s="266"/>
      <c r="AF302" s="266"/>
      <c r="AG302" s="266"/>
      <c r="AH302" s="266"/>
      <c r="AI302" s="266"/>
      <c r="AJ302" s="266"/>
      <c r="AK302" s="266"/>
      <c r="AL302" s="266"/>
      <c r="AM302" s="266"/>
      <c r="AN302" s="266"/>
      <c r="AO302" s="266"/>
      <c r="AP302" s="266"/>
      <c r="AQ302" s="266"/>
      <c r="AR302" s="266"/>
      <c r="AS302"/>
      <c r="AT302"/>
      <c r="AU302"/>
      <c r="AV302"/>
      <c r="AW302"/>
      <c r="AX302"/>
      <c r="AY302"/>
      <c r="AZ302"/>
      <c r="BA302"/>
      <c r="BB302"/>
      <c r="BC302"/>
      <c r="BD302"/>
      <c r="BE302"/>
    </row>
    <row r="303" spans="1:57">
      <c r="A303"/>
      <c r="B303"/>
      <c r="C303"/>
      <c r="D303"/>
      <c r="E303"/>
      <c r="F303"/>
      <c r="G303"/>
      <c r="H303"/>
      <c r="I303"/>
      <c r="J303"/>
      <c r="K303"/>
      <c r="L303" s="247"/>
      <c r="M303" s="247"/>
      <c r="N303" s="247"/>
      <c r="O303" s="247"/>
      <c r="P303" s="247"/>
      <c r="Q303" s="247"/>
      <c r="R303" s="247"/>
      <c r="S303" s="247"/>
      <c r="T303" s="247"/>
      <c r="U303" s="266"/>
      <c r="V303" s="266"/>
      <c r="W303" s="266"/>
      <c r="X303" s="266"/>
      <c r="Y303" s="266"/>
      <c r="Z303" s="266"/>
      <c r="AA303" s="266"/>
      <c r="AB303" s="266"/>
      <c r="AC303" s="266"/>
      <c r="AD303" s="266"/>
      <c r="AE303" s="266"/>
      <c r="AF303" s="266"/>
      <c r="AG303" s="266"/>
      <c r="AH303" s="266"/>
      <c r="AI303" s="266"/>
      <c r="AJ303" s="266"/>
      <c r="AK303" s="266"/>
      <c r="AL303" s="266"/>
      <c r="AM303" s="266"/>
      <c r="AN303" s="266"/>
      <c r="AO303" s="266"/>
      <c r="AP303" s="266"/>
      <c r="AQ303" s="266"/>
      <c r="AR303" s="266"/>
      <c r="AS303"/>
      <c r="AT303"/>
      <c r="AU303"/>
      <c r="AV303"/>
      <c r="AW303"/>
      <c r="AX303"/>
      <c r="AY303"/>
      <c r="AZ303"/>
      <c r="BA303"/>
      <c r="BB303"/>
      <c r="BC303"/>
      <c r="BD303"/>
      <c r="BE303"/>
    </row>
    <row r="304" spans="1:57">
      <c r="A304"/>
      <c r="B304"/>
      <c r="C304"/>
      <c r="D304"/>
      <c r="E304"/>
      <c r="F304"/>
      <c r="G304"/>
      <c r="H304"/>
      <c r="I304"/>
      <c r="J304"/>
      <c r="K304"/>
      <c r="L304" s="247"/>
      <c r="M304" s="247"/>
      <c r="N304" s="247"/>
      <c r="O304" s="247"/>
      <c r="P304" s="247"/>
      <c r="Q304" s="247"/>
      <c r="R304" s="247"/>
      <c r="S304" s="247"/>
      <c r="T304" s="247"/>
      <c r="U304" s="266"/>
      <c r="V304" s="266"/>
      <c r="W304" s="266"/>
      <c r="X304" s="266"/>
      <c r="Y304" s="266"/>
      <c r="Z304" s="266"/>
      <c r="AA304" s="266"/>
      <c r="AB304" s="266"/>
      <c r="AC304" s="266"/>
      <c r="AD304" s="266"/>
      <c r="AE304" s="266"/>
      <c r="AF304" s="266"/>
      <c r="AG304" s="266"/>
      <c r="AH304" s="266"/>
      <c r="AI304" s="266"/>
      <c r="AJ304" s="266"/>
      <c r="AK304" s="266"/>
      <c r="AL304" s="266"/>
      <c r="AM304" s="266"/>
      <c r="AN304" s="266"/>
      <c r="AO304" s="266"/>
      <c r="AP304" s="266"/>
      <c r="AQ304" s="266"/>
      <c r="AR304" s="266"/>
      <c r="AS304"/>
      <c r="AT304"/>
      <c r="AU304"/>
      <c r="AV304"/>
      <c r="AW304"/>
      <c r="AX304"/>
      <c r="AY304"/>
      <c r="AZ304"/>
      <c r="BA304"/>
      <c r="BB304"/>
      <c r="BC304"/>
      <c r="BD304"/>
      <c r="BE304"/>
    </row>
    <row r="305" spans="1:57">
      <c r="A305"/>
      <c r="B305"/>
      <c r="C305"/>
      <c r="D305"/>
      <c r="E305"/>
      <c r="F305"/>
      <c r="G305"/>
      <c r="H305"/>
      <c r="I305"/>
      <c r="J305"/>
      <c r="K305"/>
      <c r="L305" s="247"/>
      <c r="M305" s="247"/>
      <c r="N305" s="247"/>
      <c r="O305" s="247"/>
      <c r="P305" s="247"/>
      <c r="Q305" s="247"/>
      <c r="R305" s="247"/>
      <c r="S305" s="247"/>
      <c r="T305" s="247"/>
      <c r="U305" s="266"/>
      <c r="V305" s="266"/>
      <c r="W305" s="266"/>
      <c r="X305" s="266"/>
      <c r="Y305" s="266"/>
      <c r="Z305" s="266"/>
      <c r="AA305" s="266"/>
      <c r="AB305" s="266"/>
      <c r="AC305" s="266"/>
      <c r="AD305" s="266"/>
      <c r="AE305" s="266"/>
      <c r="AF305" s="266"/>
      <c r="AG305" s="266"/>
      <c r="AH305" s="266"/>
      <c r="AI305" s="266"/>
      <c r="AJ305" s="266"/>
      <c r="AK305" s="266"/>
      <c r="AL305" s="266"/>
      <c r="AM305" s="266"/>
      <c r="AN305" s="266"/>
      <c r="AO305" s="266"/>
      <c r="AP305" s="266"/>
      <c r="AQ305" s="266"/>
      <c r="AR305" s="266"/>
      <c r="AS305"/>
      <c r="AT305"/>
      <c r="AU305"/>
      <c r="AV305"/>
      <c r="AW305"/>
      <c r="AX305"/>
      <c r="AY305"/>
      <c r="AZ305"/>
      <c r="BA305"/>
      <c r="BB305"/>
      <c r="BC305"/>
      <c r="BD305"/>
      <c r="BE305"/>
    </row>
    <row r="306" spans="1:57">
      <c r="A306"/>
      <c r="B306"/>
      <c r="C306"/>
      <c r="D306"/>
      <c r="E306"/>
      <c r="F306"/>
      <c r="G306"/>
      <c r="H306"/>
      <c r="I306"/>
      <c r="J306"/>
      <c r="K306"/>
      <c r="L306" s="247"/>
      <c r="M306" s="247"/>
      <c r="N306" s="247"/>
      <c r="O306" s="247"/>
      <c r="P306" s="247"/>
      <c r="Q306" s="247"/>
      <c r="R306" s="247"/>
      <c r="S306" s="247"/>
      <c r="T306" s="247"/>
      <c r="U306" s="266"/>
      <c r="V306" s="266"/>
      <c r="W306" s="266"/>
      <c r="X306" s="266"/>
      <c r="Y306" s="266"/>
      <c r="Z306" s="266"/>
      <c r="AA306" s="266"/>
      <c r="AB306" s="266"/>
      <c r="AC306" s="266"/>
      <c r="AD306" s="266"/>
      <c r="AE306" s="266"/>
      <c r="AF306" s="266"/>
      <c r="AG306" s="266"/>
      <c r="AH306" s="266"/>
      <c r="AI306" s="266"/>
      <c r="AJ306" s="266"/>
      <c r="AK306" s="266"/>
      <c r="AL306" s="266"/>
      <c r="AM306" s="266"/>
      <c r="AN306" s="266"/>
      <c r="AO306" s="266"/>
      <c r="AP306" s="266"/>
      <c r="AQ306" s="266"/>
      <c r="AR306" s="266"/>
      <c r="AS306"/>
      <c r="AT306"/>
      <c r="AU306"/>
      <c r="AV306"/>
      <c r="AW306"/>
      <c r="AX306"/>
      <c r="AY306"/>
      <c r="AZ306"/>
      <c r="BA306"/>
      <c r="BB306"/>
      <c r="BC306"/>
      <c r="BD306"/>
      <c r="BE306"/>
    </row>
    <row r="307" spans="1:57">
      <c r="A307"/>
      <c r="B307"/>
      <c r="C307"/>
      <c r="D307"/>
      <c r="E307"/>
      <c r="F307"/>
      <c r="G307"/>
      <c r="H307"/>
      <c r="I307"/>
      <c r="J307"/>
      <c r="K307"/>
      <c r="L307" s="247"/>
      <c r="M307" s="247"/>
      <c r="N307" s="247"/>
      <c r="O307" s="247"/>
      <c r="P307" s="247"/>
      <c r="Q307" s="247"/>
      <c r="R307" s="247"/>
      <c r="S307" s="247"/>
      <c r="T307" s="247"/>
      <c r="U307" s="266"/>
      <c r="V307" s="266"/>
      <c r="W307" s="266"/>
      <c r="X307" s="266"/>
      <c r="Y307" s="266"/>
      <c r="Z307" s="266"/>
      <c r="AA307" s="266"/>
      <c r="AB307" s="266"/>
      <c r="AC307" s="266"/>
      <c r="AD307" s="266"/>
      <c r="AE307" s="266"/>
      <c r="AF307" s="266"/>
      <c r="AG307" s="266"/>
      <c r="AH307" s="266"/>
      <c r="AI307" s="266"/>
      <c r="AJ307" s="266"/>
      <c r="AK307" s="266"/>
      <c r="AL307" s="266"/>
      <c r="AM307" s="266"/>
      <c r="AN307" s="266"/>
      <c r="AO307" s="266"/>
      <c r="AP307" s="266"/>
      <c r="AQ307" s="266"/>
      <c r="AR307" s="266"/>
      <c r="AS307"/>
      <c r="AT307"/>
      <c r="AU307"/>
      <c r="AV307"/>
      <c r="AW307"/>
      <c r="AX307"/>
      <c r="AY307"/>
      <c r="AZ307"/>
      <c r="BA307"/>
      <c r="BB307"/>
      <c r="BC307"/>
      <c r="BD307"/>
      <c r="BE307"/>
    </row>
    <row r="308" spans="1:57">
      <c r="A308"/>
      <c r="B308"/>
      <c r="C308"/>
      <c r="D308"/>
      <c r="E308"/>
      <c r="F308"/>
      <c r="G308"/>
      <c r="H308"/>
      <c r="I308"/>
      <c r="J308"/>
      <c r="K308"/>
      <c r="L308" s="247"/>
      <c r="M308" s="247"/>
      <c r="N308" s="247"/>
      <c r="O308" s="247"/>
      <c r="P308" s="247"/>
      <c r="Q308" s="247"/>
      <c r="R308" s="247"/>
      <c r="S308" s="247"/>
      <c r="T308" s="247"/>
      <c r="U308" s="266"/>
      <c r="V308" s="266"/>
      <c r="W308" s="266"/>
      <c r="X308" s="266"/>
      <c r="Y308" s="266"/>
      <c r="Z308" s="266"/>
      <c r="AA308" s="266"/>
      <c r="AB308" s="266"/>
      <c r="AC308" s="266"/>
      <c r="AD308" s="266"/>
      <c r="AE308" s="266"/>
      <c r="AF308" s="266"/>
      <c r="AG308" s="266"/>
      <c r="AH308" s="266"/>
      <c r="AI308" s="266"/>
      <c r="AJ308" s="266"/>
      <c r="AK308" s="266"/>
      <c r="AL308" s="266"/>
      <c r="AM308" s="266"/>
      <c r="AN308" s="266"/>
      <c r="AO308" s="266"/>
      <c r="AP308" s="266"/>
      <c r="AQ308" s="266"/>
      <c r="AR308" s="266"/>
      <c r="AS308"/>
      <c r="AT308"/>
      <c r="AU308"/>
      <c r="AV308"/>
      <c r="AW308"/>
      <c r="AX308"/>
      <c r="AY308"/>
      <c r="AZ308"/>
      <c r="BA308"/>
      <c r="BB308"/>
      <c r="BC308"/>
      <c r="BD308"/>
      <c r="BE308"/>
    </row>
    <row r="309" spans="1:57">
      <c r="A309"/>
      <c r="B309"/>
      <c r="C309"/>
      <c r="D309"/>
      <c r="E309"/>
      <c r="F309"/>
      <c r="G309"/>
      <c r="H309"/>
      <c r="I309"/>
      <c r="J309"/>
      <c r="K309"/>
      <c r="L309" s="247"/>
      <c r="M309" s="247"/>
      <c r="N309" s="247"/>
      <c r="O309" s="247"/>
      <c r="P309" s="247"/>
      <c r="Q309" s="247"/>
      <c r="R309" s="247"/>
      <c r="S309" s="247"/>
      <c r="T309" s="247"/>
      <c r="U309" s="266"/>
      <c r="V309" s="266"/>
      <c r="W309" s="266"/>
      <c r="X309" s="266"/>
      <c r="Y309" s="266"/>
      <c r="Z309" s="266"/>
      <c r="AA309" s="266"/>
      <c r="AB309" s="266"/>
      <c r="AC309" s="266"/>
      <c r="AD309" s="266"/>
      <c r="AE309" s="266"/>
      <c r="AF309" s="266"/>
      <c r="AG309" s="266"/>
      <c r="AH309" s="266"/>
      <c r="AI309" s="266"/>
      <c r="AJ309" s="266"/>
      <c r="AK309" s="266"/>
      <c r="AL309" s="266"/>
      <c r="AM309" s="266"/>
      <c r="AN309" s="266"/>
      <c r="AO309" s="266"/>
      <c r="AP309" s="266"/>
      <c r="AQ309" s="266"/>
      <c r="AR309" s="266"/>
      <c r="AS309"/>
      <c r="AT309"/>
      <c r="AU309"/>
      <c r="AV309"/>
      <c r="AW309"/>
      <c r="AX309"/>
      <c r="AY309"/>
      <c r="AZ309"/>
      <c r="BA309"/>
      <c r="BB309"/>
      <c r="BC309"/>
      <c r="BD309"/>
      <c r="BE309"/>
    </row>
    <row r="310" spans="1:57">
      <c r="A310"/>
      <c r="B310"/>
      <c r="C310"/>
      <c r="D310"/>
      <c r="E310"/>
      <c r="F310"/>
      <c r="G310"/>
      <c r="H310"/>
      <c r="I310"/>
      <c r="J310"/>
      <c r="K310"/>
      <c r="L310" s="247"/>
      <c r="M310" s="247"/>
      <c r="N310" s="247"/>
      <c r="O310" s="247"/>
      <c r="P310" s="247"/>
      <c r="Q310" s="247"/>
      <c r="R310" s="247"/>
      <c r="S310" s="247"/>
      <c r="T310" s="247"/>
      <c r="U310" s="266"/>
      <c r="V310" s="266"/>
      <c r="W310" s="266"/>
      <c r="X310" s="266"/>
      <c r="Y310" s="266"/>
      <c r="Z310" s="266"/>
      <c r="AA310" s="266"/>
      <c r="AB310" s="266"/>
      <c r="AC310" s="266"/>
      <c r="AD310" s="266"/>
      <c r="AE310" s="266"/>
      <c r="AF310" s="266"/>
      <c r="AG310" s="266"/>
      <c r="AH310" s="266"/>
      <c r="AI310" s="266"/>
      <c r="AJ310" s="266"/>
      <c r="AK310" s="266"/>
      <c r="AL310" s="266"/>
      <c r="AM310" s="266"/>
      <c r="AN310" s="266"/>
      <c r="AO310" s="266"/>
      <c r="AP310" s="266"/>
      <c r="AQ310" s="266"/>
      <c r="AR310" s="266"/>
      <c r="AS310"/>
      <c r="AT310"/>
      <c r="AU310"/>
      <c r="AV310"/>
      <c r="AW310"/>
      <c r="AX310"/>
      <c r="AY310"/>
      <c r="AZ310"/>
      <c r="BA310"/>
      <c r="BB310"/>
      <c r="BC310"/>
      <c r="BD310"/>
      <c r="BE310"/>
    </row>
    <row r="311" spans="1:57">
      <c r="A311"/>
      <c r="B311"/>
      <c r="C311"/>
      <c r="D311"/>
      <c r="E311"/>
      <c r="F311"/>
      <c r="G311"/>
      <c r="H311"/>
      <c r="I311"/>
      <c r="J311"/>
      <c r="K311"/>
      <c r="L311" s="247"/>
      <c r="M311" s="247"/>
      <c r="N311" s="247"/>
      <c r="O311" s="247"/>
      <c r="P311" s="247"/>
      <c r="Q311" s="247"/>
      <c r="R311" s="247"/>
      <c r="S311" s="247"/>
      <c r="T311" s="247"/>
      <c r="U311" s="266"/>
      <c r="V311" s="266"/>
      <c r="W311" s="266"/>
      <c r="X311" s="266"/>
      <c r="Y311" s="266"/>
      <c r="Z311" s="266"/>
      <c r="AA311" s="266"/>
      <c r="AB311" s="266"/>
      <c r="AC311" s="266"/>
      <c r="AD311" s="266"/>
      <c r="AE311" s="266"/>
      <c r="AF311" s="266"/>
      <c r="AG311" s="266"/>
      <c r="AH311" s="266"/>
      <c r="AI311" s="266"/>
      <c r="AJ311" s="266"/>
      <c r="AK311" s="266"/>
      <c r="AL311" s="266"/>
      <c r="AM311" s="266"/>
      <c r="AN311" s="266"/>
      <c r="AO311" s="266"/>
      <c r="AP311" s="266"/>
      <c r="AQ311" s="266"/>
      <c r="AR311" s="266"/>
      <c r="AS311"/>
      <c r="AT311"/>
      <c r="AU311"/>
      <c r="AV311"/>
      <c r="AW311"/>
      <c r="AX311"/>
      <c r="AY311"/>
      <c r="AZ311"/>
      <c r="BA311"/>
      <c r="BB311"/>
      <c r="BC311"/>
      <c r="BD311"/>
      <c r="BE311"/>
    </row>
    <row r="312" spans="1:57">
      <c r="A312"/>
      <c r="B312"/>
      <c r="C312"/>
      <c r="D312"/>
      <c r="E312"/>
      <c r="F312"/>
      <c r="G312"/>
      <c r="H312"/>
      <c r="I312"/>
      <c r="J312"/>
      <c r="K312"/>
      <c r="L312" s="247"/>
      <c r="M312" s="247"/>
      <c r="N312" s="247"/>
      <c r="O312" s="247"/>
      <c r="P312" s="247"/>
      <c r="Q312" s="247"/>
      <c r="R312" s="247"/>
      <c r="S312" s="247"/>
      <c r="T312" s="247"/>
      <c r="U312" s="266"/>
      <c r="V312" s="266"/>
      <c r="W312" s="266"/>
      <c r="X312" s="266"/>
      <c r="Y312" s="266"/>
      <c r="Z312" s="266"/>
      <c r="AA312" s="266"/>
      <c r="AB312" s="266"/>
      <c r="AC312" s="266"/>
      <c r="AD312" s="266"/>
      <c r="AE312" s="266"/>
      <c r="AF312" s="266"/>
      <c r="AG312" s="266"/>
      <c r="AH312" s="266"/>
      <c r="AI312" s="266"/>
      <c r="AJ312" s="266"/>
      <c r="AK312" s="266"/>
      <c r="AL312" s="266"/>
      <c r="AM312" s="266"/>
      <c r="AN312" s="266"/>
      <c r="AO312" s="266"/>
      <c r="AP312" s="266"/>
      <c r="AQ312" s="266"/>
      <c r="AR312" s="266"/>
      <c r="AS312"/>
      <c r="AT312"/>
      <c r="AU312"/>
      <c r="AV312"/>
      <c r="AW312"/>
      <c r="AX312"/>
      <c r="AY312"/>
      <c r="AZ312"/>
      <c r="BA312"/>
      <c r="BB312"/>
      <c r="BC312"/>
      <c r="BD312"/>
      <c r="BE312"/>
    </row>
    <row r="313" spans="1:57">
      <c r="A313"/>
      <c r="B313"/>
      <c r="C313"/>
      <c r="D313"/>
      <c r="E313"/>
      <c r="F313"/>
      <c r="G313"/>
      <c r="H313"/>
      <c r="I313"/>
      <c r="J313"/>
      <c r="K313"/>
      <c r="L313" s="247"/>
      <c r="M313" s="247"/>
      <c r="N313" s="247"/>
      <c r="O313" s="247"/>
      <c r="P313" s="247"/>
      <c r="Q313" s="247"/>
      <c r="R313" s="247"/>
      <c r="S313" s="247"/>
      <c r="T313" s="247"/>
      <c r="U313" s="266"/>
      <c r="V313" s="266"/>
      <c r="W313" s="266"/>
      <c r="X313" s="266"/>
      <c r="Y313" s="266"/>
      <c r="Z313" s="266"/>
      <c r="AA313" s="266"/>
      <c r="AB313" s="266"/>
      <c r="AC313" s="266"/>
      <c r="AD313" s="266"/>
      <c r="AE313" s="266"/>
      <c r="AF313" s="266"/>
      <c r="AG313" s="266"/>
      <c r="AH313" s="266"/>
      <c r="AI313" s="266"/>
      <c r="AJ313" s="266"/>
      <c r="AK313" s="266"/>
      <c r="AL313" s="266"/>
      <c r="AM313" s="266"/>
      <c r="AN313" s="266"/>
      <c r="AO313" s="266"/>
      <c r="AP313" s="266"/>
      <c r="AQ313" s="266"/>
      <c r="AR313" s="266"/>
      <c r="AS313"/>
      <c r="AT313"/>
      <c r="AU313"/>
      <c r="AV313"/>
      <c r="AW313"/>
      <c r="AX313"/>
      <c r="AY313"/>
      <c r="AZ313"/>
      <c r="BA313"/>
      <c r="BB313"/>
      <c r="BC313"/>
      <c r="BD313"/>
      <c r="BE313"/>
    </row>
    <row r="314" spans="1:57">
      <c r="H314"/>
      <c r="I314"/>
      <c r="J314"/>
      <c r="K314"/>
      <c r="L314" s="247"/>
      <c r="M314" s="247"/>
      <c r="N314" s="247"/>
      <c r="O314" s="247"/>
      <c r="P314" s="247"/>
      <c r="Q314" s="247"/>
      <c r="R314" s="247"/>
      <c r="S314" s="247"/>
      <c r="T314" s="247"/>
      <c r="U314" s="266"/>
      <c r="V314" s="266"/>
      <c r="W314" s="266"/>
      <c r="X314" s="266"/>
      <c r="Y314" s="266"/>
      <c r="Z314" s="266"/>
      <c r="AA314" s="266"/>
      <c r="AB314" s="266"/>
      <c r="AC314" s="266"/>
      <c r="AD314" s="266"/>
      <c r="AE314" s="266"/>
      <c r="AF314" s="266"/>
      <c r="AG314" s="266"/>
      <c r="AH314" s="266"/>
      <c r="AI314" s="266"/>
      <c r="AJ314" s="266"/>
      <c r="AK314" s="266"/>
      <c r="AL314" s="266"/>
      <c r="AM314" s="266"/>
      <c r="AN314" s="266"/>
      <c r="AO314" s="266"/>
      <c r="AP314" s="266"/>
      <c r="AQ314" s="266"/>
      <c r="AR314" s="266"/>
      <c r="AS314"/>
      <c r="AT314"/>
      <c r="AU314"/>
      <c r="AV314"/>
      <c r="AW314"/>
      <c r="AX314"/>
      <c r="AY314"/>
      <c r="AZ314"/>
      <c r="BA314"/>
      <c r="BB314"/>
      <c r="BC314"/>
      <c r="BD314"/>
      <c r="BE314"/>
    </row>
    <row r="315" spans="1:57">
      <c r="H315"/>
      <c r="I315"/>
      <c r="J315"/>
      <c r="K315"/>
      <c r="L315" s="247"/>
      <c r="M315" s="247"/>
      <c r="N315" s="247"/>
      <c r="O315" s="247"/>
      <c r="P315" s="247"/>
      <c r="Q315" s="247"/>
      <c r="R315" s="247"/>
      <c r="S315" s="247"/>
      <c r="T315" s="247"/>
      <c r="U315" s="266"/>
      <c r="V315" s="266"/>
      <c r="W315" s="266"/>
      <c r="X315" s="266"/>
      <c r="Y315" s="266"/>
      <c r="Z315" s="266"/>
      <c r="AA315" s="266"/>
      <c r="AB315" s="266"/>
      <c r="AC315" s="266"/>
      <c r="AD315" s="266"/>
      <c r="AE315" s="266"/>
      <c r="AF315" s="266"/>
      <c r="AG315" s="266"/>
      <c r="AH315" s="266"/>
      <c r="AI315" s="266"/>
      <c r="AJ315" s="266"/>
      <c r="AK315" s="266"/>
      <c r="AL315" s="266"/>
      <c r="AM315" s="266"/>
      <c r="AN315" s="266"/>
      <c r="AO315" s="266"/>
      <c r="AP315" s="266"/>
      <c r="AQ315" s="266"/>
      <c r="AR315" s="266"/>
      <c r="AS315"/>
      <c r="AT315"/>
      <c r="AU315"/>
      <c r="AV315"/>
      <c r="AW315"/>
      <c r="AX315"/>
      <c r="AY315"/>
      <c r="AZ315"/>
      <c r="BA315"/>
      <c r="BB315"/>
      <c r="BC315"/>
      <c r="BD315"/>
      <c r="BE315"/>
    </row>
    <row r="316" spans="1:57">
      <c r="H316"/>
      <c r="I316"/>
      <c r="J316"/>
      <c r="K316"/>
      <c r="L316" s="247"/>
      <c r="M316" s="247"/>
      <c r="N316" s="247"/>
      <c r="O316" s="247"/>
      <c r="P316" s="247"/>
      <c r="Q316" s="247"/>
      <c r="R316" s="247"/>
      <c r="S316" s="247"/>
      <c r="T316" s="247"/>
      <c r="U316" s="266"/>
      <c r="V316" s="266"/>
      <c r="W316" s="266"/>
      <c r="X316" s="266"/>
      <c r="Y316" s="266"/>
      <c r="Z316" s="266"/>
      <c r="AA316" s="266"/>
      <c r="AB316" s="266"/>
      <c r="AC316" s="266"/>
      <c r="AD316" s="266"/>
      <c r="AE316" s="266"/>
      <c r="AF316" s="266"/>
      <c r="AG316" s="266"/>
      <c r="AH316" s="266"/>
      <c r="AI316" s="266"/>
      <c r="AJ316" s="266"/>
      <c r="AK316" s="266"/>
      <c r="AL316" s="266"/>
      <c r="AM316" s="266"/>
      <c r="AN316" s="266"/>
      <c r="AO316" s="266"/>
      <c r="AP316" s="266"/>
      <c r="AQ316" s="266"/>
      <c r="AR316" s="266"/>
      <c r="AS316"/>
      <c r="AT316"/>
      <c r="AU316"/>
      <c r="AV316"/>
      <c r="AW316"/>
      <c r="AX316"/>
      <c r="AY316"/>
      <c r="AZ316"/>
      <c r="BA316"/>
      <c r="BB316"/>
      <c r="BC316"/>
      <c r="BD316"/>
      <c r="BE316"/>
    </row>
    <row r="317" spans="1:57">
      <c r="H317"/>
      <c r="I317"/>
      <c r="J317"/>
      <c r="K317"/>
      <c r="L317" s="247"/>
      <c r="M317" s="247"/>
      <c r="N317" s="247"/>
      <c r="O317" s="247"/>
      <c r="P317" s="247"/>
      <c r="Q317" s="247"/>
      <c r="R317" s="247"/>
      <c r="S317" s="247"/>
      <c r="T317" s="247"/>
      <c r="U317" s="266"/>
      <c r="V317" s="266"/>
      <c r="W317" s="266"/>
      <c r="X317" s="266"/>
      <c r="Y317" s="266"/>
      <c r="Z317" s="266"/>
      <c r="AA317" s="266"/>
      <c r="AB317" s="266"/>
      <c r="AC317" s="266"/>
      <c r="AD317" s="266"/>
      <c r="AE317" s="266"/>
      <c r="AF317" s="266"/>
      <c r="AG317" s="266"/>
      <c r="AH317" s="266"/>
      <c r="AI317" s="266"/>
      <c r="AJ317" s="266"/>
      <c r="AK317" s="266"/>
      <c r="AL317" s="266"/>
      <c r="AM317" s="266"/>
      <c r="AN317" s="266"/>
      <c r="AO317" s="266"/>
      <c r="AP317" s="266"/>
      <c r="AQ317" s="266"/>
      <c r="AR317" s="266"/>
      <c r="AS317"/>
      <c r="AT317"/>
      <c r="AU317"/>
      <c r="AV317"/>
      <c r="AW317"/>
      <c r="AX317"/>
      <c r="AY317"/>
      <c r="AZ317"/>
      <c r="BA317"/>
      <c r="BB317"/>
      <c r="BC317"/>
      <c r="BD317"/>
      <c r="BE317"/>
    </row>
    <row r="318" spans="1:57">
      <c r="H318"/>
      <c r="I318"/>
      <c r="J318"/>
      <c r="K318"/>
      <c r="L318" s="247"/>
      <c r="M318" s="247"/>
      <c r="N318" s="247"/>
      <c r="O318" s="247"/>
      <c r="P318" s="247"/>
      <c r="Q318" s="247"/>
      <c r="R318" s="247"/>
      <c r="S318" s="247"/>
      <c r="T318" s="247"/>
      <c r="U318" s="266"/>
      <c r="V318" s="266"/>
      <c r="W318" s="266"/>
      <c r="X318" s="266"/>
      <c r="Y318" s="266"/>
      <c r="Z318" s="266"/>
      <c r="AA318" s="266"/>
      <c r="AB318" s="266"/>
      <c r="AC318" s="266"/>
      <c r="AD318" s="266"/>
      <c r="AE318" s="266"/>
      <c r="AF318" s="266"/>
      <c r="AG318" s="266"/>
      <c r="AH318" s="266"/>
      <c r="AI318" s="266"/>
      <c r="AJ318" s="266"/>
      <c r="AK318" s="266"/>
      <c r="AL318" s="266"/>
      <c r="AM318" s="266"/>
      <c r="AN318" s="266"/>
      <c r="AO318" s="266"/>
      <c r="AP318" s="266"/>
      <c r="AQ318" s="266"/>
      <c r="AR318" s="266"/>
      <c r="AS318"/>
      <c r="AT318"/>
      <c r="AU318"/>
      <c r="AV318"/>
      <c r="AW318"/>
      <c r="AX318"/>
      <c r="AY318"/>
      <c r="AZ318"/>
      <c r="BA318"/>
      <c r="BB318"/>
      <c r="BC318"/>
      <c r="BD318"/>
      <c r="BE318"/>
    </row>
    <row r="319" spans="1:57">
      <c r="H319"/>
      <c r="I319"/>
      <c r="J319"/>
      <c r="K319"/>
      <c r="L319" s="247"/>
      <c r="M319" s="247"/>
      <c r="N319" s="247"/>
      <c r="O319" s="247"/>
      <c r="P319" s="247"/>
      <c r="Q319" s="247"/>
      <c r="R319" s="247"/>
      <c r="S319" s="247"/>
      <c r="T319" s="247"/>
      <c r="U319" s="266"/>
      <c r="V319" s="266"/>
      <c r="W319" s="266"/>
      <c r="X319" s="266"/>
      <c r="Y319" s="266"/>
      <c r="Z319" s="266"/>
      <c r="AA319" s="266"/>
      <c r="AB319" s="266"/>
      <c r="AC319" s="266"/>
      <c r="AD319" s="266"/>
      <c r="AE319" s="266"/>
      <c r="AF319" s="266"/>
      <c r="AG319" s="266"/>
      <c r="AH319" s="266"/>
      <c r="AI319" s="266"/>
      <c r="AJ319" s="266"/>
      <c r="AK319" s="266"/>
      <c r="AL319" s="266"/>
      <c r="AM319" s="266"/>
      <c r="AN319" s="266"/>
      <c r="AO319" s="266"/>
      <c r="AP319" s="266"/>
      <c r="AQ319" s="266"/>
      <c r="AR319" s="266"/>
      <c r="AS319"/>
      <c r="AT319"/>
      <c r="AU319"/>
      <c r="AV319"/>
      <c r="AW319"/>
      <c r="AX319"/>
      <c r="AY319"/>
      <c r="AZ319"/>
      <c r="BA319"/>
      <c r="BB319"/>
      <c r="BC319"/>
      <c r="BD319"/>
      <c r="BE319"/>
    </row>
    <row r="320" spans="1:57">
      <c r="H320"/>
      <c r="I320"/>
      <c r="J320"/>
      <c r="K320"/>
      <c r="L320" s="247"/>
      <c r="M320" s="247"/>
      <c r="N320" s="247"/>
      <c r="O320" s="247"/>
      <c r="P320" s="247"/>
      <c r="Q320" s="247"/>
      <c r="R320" s="247"/>
      <c r="S320" s="247"/>
      <c r="T320" s="247"/>
      <c r="U320" s="266"/>
      <c r="V320" s="266"/>
      <c r="W320" s="266"/>
      <c r="X320" s="266"/>
      <c r="Y320" s="266"/>
      <c r="Z320" s="266"/>
      <c r="AA320" s="266"/>
      <c r="AB320" s="266"/>
      <c r="AC320" s="266"/>
      <c r="AD320" s="266"/>
      <c r="AE320" s="266"/>
      <c r="AF320" s="266"/>
      <c r="AG320" s="266"/>
      <c r="AH320" s="266"/>
      <c r="AI320" s="266"/>
      <c r="AJ320" s="266"/>
      <c r="AK320" s="266"/>
      <c r="AL320" s="266"/>
      <c r="AM320" s="266"/>
      <c r="AN320" s="266"/>
      <c r="AO320" s="266"/>
      <c r="AP320" s="266"/>
      <c r="AQ320" s="266"/>
      <c r="AR320" s="266"/>
      <c r="AS320"/>
      <c r="AT320"/>
      <c r="AU320"/>
      <c r="AV320"/>
      <c r="AW320"/>
      <c r="AX320"/>
      <c r="AY320"/>
      <c r="AZ320"/>
      <c r="BA320"/>
      <c r="BB320"/>
      <c r="BC320"/>
      <c r="BD320"/>
      <c r="BE320"/>
    </row>
    <row r="321" spans="8:57">
      <c r="H321"/>
      <c r="I321"/>
      <c r="J321"/>
      <c r="K321"/>
      <c r="L321" s="247"/>
      <c r="M321" s="247"/>
      <c r="N321" s="247"/>
      <c r="O321" s="247"/>
      <c r="P321" s="247"/>
      <c r="Q321" s="247"/>
      <c r="R321" s="247"/>
      <c r="S321" s="247"/>
      <c r="T321" s="247"/>
      <c r="U321" s="266"/>
      <c r="V321" s="266"/>
      <c r="W321" s="266"/>
      <c r="X321" s="266"/>
      <c r="Y321" s="266"/>
      <c r="Z321" s="266"/>
      <c r="AA321" s="266"/>
      <c r="AB321" s="266"/>
      <c r="AC321" s="266"/>
      <c r="AD321" s="266"/>
      <c r="AE321" s="266"/>
      <c r="AF321" s="266"/>
      <c r="AG321" s="266"/>
      <c r="AH321" s="266"/>
      <c r="AI321" s="266"/>
      <c r="AJ321" s="266"/>
      <c r="AK321" s="266"/>
      <c r="AL321" s="266"/>
      <c r="AM321" s="266"/>
      <c r="AN321" s="266"/>
      <c r="AO321" s="266"/>
      <c r="AP321" s="266"/>
      <c r="AQ321" s="266"/>
      <c r="AR321" s="266"/>
      <c r="AS321"/>
      <c r="AT321"/>
      <c r="AU321"/>
      <c r="AV321"/>
      <c r="AW321"/>
      <c r="AX321"/>
      <c r="AY321"/>
      <c r="AZ321"/>
      <c r="BA321"/>
      <c r="BB321"/>
      <c r="BC321"/>
      <c r="BD321"/>
      <c r="BE321"/>
    </row>
    <row r="322" spans="8:57">
      <c r="H322"/>
      <c r="I322"/>
      <c r="J322"/>
      <c r="K322"/>
      <c r="L322" s="247"/>
      <c r="M322" s="247"/>
      <c r="N322" s="247"/>
      <c r="O322" s="247"/>
      <c r="P322" s="247"/>
      <c r="Q322" s="247"/>
      <c r="R322" s="247"/>
      <c r="S322" s="247"/>
      <c r="T322" s="247"/>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c r="AT322"/>
      <c r="AU322"/>
      <c r="AV322"/>
      <c r="AW322"/>
      <c r="AX322"/>
      <c r="AY322"/>
      <c r="AZ322"/>
      <c r="BA322"/>
      <c r="BB322"/>
      <c r="BC322"/>
      <c r="BD322"/>
      <c r="BE322"/>
    </row>
    <row r="323" spans="8:57">
      <c r="H323"/>
      <c r="I323"/>
      <c r="J323"/>
      <c r="K323"/>
      <c r="L323" s="247"/>
      <c r="M323" s="247"/>
      <c r="N323" s="247"/>
      <c r="O323" s="247"/>
      <c r="P323" s="247"/>
      <c r="Q323" s="247"/>
      <c r="R323" s="247"/>
      <c r="S323" s="247"/>
      <c r="T323" s="247"/>
      <c r="U323" s="266"/>
      <c r="V323" s="266"/>
      <c r="W323" s="266"/>
      <c r="X323" s="266"/>
      <c r="Y323" s="266"/>
      <c r="Z323" s="266"/>
      <c r="AA323" s="266"/>
      <c r="AB323" s="266"/>
      <c r="AC323" s="266"/>
      <c r="AD323" s="266"/>
      <c r="AE323" s="266"/>
      <c r="AF323" s="266"/>
      <c r="AG323" s="266"/>
      <c r="AH323" s="266"/>
      <c r="AI323" s="266"/>
      <c r="AJ323" s="266"/>
      <c r="AK323" s="266"/>
      <c r="AL323" s="266"/>
      <c r="AM323" s="266"/>
      <c r="AN323" s="266"/>
      <c r="AO323" s="266"/>
      <c r="AP323" s="266"/>
      <c r="AQ323" s="266"/>
      <c r="AR323" s="266"/>
      <c r="AS323"/>
      <c r="AT323"/>
      <c r="AU323"/>
      <c r="AV323"/>
      <c r="AW323"/>
      <c r="AX323"/>
      <c r="AY323"/>
      <c r="AZ323"/>
      <c r="BA323"/>
      <c r="BB323"/>
      <c r="BC323"/>
      <c r="BD323"/>
      <c r="BE323"/>
    </row>
    <row r="324" spans="8:57">
      <c r="H324"/>
      <c r="I324"/>
      <c r="J324"/>
      <c r="K324"/>
      <c r="L324" s="247"/>
      <c r="M324" s="247"/>
      <c r="N324" s="247"/>
      <c r="O324" s="247"/>
      <c r="P324" s="247"/>
      <c r="Q324" s="247"/>
      <c r="R324" s="247"/>
      <c r="S324" s="247"/>
      <c r="T324" s="247"/>
      <c r="U324" s="266"/>
      <c r="V324" s="266"/>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c r="AT324"/>
      <c r="AU324"/>
      <c r="AV324"/>
      <c r="AW324"/>
      <c r="AX324"/>
      <c r="AY324"/>
      <c r="AZ324"/>
      <c r="BA324"/>
      <c r="BB324"/>
      <c r="BC324"/>
      <c r="BD324"/>
      <c r="BE324"/>
    </row>
    <row r="325" spans="8:57">
      <c r="H325"/>
      <c r="I325"/>
      <c r="J325"/>
      <c r="K325"/>
      <c r="L325" s="247"/>
      <c r="M325" s="247"/>
      <c r="N325" s="247"/>
      <c r="O325" s="247"/>
      <c r="P325" s="247"/>
      <c r="Q325" s="247"/>
      <c r="R325" s="247"/>
      <c r="S325" s="247"/>
      <c r="T325" s="247"/>
      <c r="U325" s="266"/>
      <c r="V325" s="266"/>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c r="AT325"/>
      <c r="AU325"/>
      <c r="AV325"/>
      <c r="AW325"/>
      <c r="AX325"/>
      <c r="AY325"/>
      <c r="AZ325"/>
      <c r="BA325"/>
      <c r="BB325"/>
      <c r="BC325"/>
      <c r="BD325"/>
      <c r="BE325"/>
    </row>
    <row r="326" spans="8:57">
      <c r="H326"/>
      <c r="I326"/>
      <c r="J326"/>
      <c r="K326"/>
      <c r="L326" s="247"/>
      <c r="M326" s="247"/>
      <c r="N326" s="247"/>
      <c r="O326" s="247"/>
      <c r="P326" s="247"/>
      <c r="Q326" s="247"/>
      <c r="R326" s="247"/>
      <c r="S326" s="247"/>
      <c r="T326" s="247"/>
      <c r="U326" s="266"/>
      <c r="V326" s="266"/>
      <c r="W326" s="266"/>
      <c r="X326" s="266"/>
      <c r="Y326" s="266"/>
      <c r="Z326" s="266"/>
      <c r="AA326" s="266"/>
      <c r="AB326" s="266"/>
      <c r="AC326" s="266"/>
      <c r="AD326" s="266"/>
      <c r="AE326" s="266"/>
      <c r="AF326" s="266"/>
      <c r="AG326" s="266"/>
      <c r="AH326" s="266"/>
      <c r="AI326" s="266"/>
      <c r="AJ326" s="266"/>
      <c r="AK326" s="266"/>
      <c r="AL326" s="266"/>
      <c r="AM326" s="266"/>
      <c r="AN326" s="266"/>
      <c r="AO326" s="266"/>
      <c r="AP326" s="266"/>
      <c r="AQ326" s="266"/>
      <c r="AR326" s="266"/>
      <c r="AS326"/>
      <c r="AT326"/>
      <c r="AU326"/>
      <c r="AV326"/>
      <c r="AW326"/>
      <c r="AX326"/>
      <c r="AY326"/>
      <c r="AZ326"/>
      <c r="BA326"/>
      <c r="BB326"/>
      <c r="BC326"/>
      <c r="BD326"/>
      <c r="BE326"/>
    </row>
    <row r="327" spans="8:57">
      <c r="H327"/>
      <c r="I327"/>
      <c r="J327"/>
      <c r="K327"/>
      <c r="L327" s="247"/>
      <c r="M327" s="247"/>
      <c r="N327" s="247"/>
      <c r="O327" s="247"/>
      <c r="P327" s="247"/>
      <c r="Q327" s="247"/>
      <c r="R327" s="247"/>
      <c r="S327" s="247"/>
      <c r="T327" s="247"/>
      <c r="U327" s="266"/>
      <c r="V327" s="266"/>
      <c r="W327" s="266"/>
      <c r="X327" s="266"/>
      <c r="Y327" s="266"/>
      <c r="Z327" s="266"/>
      <c r="AA327" s="266"/>
      <c r="AB327" s="266"/>
      <c r="AC327" s="266"/>
      <c r="AD327" s="266"/>
      <c r="AE327" s="266"/>
      <c r="AF327" s="266"/>
      <c r="AG327" s="266"/>
      <c r="AH327" s="266"/>
      <c r="AI327" s="266"/>
      <c r="AJ327" s="266"/>
      <c r="AK327" s="266"/>
      <c r="AL327" s="266"/>
      <c r="AM327" s="266"/>
      <c r="AN327" s="266"/>
      <c r="AO327" s="266"/>
      <c r="AP327" s="266"/>
      <c r="AQ327" s="266"/>
      <c r="AR327" s="266"/>
      <c r="AS327"/>
      <c r="AT327"/>
      <c r="AU327"/>
      <c r="AV327"/>
      <c r="AW327"/>
      <c r="AX327"/>
      <c r="AY327"/>
      <c r="AZ327"/>
      <c r="BA327"/>
      <c r="BB327"/>
      <c r="BC327"/>
      <c r="BD327"/>
      <c r="BE327"/>
    </row>
    <row r="328" spans="8:57">
      <c r="H328"/>
      <c r="I328"/>
      <c r="J328"/>
      <c r="K328"/>
      <c r="L328" s="247"/>
      <c r="M328" s="247"/>
      <c r="N328" s="247"/>
      <c r="O328" s="247"/>
      <c r="P328" s="247"/>
      <c r="Q328" s="247"/>
      <c r="R328" s="247"/>
      <c r="S328" s="247"/>
      <c r="T328" s="247"/>
      <c r="U328" s="266"/>
      <c r="V328" s="266"/>
      <c r="W328" s="266"/>
      <c r="X328" s="266"/>
      <c r="Y328" s="266"/>
      <c r="Z328" s="266"/>
      <c r="AA328" s="266"/>
      <c r="AB328" s="266"/>
      <c r="AC328" s="266"/>
      <c r="AD328" s="266"/>
      <c r="AE328" s="266"/>
      <c r="AF328" s="266"/>
      <c r="AG328" s="266"/>
      <c r="AH328" s="266"/>
      <c r="AI328" s="266"/>
      <c r="AJ328" s="266"/>
      <c r="AK328" s="266"/>
      <c r="AL328" s="266"/>
      <c r="AM328" s="266"/>
      <c r="AN328" s="266"/>
      <c r="AO328" s="266"/>
      <c r="AP328" s="266"/>
      <c r="AQ328" s="266"/>
      <c r="AR328" s="266"/>
      <c r="AS328"/>
      <c r="AT328"/>
      <c r="AU328"/>
      <c r="AV328"/>
      <c r="AW328"/>
      <c r="AX328"/>
      <c r="AY328"/>
      <c r="AZ328"/>
      <c r="BA328"/>
      <c r="BB328"/>
      <c r="BC328"/>
      <c r="BD328"/>
      <c r="BE328"/>
    </row>
    <row r="329" spans="8:57">
      <c r="H329"/>
      <c r="I329"/>
      <c r="J329"/>
      <c r="K329"/>
      <c r="L329" s="247"/>
      <c r="M329" s="247"/>
      <c r="N329" s="247"/>
      <c r="O329" s="247"/>
      <c r="P329" s="247"/>
      <c r="Q329" s="247"/>
      <c r="R329" s="247"/>
      <c r="S329" s="247"/>
      <c r="T329" s="247"/>
      <c r="U329" s="266"/>
      <c r="V329" s="266"/>
      <c r="W329" s="266"/>
      <c r="X329" s="266"/>
      <c r="Y329" s="266"/>
      <c r="Z329" s="266"/>
      <c r="AA329" s="266"/>
      <c r="AB329" s="266"/>
      <c r="AC329" s="266"/>
      <c r="AD329" s="266"/>
      <c r="AE329" s="266"/>
      <c r="AF329" s="266"/>
      <c r="AG329" s="266"/>
      <c r="AH329" s="266"/>
      <c r="AI329" s="266"/>
      <c r="AJ329" s="266"/>
      <c r="AK329" s="266"/>
      <c r="AL329" s="266"/>
      <c r="AM329" s="266"/>
      <c r="AN329" s="266"/>
      <c r="AO329" s="266"/>
      <c r="AP329" s="266"/>
      <c r="AQ329" s="266"/>
      <c r="AR329" s="266"/>
      <c r="AS329"/>
      <c r="AT329"/>
      <c r="AU329"/>
      <c r="AV329"/>
      <c r="AW329"/>
      <c r="AX329"/>
      <c r="AY329"/>
      <c r="AZ329"/>
      <c r="BA329"/>
      <c r="BB329"/>
      <c r="BC329"/>
      <c r="BD329"/>
      <c r="BE329"/>
    </row>
    <row r="330" spans="8:57">
      <c r="H330"/>
      <c r="I330"/>
      <c r="J330"/>
      <c r="K330"/>
      <c r="L330" s="247"/>
      <c r="M330" s="247"/>
      <c r="N330" s="247"/>
      <c r="O330" s="247"/>
      <c r="P330" s="247"/>
      <c r="Q330" s="247"/>
      <c r="R330" s="247"/>
      <c r="S330" s="247"/>
      <c r="T330" s="247"/>
      <c r="U330" s="266"/>
      <c r="V330" s="266"/>
      <c r="W330" s="266"/>
      <c r="X330" s="266"/>
      <c r="Y330" s="266"/>
      <c r="Z330" s="266"/>
      <c r="AA330" s="266"/>
      <c r="AB330" s="266"/>
      <c r="AC330" s="266"/>
      <c r="AD330" s="266"/>
      <c r="AE330" s="266"/>
      <c r="AF330" s="266"/>
      <c r="AG330" s="266"/>
      <c r="AH330" s="266"/>
      <c r="AI330" s="266"/>
      <c r="AJ330" s="266"/>
      <c r="AK330" s="266"/>
      <c r="AL330" s="266"/>
      <c r="AM330" s="266"/>
      <c r="AN330" s="266"/>
      <c r="AO330" s="266"/>
      <c r="AP330" s="266"/>
      <c r="AQ330" s="266"/>
      <c r="AR330" s="266"/>
      <c r="AS330"/>
      <c r="AT330"/>
      <c r="AU330"/>
      <c r="AV330"/>
      <c r="AW330"/>
      <c r="AX330"/>
      <c r="AY330"/>
      <c r="AZ330"/>
      <c r="BA330"/>
      <c r="BB330"/>
      <c r="BC330"/>
      <c r="BD330"/>
      <c r="BE330"/>
    </row>
    <row r="331" spans="8:57">
      <c r="H331"/>
      <c r="I331"/>
      <c r="J331"/>
      <c r="K331"/>
      <c r="L331" s="247"/>
      <c r="M331" s="247"/>
      <c r="N331" s="247"/>
      <c r="O331" s="247"/>
      <c r="P331" s="247"/>
      <c r="Q331" s="247"/>
      <c r="R331" s="247"/>
      <c r="S331" s="247"/>
      <c r="T331" s="247"/>
      <c r="U331" s="266"/>
      <c r="V331" s="266"/>
      <c r="W331" s="266"/>
      <c r="X331" s="266"/>
      <c r="Y331" s="266"/>
      <c r="Z331" s="266"/>
      <c r="AA331" s="266"/>
      <c r="AB331" s="266"/>
      <c r="AC331" s="266"/>
      <c r="AD331" s="266"/>
      <c r="AE331" s="266"/>
      <c r="AF331" s="266"/>
      <c r="AG331" s="266"/>
      <c r="AH331" s="266"/>
      <c r="AI331" s="266"/>
      <c r="AJ331" s="266"/>
      <c r="AK331" s="266"/>
      <c r="AL331" s="266"/>
      <c r="AM331" s="266"/>
      <c r="AN331" s="266"/>
      <c r="AO331" s="266"/>
      <c r="AP331" s="266"/>
      <c r="AQ331" s="266"/>
      <c r="AR331" s="266"/>
      <c r="AS331"/>
      <c r="AT331"/>
      <c r="AU331"/>
      <c r="AV331"/>
      <c r="AW331"/>
      <c r="AX331"/>
      <c r="AY331"/>
      <c r="AZ331"/>
      <c r="BA331"/>
      <c r="BB331"/>
      <c r="BC331"/>
      <c r="BD331"/>
      <c r="BE331"/>
    </row>
    <row r="332" spans="8:57">
      <c r="H332"/>
      <c r="I332"/>
      <c r="J332"/>
      <c r="K332"/>
      <c r="L332" s="247"/>
      <c r="M332" s="247"/>
      <c r="N332" s="247"/>
      <c r="O332" s="247"/>
      <c r="P332" s="247"/>
      <c r="Q332" s="247"/>
      <c r="R332" s="247"/>
      <c r="S332" s="247"/>
      <c r="T332" s="247"/>
      <c r="U332" s="266"/>
      <c r="V332" s="266"/>
      <c r="W332" s="266"/>
      <c r="X332" s="266"/>
      <c r="Y332" s="266"/>
      <c r="Z332" s="266"/>
      <c r="AA332" s="266"/>
      <c r="AB332" s="266"/>
      <c r="AC332" s="266"/>
      <c r="AD332" s="266"/>
      <c r="AE332" s="266"/>
      <c r="AF332" s="266"/>
      <c r="AG332" s="266"/>
      <c r="AH332" s="266"/>
      <c r="AI332" s="266"/>
      <c r="AJ332" s="266"/>
      <c r="AK332" s="266"/>
      <c r="AL332" s="266"/>
      <c r="AM332" s="266"/>
      <c r="AN332" s="266"/>
      <c r="AO332" s="266"/>
      <c r="AP332" s="266"/>
      <c r="AQ332" s="266"/>
      <c r="AR332" s="266"/>
      <c r="AS332"/>
      <c r="AT332"/>
      <c r="AU332"/>
      <c r="AV332"/>
      <c r="AW332"/>
      <c r="AX332"/>
      <c r="AY332"/>
      <c r="AZ332"/>
      <c r="BA332"/>
      <c r="BB332"/>
      <c r="BC332"/>
      <c r="BD332"/>
      <c r="BE332"/>
    </row>
    <row r="333" spans="8:57">
      <c r="H333"/>
      <c r="I333"/>
      <c r="J333"/>
      <c r="K333"/>
      <c r="L333" s="247"/>
      <c r="M333" s="247"/>
      <c r="N333" s="247"/>
      <c r="O333" s="247"/>
      <c r="P333" s="247"/>
      <c r="Q333" s="247"/>
      <c r="R333" s="247"/>
      <c r="S333" s="247"/>
      <c r="T333" s="247"/>
      <c r="U333" s="266"/>
      <c r="V333" s="266"/>
      <c r="W333" s="266"/>
      <c r="X333" s="266"/>
      <c r="Y333" s="266"/>
      <c r="Z333" s="266"/>
      <c r="AA333" s="266"/>
      <c r="AB333" s="266"/>
      <c r="AC333" s="266"/>
      <c r="AD333" s="266"/>
      <c r="AE333" s="266"/>
      <c r="AF333" s="266"/>
      <c r="AG333" s="266"/>
      <c r="AH333" s="266"/>
      <c r="AI333" s="266"/>
      <c r="AJ333" s="266"/>
      <c r="AK333" s="266"/>
      <c r="AL333" s="266"/>
      <c r="AM333" s="266"/>
      <c r="AN333" s="266"/>
      <c r="AO333" s="266"/>
      <c r="AP333" s="266"/>
      <c r="AQ333" s="266"/>
      <c r="AR333" s="266"/>
      <c r="AS333"/>
      <c r="AT333"/>
      <c r="AU333"/>
      <c r="AV333"/>
      <c r="AW333"/>
      <c r="AX333"/>
      <c r="AY333"/>
      <c r="AZ333"/>
      <c r="BA333"/>
      <c r="BB333"/>
      <c r="BC333"/>
      <c r="BD333"/>
      <c r="BE333"/>
    </row>
    <row r="334" spans="8:57">
      <c r="H334"/>
      <c r="I334"/>
      <c r="J334"/>
      <c r="K334"/>
      <c r="L334" s="247"/>
      <c r="M334" s="247"/>
      <c r="N334" s="247"/>
      <c r="O334" s="247"/>
      <c r="P334" s="247"/>
      <c r="Q334" s="247"/>
      <c r="R334" s="247"/>
      <c r="S334" s="247"/>
      <c r="T334" s="247"/>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c r="AT334"/>
      <c r="AU334"/>
      <c r="AV334"/>
      <c r="AW334"/>
      <c r="AX334"/>
      <c r="AY334"/>
      <c r="AZ334"/>
      <c r="BA334"/>
      <c r="BB334"/>
      <c r="BC334"/>
      <c r="BD334"/>
      <c r="BE334"/>
    </row>
    <row r="335" spans="8:57">
      <c r="H335"/>
      <c r="I335"/>
      <c r="J335"/>
      <c r="K335"/>
      <c r="L335" s="247"/>
      <c r="M335" s="247"/>
      <c r="N335" s="247"/>
      <c r="O335" s="247"/>
      <c r="P335" s="247"/>
      <c r="Q335" s="247"/>
      <c r="R335" s="247"/>
      <c r="S335" s="247"/>
      <c r="T335" s="247"/>
      <c r="U335" s="266"/>
      <c r="V335" s="266"/>
      <c r="W335" s="266"/>
      <c r="X335" s="266"/>
      <c r="Y335" s="266"/>
      <c r="Z335" s="266"/>
      <c r="AA335" s="266"/>
      <c r="AB335" s="266"/>
      <c r="AC335" s="266"/>
      <c r="AD335" s="266"/>
      <c r="AE335" s="266"/>
      <c r="AF335" s="266"/>
      <c r="AG335" s="266"/>
      <c r="AH335" s="266"/>
      <c r="AI335" s="266"/>
      <c r="AJ335" s="266"/>
      <c r="AK335" s="266"/>
      <c r="AL335" s="266"/>
      <c r="AM335" s="266"/>
      <c r="AN335" s="266"/>
      <c r="AO335" s="266"/>
      <c r="AP335" s="266"/>
      <c r="AQ335" s="266"/>
      <c r="AR335" s="266"/>
      <c r="AS335"/>
      <c r="AT335"/>
      <c r="AU335"/>
      <c r="AV335"/>
      <c r="AW335"/>
      <c r="AX335"/>
      <c r="AY335"/>
      <c r="AZ335"/>
      <c r="BA335"/>
      <c r="BB335"/>
      <c r="BC335"/>
      <c r="BD335"/>
      <c r="BE335"/>
    </row>
    <row r="336" spans="8:57">
      <c r="H336"/>
      <c r="I336"/>
      <c r="J336"/>
      <c r="K336"/>
      <c r="L336" s="247"/>
      <c r="M336" s="247"/>
      <c r="N336" s="247"/>
      <c r="O336" s="247"/>
      <c r="P336" s="247"/>
      <c r="Q336" s="247"/>
      <c r="R336" s="247"/>
      <c r="S336" s="247"/>
      <c r="T336" s="247"/>
      <c r="U336" s="266"/>
      <c r="V336" s="266"/>
      <c r="W336" s="266"/>
      <c r="X336" s="266"/>
      <c r="Y336" s="266"/>
      <c r="Z336" s="266"/>
      <c r="AA336" s="266"/>
      <c r="AB336" s="266"/>
      <c r="AC336" s="266"/>
      <c r="AD336" s="266"/>
      <c r="AE336" s="266"/>
      <c r="AF336" s="266"/>
      <c r="AG336" s="266"/>
      <c r="AH336" s="266"/>
      <c r="AI336" s="266"/>
      <c r="AJ336" s="266"/>
      <c r="AK336" s="266"/>
      <c r="AL336" s="266"/>
      <c r="AM336" s="266"/>
      <c r="AN336" s="266"/>
      <c r="AO336" s="266"/>
      <c r="AP336" s="266"/>
      <c r="AQ336" s="266"/>
      <c r="AR336" s="266"/>
      <c r="AS336"/>
      <c r="AT336"/>
      <c r="AU336"/>
      <c r="AV336"/>
      <c r="AW336"/>
      <c r="AX336"/>
      <c r="AY336"/>
      <c r="AZ336"/>
      <c r="BA336"/>
      <c r="BB336"/>
      <c r="BC336"/>
      <c r="BD336"/>
      <c r="BE336"/>
    </row>
    <row r="337" spans="8:57">
      <c r="H337"/>
      <c r="I337"/>
      <c r="J337"/>
      <c r="K337"/>
      <c r="L337" s="247"/>
      <c r="M337" s="247"/>
      <c r="N337" s="247"/>
      <c r="O337" s="247"/>
      <c r="P337" s="247"/>
      <c r="Q337" s="247"/>
      <c r="R337" s="247"/>
      <c r="S337" s="247"/>
      <c r="T337" s="247"/>
      <c r="U337" s="266"/>
      <c r="V337" s="266"/>
      <c r="W337" s="266"/>
      <c r="X337" s="266"/>
      <c r="Y337" s="266"/>
      <c r="Z337" s="266"/>
      <c r="AA337" s="266"/>
      <c r="AB337" s="266"/>
      <c r="AC337" s="266"/>
      <c r="AD337" s="266"/>
      <c r="AE337" s="266"/>
      <c r="AF337" s="266"/>
      <c r="AG337" s="266"/>
      <c r="AH337" s="266"/>
      <c r="AI337" s="266"/>
      <c r="AJ337" s="266"/>
      <c r="AK337" s="266"/>
      <c r="AL337" s="266"/>
      <c r="AM337" s="266"/>
      <c r="AN337" s="266"/>
      <c r="AO337" s="266"/>
      <c r="AP337" s="266"/>
      <c r="AQ337" s="266"/>
      <c r="AR337" s="266"/>
      <c r="AS337"/>
      <c r="AT337"/>
      <c r="AU337"/>
      <c r="AV337"/>
      <c r="AW337"/>
      <c r="AX337"/>
      <c r="AY337"/>
      <c r="AZ337"/>
      <c r="BA337"/>
      <c r="BB337"/>
      <c r="BC337"/>
      <c r="BD337"/>
      <c r="BE337"/>
    </row>
    <row r="338" spans="8:57">
      <c r="H338"/>
      <c r="I338"/>
      <c r="J338"/>
      <c r="K338"/>
      <c r="L338" s="247"/>
      <c r="M338" s="247"/>
      <c r="N338" s="247"/>
      <c r="O338" s="247"/>
      <c r="P338" s="247"/>
      <c r="Q338" s="247"/>
      <c r="R338" s="247"/>
      <c r="S338" s="247"/>
      <c r="T338" s="247"/>
      <c r="U338" s="266"/>
      <c r="V338" s="266"/>
      <c r="W338" s="266"/>
      <c r="X338" s="266"/>
      <c r="Y338" s="266"/>
      <c r="Z338" s="266"/>
      <c r="AA338" s="266"/>
      <c r="AB338" s="266"/>
      <c r="AC338" s="266"/>
      <c r="AD338" s="266"/>
      <c r="AE338" s="266"/>
      <c r="AF338" s="266"/>
      <c r="AG338" s="266"/>
      <c r="AH338" s="266"/>
      <c r="AI338" s="266"/>
      <c r="AJ338" s="266"/>
      <c r="AK338" s="266"/>
      <c r="AL338" s="266"/>
      <c r="AM338" s="266"/>
      <c r="AN338" s="266"/>
      <c r="AO338" s="266"/>
      <c r="AP338" s="266"/>
      <c r="AQ338" s="266"/>
      <c r="AR338" s="266"/>
      <c r="AS338"/>
      <c r="AT338"/>
      <c r="AU338"/>
      <c r="AV338"/>
      <c r="AW338"/>
      <c r="AX338"/>
      <c r="AY338"/>
      <c r="AZ338"/>
      <c r="BA338"/>
      <c r="BB338"/>
      <c r="BC338"/>
      <c r="BD338"/>
      <c r="BE338"/>
    </row>
    <row r="339" spans="8:57">
      <c r="H339"/>
      <c r="I339"/>
      <c r="J339"/>
      <c r="K339"/>
      <c r="L339" s="247"/>
      <c r="M339" s="247"/>
      <c r="N339" s="247"/>
      <c r="O339" s="247"/>
      <c r="P339" s="247"/>
      <c r="Q339" s="247"/>
      <c r="R339" s="247"/>
      <c r="S339" s="247"/>
      <c r="T339" s="247"/>
      <c r="U339" s="266"/>
      <c r="V339" s="266"/>
      <c r="W339" s="266"/>
      <c r="X339" s="266"/>
      <c r="Y339" s="266"/>
      <c r="Z339" s="266"/>
      <c r="AA339" s="266"/>
      <c r="AB339" s="266"/>
      <c r="AC339" s="266"/>
      <c r="AD339" s="266"/>
      <c r="AE339" s="266"/>
      <c r="AF339" s="266"/>
      <c r="AG339" s="266"/>
      <c r="AH339" s="266"/>
      <c r="AI339" s="266"/>
      <c r="AJ339" s="266"/>
      <c r="AK339" s="266"/>
      <c r="AL339" s="266"/>
      <c r="AM339" s="266"/>
      <c r="AN339" s="266"/>
      <c r="AO339" s="266"/>
      <c r="AP339" s="266"/>
      <c r="AQ339" s="266"/>
      <c r="AR339" s="266"/>
      <c r="AS339"/>
      <c r="AT339"/>
      <c r="AU339"/>
      <c r="AV339"/>
      <c r="AW339"/>
      <c r="AX339"/>
      <c r="AY339"/>
      <c r="AZ339"/>
      <c r="BA339"/>
      <c r="BB339"/>
      <c r="BC339"/>
      <c r="BD339"/>
      <c r="BE339"/>
    </row>
    <row r="340" spans="8:57">
      <c r="H340"/>
      <c r="I340"/>
      <c r="J340"/>
      <c r="K340"/>
      <c r="L340" s="247"/>
      <c r="M340" s="247"/>
      <c r="N340" s="247"/>
      <c r="O340" s="247"/>
      <c r="P340" s="247"/>
      <c r="Q340" s="247"/>
      <c r="R340" s="247"/>
      <c r="S340" s="247"/>
      <c r="T340" s="247"/>
      <c r="U340" s="266"/>
      <c r="V340" s="266"/>
      <c r="W340" s="266"/>
      <c r="X340" s="266"/>
      <c r="Y340" s="266"/>
      <c r="Z340" s="266"/>
      <c r="AA340" s="266"/>
      <c r="AB340" s="266"/>
      <c r="AC340" s="266"/>
      <c r="AD340" s="266"/>
      <c r="AE340" s="266"/>
      <c r="AF340" s="266"/>
      <c r="AG340" s="266"/>
      <c r="AH340" s="266"/>
      <c r="AI340" s="266"/>
      <c r="AJ340" s="266"/>
      <c r="AK340" s="266"/>
      <c r="AL340" s="266"/>
      <c r="AM340" s="266"/>
      <c r="AN340" s="266"/>
      <c r="AO340" s="266"/>
      <c r="AP340" s="266"/>
      <c r="AQ340" s="266"/>
      <c r="AR340" s="266"/>
      <c r="AS340"/>
      <c r="AT340"/>
      <c r="AU340"/>
      <c r="AV340"/>
      <c r="AW340"/>
      <c r="AX340"/>
      <c r="AY340"/>
      <c r="AZ340"/>
      <c r="BA340"/>
      <c r="BB340"/>
      <c r="BC340"/>
      <c r="BD340"/>
      <c r="BE340"/>
    </row>
    <row r="341" spans="8:57">
      <c r="H341"/>
      <c r="I341"/>
      <c r="J341"/>
      <c r="K341"/>
      <c r="L341" s="247"/>
      <c r="M341" s="247"/>
      <c r="N341" s="247"/>
      <c r="O341" s="247"/>
      <c r="P341" s="247"/>
      <c r="Q341" s="247"/>
      <c r="R341" s="247"/>
      <c r="S341" s="247"/>
      <c r="T341" s="247"/>
      <c r="U341" s="266"/>
      <c r="V341" s="266"/>
      <c r="W341" s="266"/>
      <c r="X341" s="266"/>
      <c r="Y341" s="266"/>
      <c r="Z341" s="266"/>
      <c r="AA341" s="266"/>
      <c r="AB341" s="266"/>
      <c r="AC341" s="266"/>
      <c r="AD341" s="266"/>
      <c r="AE341" s="266"/>
      <c r="AF341" s="266"/>
      <c r="AG341" s="266"/>
      <c r="AH341" s="266"/>
      <c r="AI341" s="266"/>
      <c r="AJ341" s="266"/>
      <c r="AK341" s="266"/>
      <c r="AL341" s="266"/>
      <c r="AM341" s="266"/>
      <c r="AN341" s="266"/>
      <c r="AO341" s="266"/>
      <c r="AP341" s="266"/>
      <c r="AQ341" s="266"/>
      <c r="AR341" s="266"/>
      <c r="AS341"/>
      <c r="AT341"/>
      <c r="AU341"/>
      <c r="AV341"/>
      <c r="AW341"/>
      <c r="AX341"/>
      <c r="AY341"/>
      <c r="AZ341"/>
      <c r="BA341"/>
      <c r="BB341"/>
      <c r="BC341"/>
      <c r="BD341"/>
      <c r="BE341"/>
    </row>
    <row r="342" spans="8:57">
      <c r="H342"/>
      <c r="I342"/>
      <c r="J342"/>
      <c r="K342"/>
      <c r="L342" s="247"/>
      <c r="M342" s="247"/>
      <c r="N342" s="247"/>
      <c r="O342" s="247"/>
      <c r="P342" s="247"/>
      <c r="Q342" s="247"/>
      <c r="R342" s="247"/>
      <c r="S342" s="247"/>
      <c r="T342" s="247"/>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c r="AT342"/>
      <c r="AU342"/>
      <c r="AV342"/>
      <c r="AW342"/>
      <c r="AX342"/>
      <c r="AY342"/>
      <c r="AZ342"/>
      <c r="BA342"/>
      <c r="BB342"/>
      <c r="BC342"/>
      <c r="BD342"/>
      <c r="BE342"/>
    </row>
    <row r="343" spans="8:57">
      <c r="H343"/>
      <c r="I343"/>
      <c r="J343"/>
      <c r="K343"/>
      <c r="L343" s="247"/>
      <c r="M343" s="247"/>
      <c r="N343" s="247"/>
      <c r="O343" s="247"/>
      <c r="P343" s="247"/>
      <c r="Q343" s="247"/>
      <c r="R343" s="247"/>
      <c r="S343" s="247"/>
      <c r="T343" s="247"/>
      <c r="U343" s="266"/>
      <c r="V343" s="266"/>
      <c r="W343" s="266"/>
      <c r="X343" s="266"/>
      <c r="Y343" s="266"/>
      <c r="Z343" s="266"/>
      <c r="AA343" s="266"/>
      <c r="AB343" s="266"/>
      <c r="AC343" s="266"/>
      <c r="AD343" s="266"/>
      <c r="AE343" s="266"/>
      <c r="AF343" s="266"/>
      <c r="AG343" s="266"/>
      <c r="AH343" s="266"/>
      <c r="AI343" s="266"/>
      <c r="AJ343" s="266"/>
      <c r="AK343" s="266"/>
      <c r="AL343" s="266"/>
      <c r="AM343" s="266"/>
      <c r="AN343" s="266"/>
      <c r="AO343" s="266"/>
      <c r="AP343" s="266"/>
      <c r="AQ343" s="266"/>
      <c r="AR343" s="266"/>
      <c r="AS343"/>
      <c r="AT343"/>
      <c r="AU343"/>
      <c r="AV343"/>
      <c r="AW343"/>
      <c r="AX343"/>
      <c r="AY343"/>
      <c r="AZ343"/>
      <c r="BA343"/>
      <c r="BB343"/>
      <c r="BC343"/>
      <c r="BD343"/>
      <c r="BE343"/>
    </row>
    <row r="344" spans="8:57">
      <c r="H344"/>
      <c r="I344"/>
      <c r="J344"/>
      <c r="K344"/>
      <c r="L344" s="247"/>
      <c r="M344" s="247"/>
      <c r="N344" s="247"/>
      <c r="O344" s="247"/>
      <c r="P344" s="247"/>
      <c r="Q344" s="247"/>
      <c r="R344" s="247"/>
      <c r="S344" s="247"/>
      <c r="T344" s="247"/>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6"/>
      <c r="AS344"/>
      <c r="AT344"/>
      <c r="AU344"/>
      <c r="AV344"/>
      <c r="AW344"/>
      <c r="AX344"/>
      <c r="AY344"/>
      <c r="AZ344"/>
      <c r="BA344"/>
      <c r="BB344"/>
      <c r="BC344"/>
      <c r="BD344"/>
      <c r="BE344"/>
    </row>
    <row r="345" spans="8:57">
      <c r="H345"/>
      <c r="I345"/>
      <c r="J345"/>
      <c r="K345"/>
      <c r="L345" s="247"/>
      <c r="M345" s="247"/>
      <c r="N345" s="247"/>
      <c r="O345" s="247"/>
      <c r="P345" s="247"/>
      <c r="Q345" s="247"/>
      <c r="R345" s="247"/>
      <c r="S345" s="247"/>
      <c r="T345" s="247"/>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6"/>
      <c r="AS345"/>
      <c r="AT345"/>
      <c r="AU345"/>
      <c r="AV345"/>
      <c r="AW345"/>
      <c r="AX345"/>
      <c r="AY345"/>
      <c r="AZ345"/>
      <c r="BA345"/>
      <c r="BB345"/>
      <c r="BC345"/>
      <c r="BD345"/>
      <c r="BE345"/>
    </row>
    <row r="346" spans="8:57">
      <c r="H346"/>
      <c r="I346"/>
      <c r="J346"/>
      <c r="K346"/>
      <c r="L346" s="247"/>
      <c r="M346" s="247"/>
      <c r="N346" s="247"/>
      <c r="O346" s="247"/>
      <c r="P346" s="247"/>
      <c r="Q346" s="247"/>
      <c r="R346" s="247"/>
      <c r="S346" s="247"/>
      <c r="T346" s="247"/>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c r="AT346"/>
      <c r="AU346"/>
      <c r="AV346"/>
      <c r="AW346"/>
      <c r="AX346"/>
      <c r="AY346"/>
      <c r="AZ346"/>
      <c r="BA346"/>
      <c r="BB346"/>
      <c r="BC346"/>
      <c r="BD346"/>
      <c r="BE346"/>
    </row>
    <row r="347" spans="8:57">
      <c r="H347"/>
      <c r="I347"/>
      <c r="J347"/>
      <c r="K347"/>
      <c r="L347" s="247"/>
      <c r="M347" s="247"/>
      <c r="N347" s="247"/>
      <c r="O347" s="247"/>
      <c r="P347" s="247"/>
      <c r="Q347" s="247"/>
      <c r="R347" s="247"/>
      <c r="S347" s="247"/>
      <c r="T347" s="247"/>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c r="AT347"/>
      <c r="AU347"/>
      <c r="AV347"/>
      <c r="AW347"/>
      <c r="AX347"/>
      <c r="AY347"/>
      <c r="AZ347"/>
      <c r="BA347"/>
      <c r="BB347"/>
      <c r="BC347"/>
      <c r="BD347"/>
      <c r="BE347"/>
    </row>
    <row r="348" spans="8:57">
      <c r="H348"/>
      <c r="I348"/>
      <c r="J348"/>
      <c r="K348"/>
      <c r="L348" s="247"/>
      <c r="M348" s="247"/>
      <c r="N348" s="247"/>
      <c r="O348" s="247"/>
      <c r="P348" s="247"/>
      <c r="Q348" s="247"/>
      <c r="R348" s="247"/>
      <c r="S348" s="247"/>
      <c r="T348" s="247"/>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c r="AT348"/>
      <c r="AU348"/>
      <c r="AV348"/>
      <c r="AW348"/>
      <c r="AX348"/>
      <c r="AY348"/>
      <c r="AZ348"/>
      <c r="BA348"/>
      <c r="BB348"/>
      <c r="BC348"/>
      <c r="BD348"/>
      <c r="BE348"/>
    </row>
    <row r="349" spans="8:57">
      <c r="H349"/>
      <c r="I349"/>
      <c r="J349"/>
      <c r="K349"/>
      <c r="L349" s="247"/>
      <c r="M349" s="247"/>
      <c r="N349" s="247"/>
      <c r="O349" s="247"/>
      <c r="P349" s="247"/>
      <c r="Q349" s="247"/>
      <c r="R349" s="247"/>
      <c r="S349" s="247"/>
      <c r="T349" s="247"/>
      <c r="U349" s="266"/>
      <c r="V349" s="266"/>
      <c r="W349" s="266"/>
      <c r="X349" s="266"/>
      <c r="Y349" s="266"/>
      <c r="Z349" s="266"/>
      <c r="AA349" s="266"/>
      <c r="AB349" s="266"/>
      <c r="AC349" s="266"/>
      <c r="AD349" s="266"/>
      <c r="AE349" s="266"/>
      <c r="AF349" s="266"/>
      <c r="AG349" s="266"/>
      <c r="AH349" s="266"/>
      <c r="AI349" s="266"/>
      <c r="AJ349" s="266"/>
      <c r="AK349" s="266"/>
      <c r="AL349" s="266"/>
      <c r="AM349" s="266"/>
      <c r="AN349" s="266"/>
      <c r="AO349" s="266"/>
      <c r="AP349" s="266"/>
      <c r="AQ349" s="266"/>
      <c r="AR349" s="266"/>
      <c r="AS349"/>
      <c r="AT349"/>
      <c r="AU349"/>
      <c r="AV349"/>
      <c r="AW349"/>
      <c r="AX349"/>
      <c r="AY349"/>
      <c r="AZ349"/>
      <c r="BA349"/>
      <c r="BB349"/>
      <c r="BC349"/>
      <c r="BD349"/>
      <c r="BE349"/>
    </row>
    <row r="350" spans="8:57">
      <c r="H350"/>
      <c r="I350"/>
      <c r="J350"/>
      <c r="K350"/>
      <c r="L350" s="247"/>
      <c r="M350" s="247"/>
      <c r="N350" s="247"/>
      <c r="O350" s="247"/>
      <c r="P350" s="247"/>
      <c r="Q350" s="247"/>
      <c r="R350" s="247"/>
      <c r="S350" s="247"/>
      <c r="T350" s="247"/>
      <c r="U350" s="266"/>
      <c r="V350" s="266"/>
      <c r="W350" s="266"/>
      <c r="X350" s="266"/>
      <c r="Y350" s="266"/>
      <c r="Z350" s="266"/>
      <c r="AA350" s="266"/>
      <c r="AB350" s="266"/>
      <c r="AC350" s="266"/>
      <c r="AD350" s="266"/>
      <c r="AE350" s="266"/>
      <c r="AF350" s="266"/>
      <c r="AG350" s="266"/>
      <c r="AH350" s="266"/>
      <c r="AI350" s="266"/>
      <c r="AJ350" s="266"/>
      <c r="AK350" s="266"/>
      <c r="AL350" s="266"/>
      <c r="AM350" s="266"/>
      <c r="AN350" s="266"/>
      <c r="AO350" s="266"/>
      <c r="AP350" s="266"/>
      <c r="AQ350" s="266"/>
      <c r="AR350" s="266"/>
      <c r="AS350"/>
      <c r="AT350"/>
      <c r="AU350"/>
      <c r="AV350"/>
      <c r="AW350"/>
      <c r="AX350"/>
      <c r="AY350"/>
      <c r="AZ350"/>
      <c r="BA350"/>
      <c r="BB350"/>
      <c r="BC350"/>
      <c r="BD350"/>
      <c r="BE350"/>
    </row>
    <row r="351" spans="8:57">
      <c r="H351"/>
      <c r="I351"/>
      <c r="J351"/>
      <c r="K351"/>
      <c r="L351" s="247"/>
      <c r="M351" s="247"/>
      <c r="N351" s="247"/>
      <c r="O351" s="247"/>
      <c r="P351" s="247"/>
      <c r="Q351" s="247"/>
      <c r="R351" s="247"/>
      <c r="S351" s="247"/>
      <c r="T351" s="247"/>
      <c r="U351" s="266"/>
      <c r="V351" s="266"/>
      <c r="W351" s="266"/>
      <c r="X351" s="266"/>
      <c r="Y351" s="266"/>
      <c r="Z351" s="266"/>
      <c r="AA351" s="266"/>
      <c r="AB351" s="266"/>
      <c r="AC351" s="266"/>
      <c r="AD351" s="266"/>
      <c r="AE351" s="266"/>
      <c r="AF351" s="266"/>
      <c r="AG351" s="266"/>
      <c r="AH351" s="266"/>
      <c r="AI351" s="266"/>
      <c r="AJ351" s="266"/>
      <c r="AK351" s="266"/>
      <c r="AL351" s="266"/>
      <c r="AM351" s="266"/>
      <c r="AN351" s="266"/>
      <c r="AO351" s="266"/>
      <c r="AP351" s="266"/>
      <c r="AQ351" s="266"/>
      <c r="AR351" s="266"/>
      <c r="AS351"/>
      <c r="AT351"/>
      <c r="AU351"/>
      <c r="AV351"/>
      <c r="AW351"/>
      <c r="AX351"/>
      <c r="AY351"/>
      <c r="AZ351"/>
      <c r="BA351"/>
      <c r="BB351"/>
      <c r="BC351"/>
      <c r="BD351"/>
      <c r="BE351"/>
    </row>
    <row r="352" spans="8:57">
      <c r="H352"/>
      <c r="I352"/>
      <c r="J352"/>
      <c r="K352"/>
      <c r="L352" s="247"/>
      <c r="M352" s="247"/>
      <c r="N352" s="247"/>
      <c r="O352" s="247"/>
      <c r="P352" s="247"/>
      <c r="Q352" s="247"/>
      <c r="R352" s="247"/>
      <c r="S352" s="247"/>
      <c r="T352" s="247"/>
      <c r="U352" s="266"/>
      <c r="V352" s="266"/>
      <c r="W352" s="266"/>
      <c r="X352" s="266"/>
      <c r="Y352" s="266"/>
      <c r="Z352" s="266"/>
      <c r="AA352" s="266"/>
      <c r="AB352" s="266"/>
      <c r="AC352" s="266"/>
      <c r="AD352" s="266"/>
      <c r="AE352" s="266"/>
      <c r="AF352" s="266"/>
      <c r="AG352" s="266"/>
      <c r="AH352" s="266"/>
      <c r="AI352" s="266"/>
      <c r="AJ352" s="266"/>
      <c r="AK352" s="266"/>
      <c r="AL352" s="266"/>
      <c r="AM352" s="266"/>
      <c r="AN352" s="266"/>
      <c r="AO352" s="266"/>
      <c r="AP352" s="266"/>
      <c r="AQ352" s="266"/>
      <c r="AR352" s="266"/>
      <c r="AS352"/>
      <c r="AT352"/>
      <c r="AU352"/>
      <c r="AV352"/>
      <c r="AW352"/>
      <c r="AX352"/>
      <c r="AY352"/>
      <c r="AZ352"/>
      <c r="BA352"/>
      <c r="BB352"/>
      <c r="BC352"/>
      <c r="BD352"/>
      <c r="BE352"/>
    </row>
  </sheetData>
  <sheetProtection algorithmName="SHA-512" hashValue="ceKm2KjtJaJWClwGKPeLj+wp15u9A8qhuukzpacEL/0di/sMcM5qG+iZciylV9EJKXrNVVH07Zdkc1xusDXaaA==" saltValue="Sw8vF6tBf/jMfgDBgUJ/+g==" spinCount="100000" sheet="1" objects="1" scenarios="1" selectLockedCells="1"/>
  <mergeCells count="129">
    <mergeCell ref="H12:J12"/>
    <mergeCell ref="H13:I13"/>
    <mergeCell ref="H14:I14"/>
    <mergeCell ref="H15:I15"/>
    <mergeCell ref="H16:I16"/>
    <mergeCell ref="H17:I17"/>
    <mergeCell ref="H18:I18"/>
    <mergeCell ref="H19:I19"/>
    <mergeCell ref="H20:I20"/>
    <mergeCell ref="H21:I21"/>
    <mergeCell ref="H24:K24"/>
    <mergeCell ref="H58:J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6:J76"/>
    <mergeCell ref="H77:I77"/>
    <mergeCell ref="H78:I78"/>
    <mergeCell ref="H79:I79"/>
    <mergeCell ref="H80:I80"/>
    <mergeCell ref="H81:I81"/>
    <mergeCell ref="H82:I82"/>
    <mergeCell ref="H83:I83"/>
    <mergeCell ref="H84:I84"/>
    <mergeCell ref="H85:I85"/>
    <mergeCell ref="H86:I86"/>
    <mergeCell ref="H87:I87"/>
    <mergeCell ref="H88:I88"/>
    <mergeCell ref="H89:I89"/>
    <mergeCell ref="H90:I90"/>
    <mergeCell ref="H98:J98"/>
    <mergeCell ref="H99:I99"/>
    <mergeCell ref="H100:I100"/>
    <mergeCell ref="H101:I101"/>
    <mergeCell ref="H102:I102"/>
    <mergeCell ref="H103:I103"/>
    <mergeCell ref="H104:I104"/>
    <mergeCell ref="H105:I105"/>
    <mergeCell ref="H106:I106"/>
    <mergeCell ref="H107:I107"/>
    <mergeCell ref="H108:I108"/>
    <mergeCell ref="H109:I109"/>
    <mergeCell ref="H110:I110"/>
    <mergeCell ref="H111:I111"/>
    <mergeCell ref="H117:I117"/>
    <mergeCell ref="H118:I118"/>
    <mergeCell ref="H119:I119"/>
    <mergeCell ref="H120:I120"/>
    <mergeCell ref="H121:I121"/>
    <mergeCell ref="H136:I136"/>
    <mergeCell ref="H137:I137"/>
    <mergeCell ref="H138:I138"/>
    <mergeCell ref="H139:I139"/>
    <mergeCell ref="H140:I140"/>
    <mergeCell ref="H141:I141"/>
    <mergeCell ref="H142:I142"/>
    <mergeCell ref="H143:I143"/>
    <mergeCell ref="H158:J158"/>
    <mergeCell ref="H159:I159"/>
    <mergeCell ref="H160:I160"/>
    <mergeCell ref="H161:I161"/>
    <mergeCell ref="H162:I162"/>
    <mergeCell ref="H163:I163"/>
    <mergeCell ref="H164:I164"/>
    <mergeCell ref="H165:I165"/>
    <mergeCell ref="H166:I166"/>
    <mergeCell ref="H167:I167"/>
    <mergeCell ref="H168:I168"/>
    <mergeCell ref="H169:I169"/>
    <mergeCell ref="H170:I170"/>
    <mergeCell ref="H171:I171"/>
    <mergeCell ref="H172:I172"/>
    <mergeCell ref="H176:J176"/>
    <mergeCell ref="H177:I177"/>
    <mergeCell ref="H178:I178"/>
    <mergeCell ref="H179:I179"/>
    <mergeCell ref="H180:I180"/>
    <mergeCell ref="H181:I181"/>
    <mergeCell ref="H182:I182"/>
    <mergeCell ref="H198:I198"/>
    <mergeCell ref="H199:I199"/>
    <mergeCell ref="H200:I200"/>
    <mergeCell ref="H201:I201"/>
    <mergeCell ref="H202:I202"/>
    <mergeCell ref="H203:I203"/>
    <mergeCell ref="H183:I183"/>
    <mergeCell ref="H184:I184"/>
    <mergeCell ref="H185:I185"/>
    <mergeCell ref="H186:I186"/>
    <mergeCell ref="H187:I187"/>
    <mergeCell ref="H188:I188"/>
    <mergeCell ref="H189:I189"/>
    <mergeCell ref="H190:I190"/>
    <mergeCell ref="H194:J194"/>
    <mergeCell ref="H225:I225"/>
    <mergeCell ref="H226:I226"/>
    <mergeCell ref="I25:I26"/>
    <mergeCell ref="H216:I216"/>
    <mergeCell ref="H217:I217"/>
    <mergeCell ref="H218:I218"/>
    <mergeCell ref="H219:I219"/>
    <mergeCell ref="H220:I220"/>
    <mergeCell ref="H221:I221"/>
    <mergeCell ref="H222:I222"/>
    <mergeCell ref="H223:I223"/>
    <mergeCell ref="H224:I224"/>
    <mergeCell ref="H204:I204"/>
    <mergeCell ref="H205:I205"/>
    <mergeCell ref="H206:I206"/>
    <mergeCell ref="H207:I207"/>
    <mergeCell ref="H208:I208"/>
    <mergeCell ref="H212:J212"/>
    <mergeCell ref="H213:I213"/>
    <mergeCell ref="H214:I214"/>
    <mergeCell ref="H215:I215"/>
    <mergeCell ref="H195:I195"/>
    <mergeCell ref="H196:I196"/>
    <mergeCell ref="H197:I197"/>
  </mergeCells>
  <phoneticPr fontId="59" type="noConversion"/>
  <conditionalFormatting sqref="J159:J172">
    <cfRule type="expression" dxfId="53" priority="1" stopIfTrue="1">
      <formula>$N$145="Disable"</formula>
    </cfRule>
  </conditionalFormatting>
  <conditionalFormatting sqref="J177:J190">
    <cfRule type="expression" dxfId="52" priority="2" stopIfTrue="1">
      <formula>$N$145="Disable"</formula>
    </cfRule>
  </conditionalFormatting>
  <conditionalFormatting sqref="J195:J208">
    <cfRule type="expression" dxfId="51" priority="3" stopIfTrue="1">
      <formula>$N$145="Disable"</formula>
    </cfRule>
  </conditionalFormatting>
  <conditionalFormatting sqref="J213:J226">
    <cfRule type="expression" dxfId="50" priority="4" stopIfTrue="1">
      <formula>$N$145="Disable"</formula>
    </cfRule>
  </conditionalFormatting>
  <conditionalFormatting sqref="J117:J121">
    <cfRule type="expression" dxfId="49" priority="5" stopIfTrue="1">
      <formula>$L$130=0</formula>
    </cfRule>
  </conditionalFormatting>
  <conditionalFormatting sqref="I135">
    <cfRule type="expression" dxfId="48" priority="6" stopIfTrue="1">
      <formula>$L$130=0</formula>
    </cfRule>
  </conditionalFormatting>
  <conditionalFormatting sqref="J135">
    <cfRule type="expression" dxfId="47" priority="7" stopIfTrue="1">
      <formula>$L$130=0</formula>
    </cfRule>
  </conditionalFormatting>
  <conditionalFormatting sqref="K135">
    <cfRule type="expression" dxfId="46" priority="8" stopIfTrue="1">
      <formula>$L$130=0</formula>
    </cfRule>
  </conditionalFormatting>
  <conditionalFormatting sqref="H135">
    <cfRule type="expression" dxfId="45" priority="9" stopIfTrue="1">
      <formula>$L$130=0</formula>
    </cfRule>
  </conditionalFormatting>
  <conditionalFormatting sqref="E135">
    <cfRule type="expression" dxfId="44" priority="10" stopIfTrue="1">
      <formula>$L$130=0</formula>
    </cfRule>
  </conditionalFormatting>
  <conditionalFormatting sqref="J68:J69">
    <cfRule type="expression" dxfId="43" priority="11" stopIfTrue="1">
      <formula>$AI$137="Enable"</formula>
    </cfRule>
  </conditionalFormatting>
  <conditionalFormatting sqref="J59:J67 J70:J72">
    <cfRule type="expression" dxfId="42" priority="12" stopIfTrue="1">
      <formula>$O$137="Disable"</formula>
    </cfRule>
  </conditionalFormatting>
  <conditionalFormatting sqref="J86:J87">
    <cfRule type="expression" dxfId="41" priority="13" stopIfTrue="1">
      <formula>$AI$138="Enable"</formula>
    </cfRule>
  </conditionalFormatting>
  <conditionalFormatting sqref="J77:J85 J88:J90">
    <cfRule type="expression" dxfId="40" priority="14" stopIfTrue="1">
      <formula>$O$138="Disable"</formula>
    </cfRule>
  </conditionalFormatting>
  <conditionalFormatting sqref="J25:J26">
    <cfRule type="expression" dxfId="39" priority="15" stopIfTrue="1">
      <formula>$I$25="Unknown"</formula>
    </cfRule>
    <cfRule type="expression" dxfId="38" priority="16" stopIfTrue="1">
      <formula>$AI$144&lt;&gt;0</formula>
    </cfRule>
  </conditionalFormatting>
  <dataValidations count="5">
    <dataValidation type="textLength" operator="equal" allowBlank="1" showInputMessage="1" showErrorMessage="1" sqref="J13">
      <formula1>3</formula1>
    </dataValidation>
    <dataValidation type="list" allowBlank="1" showInputMessage="1" showErrorMessage="1" sqref="J70 J88 J170 J188 J206 J224">
      <formula1>"Interlace,Progressive"</formula1>
    </dataValidation>
    <dataValidation type="list" allowBlank="1" showInputMessage="1" showErrorMessage="1" sqref="I25">
      <formula1>"Known,Unknown"</formula1>
    </dataValidation>
    <dataValidation type="list" allowBlank="1" showInputMessage="1" showErrorMessage="1" sqref="H135:K135">
      <formula1>"Supported, No"</formula1>
    </dataValidation>
    <dataValidation type="list" allowBlank="1" showInputMessage="1" showErrorMessage="1" sqref="J71:J72 J89:J90 J171:J172 J189:J190 J207:J208 J225:J226">
      <formula1>"L Active,H Active"</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7" tint="-0.249977111117893"/>
  </sheetPr>
  <dimension ref="A1:BZ1088"/>
  <sheetViews>
    <sheetView showGridLines="0" topLeftCell="A1044" zoomScale="75" zoomScaleNormal="75" workbookViewId="0">
      <selection activeCell="B377" sqref="B376:F377"/>
    </sheetView>
  </sheetViews>
  <sheetFormatPr defaultColWidth="9" defaultRowHeight="14.25" outlineLevelRow="1"/>
  <cols>
    <col min="1" max="1" width="3.375" style="65" customWidth="1"/>
    <col min="2" max="2" width="8.875" style="65" customWidth="1"/>
    <col min="3" max="3" width="29" style="65" customWidth="1"/>
    <col min="4" max="4" width="11" style="65" customWidth="1"/>
    <col min="5" max="5" width="12.625" style="66" customWidth="1"/>
    <col min="6" max="6" width="105" style="65" customWidth="1"/>
    <col min="7" max="7" width="8.75" style="65" customWidth="1"/>
    <col min="8" max="8" width="16.5" style="65" customWidth="1"/>
    <col min="9" max="9" width="13" style="65" customWidth="1"/>
    <col min="10" max="10" width="15.75" style="65" customWidth="1"/>
    <col min="11" max="11" width="12.625" style="65" customWidth="1"/>
    <col min="12" max="12" width="15.75" style="65" customWidth="1"/>
    <col min="13" max="13" width="14.5" style="65" customWidth="1"/>
    <col min="14" max="14" width="16.125" style="65" customWidth="1"/>
    <col min="15" max="15" width="12.625" style="65" customWidth="1"/>
    <col min="16" max="16" width="15.5" style="65" customWidth="1"/>
    <col min="17" max="17" width="12.625" style="65" customWidth="1"/>
    <col min="18" max="18" width="14.375" style="65" customWidth="1"/>
    <col min="19" max="19" width="12.625" style="65" customWidth="1"/>
    <col min="20" max="20" width="14" style="65" customWidth="1"/>
    <col min="21" max="21" width="12.625" style="65" customWidth="1"/>
    <col min="22" max="22" width="14" style="65" customWidth="1"/>
    <col min="23" max="23" width="13.75" style="65" customWidth="1"/>
    <col min="24" max="24" width="7.875" style="64" customWidth="1"/>
    <col min="25" max="31" width="4" style="64" hidden="1" customWidth="1"/>
    <col min="32" max="32" width="5" style="64" hidden="1" customWidth="1"/>
    <col min="33" max="38" width="4" style="64" hidden="1" customWidth="1"/>
    <col min="39" max="39" width="5" style="64" hidden="1" customWidth="1"/>
    <col min="40" max="40" width="4" style="64" hidden="1" customWidth="1"/>
    <col min="41" max="41" width="7.125" style="64" hidden="1" customWidth="1"/>
    <col min="42" max="42" width="2.875" style="64" hidden="1" customWidth="1"/>
    <col min="43" max="43" width="3" style="64" hidden="1" customWidth="1"/>
    <col min="44" max="44" width="3.625" style="64" hidden="1" customWidth="1"/>
    <col min="45" max="45" width="3.375" style="64" hidden="1" customWidth="1"/>
    <col min="46" max="46" width="3.5" style="64" hidden="1" customWidth="1"/>
    <col min="47" max="47" width="3" style="64" hidden="1" customWidth="1"/>
    <col min="48" max="48" width="3.5" style="64" hidden="1" customWidth="1"/>
    <col min="49" max="49" width="3" style="64" hidden="1" customWidth="1"/>
    <col min="50" max="50" width="3.125" style="64" hidden="1" customWidth="1"/>
    <col min="51" max="51" width="2.875" style="64" hidden="1" customWidth="1"/>
    <col min="52" max="52" width="3.5" style="64" hidden="1" customWidth="1"/>
    <col min="53" max="53" width="3" style="64" hidden="1" customWidth="1"/>
    <col min="54" max="54" width="3.375" style="64" hidden="1" customWidth="1"/>
    <col min="55" max="55" width="3.125" style="64" hidden="1" customWidth="1"/>
    <col min="56" max="56" width="3.875" style="64" hidden="1" customWidth="1"/>
    <col min="57" max="57" width="11.375" style="64" hidden="1" customWidth="1"/>
    <col min="58" max="78" width="9" style="65" hidden="1" customWidth="1"/>
    <col min="79" max="16384" width="9" style="65"/>
  </cols>
  <sheetData>
    <row r="1" spans="1:71" ht="18">
      <c r="B1" s="67" t="s">
        <v>1610</v>
      </c>
      <c r="C1" s="67"/>
      <c r="F1" s="68"/>
      <c r="G1" s="69" t="s">
        <v>138</v>
      </c>
      <c r="H1" s="70" t="s">
        <v>696</v>
      </c>
      <c r="I1" s="42"/>
      <c r="J1" s="108"/>
      <c r="K1"/>
      <c r="L1" s="1"/>
    </row>
    <row r="2" spans="1:71" ht="18">
      <c r="B2" s="65" t="s">
        <v>1611</v>
      </c>
      <c r="H2" s="68" t="s">
        <v>695</v>
      </c>
      <c r="I2"/>
      <c r="J2"/>
      <c r="K2"/>
      <c r="L2"/>
      <c r="M2"/>
      <c r="N2"/>
      <c r="O2"/>
      <c r="P2"/>
    </row>
    <row r="3" spans="1:71">
      <c r="B3" s="65" t="s">
        <v>1612</v>
      </c>
      <c r="C3" s="71"/>
      <c r="D3" s="72"/>
      <c r="E3" s="73"/>
      <c r="F3" s="72"/>
      <c r="G3" s="72"/>
      <c r="H3" s="72"/>
      <c r="I3"/>
      <c r="J3"/>
      <c r="K3"/>
      <c r="L3"/>
      <c r="M3"/>
      <c r="N3"/>
      <c r="O3"/>
      <c r="P3"/>
      <c r="Q3"/>
      <c r="R3"/>
      <c r="S3"/>
      <c r="T3"/>
      <c r="U3"/>
      <c r="V3"/>
      <c r="W3"/>
      <c r="X3" s="131"/>
      <c r="AH3" s="131"/>
    </row>
    <row r="4" spans="1:71" ht="15">
      <c r="B4" s="74"/>
      <c r="C4" s="71"/>
      <c r="D4" s="72"/>
      <c r="E4" s="73"/>
      <c r="F4" s="72"/>
      <c r="G4" s="72"/>
      <c r="H4" s="75"/>
      <c r="I4"/>
      <c r="J4"/>
      <c r="K4"/>
      <c r="L4"/>
      <c r="M4"/>
      <c r="N4"/>
      <c r="O4"/>
      <c r="P4"/>
      <c r="Q4"/>
      <c r="R4"/>
      <c r="S4"/>
      <c r="T4"/>
      <c r="U4"/>
      <c r="V4"/>
      <c r="W4"/>
      <c r="X4" s="131"/>
      <c r="AH4" s="131"/>
    </row>
    <row r="5" spans="1:71" ht="18.75">
      <c r="B5" s="76" t="s">
        <v>1613</v>
      </c>
      <c r="C5" s="77"/>
      <c r="D5" s="77"/>
      <c r="E5" s="78"/>
      <c r="F5" s="79"/>
      <c r="I5"/>
      <c r="J5"/>
      <c r="K5"/>
      <c r="L5"/>
      <c r="M5"/>
      <c r="N5"/>
      <c r="O5"/>
      <c r="P5"/>
      <c r="Q5"/>
      <c r="R5"/>
      <c r="S5"/>
      <c r="T5"/>
      <c r="U5"/>
      <c r="V5"/>
      <c r="W5"/>
      <c r="X5" s="131"/>
      <c r="AH5" s="131"/>
    </row>
    <row r="6" spans="1:71" ht="15">
      <c r="B6" s="80" t="s">
        <v>1614</v>
      </c>
      <c r="C6" s="80" t="s">
        <v>1615</v>
      </c>
      <c r="D6" s="80" t="s">
        <v>1616</v>
      </c>
      <c r="E6" s="81" t="s">
        <v>1617</v>
      </c>
      <c r="F6" s="82" t="s">
        <v>1618</v>
      </c>
      <c r="G6" s="83"/>
      <c r="H6"/>
      <c r="I6"/>
      <c r="J6"/>
      <c r="K6"/>
      <c r="L6"/>
      <c r="M6"/>
      <c r="N6"/>
      <c r="O6"/>
      <c r="P6"/>
      <c r="Q6"/>
      <c r="R6"/>
      <c r="S6"/>
      <c r="T6"/>
      <c r="U6"/>
      <c r="V6"/>
      <c r="W6"/>
      <c r="X6" s="131"/>
      <c r="AH6" s="131"/>
    </row>
    <row r="7" spans="1:71" ht="28.5" customHeight="1">
      <c r="B7" s="182" t="s">
        <v>1032</v>
      </c>
      <c r="C7" s="183" t="s">
        <v>1619</v>
      </c>
      <c r="D7" s="184"/>
      <c r="E7" s="185"/>
      <c r="F7" s="186" t="s">
        <v>1620</v>
      </c>
      <c r="G7" s="83"/>
      <c r="H7"/>
      <c r="I7"/>
      <c r="J7"/>
      <c r="K7"/>
      <c r="L7"/>
      <c r="M7"/>
      <c r="N7"/>
      <c r="O7"/>
      <c r="P7"/>
      <c r="Q7"/>
      <c r="R7"/>
      <c r="S7"/>
      <c r="T7"/>
      <c r="U7"/>
      <c r="V7"/>
      <c r="W7"/>
      <c r="X7" s="131"/>
      <c r="AH7" s="131"/>
    </row>
    <row r="8" spans="1:71">
      <c r="B8" s="84" t="s">
        <v>1032</v>
      </c>
      <c r="C8" s="85" t="s">
        <v>1621</v>
      </c>
      <c r="D8" s="85"/>
      <c r="E8" s="86"/>
      <c r="F8" s="87"/>
      <c r="G8"/>
      <c r="H8"/>
      <c r="I8"/>
      <c r="J8"/>
      <c r="K8"/>
      <c r="L8"/>
      <c r="M8"/>
      <c r="N8"/>
      <c r="O8"/>
      <c r="P8"/>
      <c r="Q8"/>
      <c r="R8"/>
      <c r="S8"/>
      <c r="T8"/>
      <c r="U8"/>
      <c r="V8"/>
      <c r="W8"/>
      <c r="X8" s="131"/>
      <c r="AH8" s="131"/>
    </row>
    <row r="9" spans="1:71">
      <c r="B9" s="88" t="s">
        <v>1622</v>
      </c>
      <c r="C9" s="89" t="s">
        <v>1623</v>
      </c>
      <c r="D9" s="510" t="s">
        <v>954</v>
      </c>
      <c r="E9" s="91" t="str">
        <f>Main_Parameters!$C$118</f>
        <v>0004</v>
      </c>
      <c r="F9" s="92"/>
      <c r="G9"/>
      <c r="H9"/>
      <c r="I9"/>
      <c r="J9"/>
      <c r="K9"/>
      <c r="L9"/>
      <c r="M9"/>
      <c r="N9"/>
      <c r="O9"/>
      <c r="P9"/>
      <c r="Q9"/>
      <c r="R9"/>
      <c r="S9"/>
      <c r="T9"/>
      <c r="U9"/>
      <c r="V9"/>
      <c r="W9"/>
      <c r="X9" s="131"/>
      <c r="AH9" s="131"/>
    </row>
    <row r="10" spans="1:71">
      <c r="B10" s="93" t="s">
        <v>1622</v>
      </c>
      <c r="C10" s="94" t="s">
        <v>1624</v>
      </c>
      <c r="D10" s="513" t="s">
        <v>1625</v>
      </c>
      <c r="E10" s="511" t="s">
        <v>1626</v>
      </c>
      <c r="F10" s="97" t="s">
        <v>1627</v>
      </c>
      <c r="G10"/>
      <c r="H10"/>
      <c r="I10"/>
      <c r="J10"/>
      <c r="K10"/>
      <c r="L10"/>
      <c r="M10"/>
      <c r="N10"/>
      <c r="O10"/>
      <c r="P10"/>
      <c r="Q10"/>
      <c r="R10"/>
      <c r="S10"/>
      <c r="T10"/>
      <c r="U10"/>
      <c r="V10"/>
      <c r="W10"/>
      <c r="X10" s="131"/>
      <c r="AH10" s="131"/>
    </row>
    <row r="11" spans="1:71">
      <c r="B11" s="93" t="s">
        <v>1622</v>
      </c>
      <c r="C11" s="94" t="s">
        <v>1624</v>
      </c>
      <c r="D11" s="513" t="s">
        <v>1625</v>
      </c>
      <c r="E11" s="512" t="str">
        <f>IF(Main_Parameters!$M$4="Disable","0080","0000")</f>
        <v>0000</v>
      </c>
      <c r="F11" s="97" t="s">
        <v>1628</v>
      </c>
      <c r="G11"/>
      <c r="H11"/>
      <c r="I11"/>
      <c r="J11"/>
      <c r="K11"/>
      <c r="L11"/>
      <c r="M11"/>
      <c r="N11"/>
      <c r="O11"/>
      <c r="P11"/>
      <c r="Q11"/>
      <c r="R11"/>
      <c r="S11"/>
      <c r="T11"/>
      <c r="U11"/>
      <c r="V11"/>
      <c r="W11"/>
      <c r="X11" s="131"/>
      <c r="AH11" s="131"/>
    </row>
    <row r="12" spans="1:71" s="64" customFormat="1">
      <c r="A12" s="65"/>
      <c r="B12" s="93" t="s">
        <v>1622</v>
      </c>
      <c r="C12" s="89" t="s">
        <v>1629</v>
      </c>
      <c r="D12" s="510" t="s">
        <v>955</v>
      </c>
      <c r="E12" s="512" t="str">
        <f>Main_Parameters!$C$120</f>
        <v>0000</v>
      </c>
      <c r="F12" s="97"/>
      <c r="G12"/>
      <c r="H12"/>
      <c r="I12" s="109"/>
      <c r="J12" s="65"/>
      <c r="K12" s="65"/>
      <c r="L12" s="65"/>
      <c r="M12" s="65"/>
      <c r="N12" s="65"/>
      <c r="O12" s="65"/>
      <c r="P12" s="65"/>
      <c r="Q12" s="65"/>
      <c r="R12" s="65"/>
      <c r="S12" s="65"/>
      <c r="T12" s="65"/>
      <c r="U12" s="65"/>
      <c r="V12" s="65"/>
      <c r="W12" s="65"/>
      <c r="BF12" s="65"/>
      <c r="BG12" s="65"/>
      <c r="BH12" s="65"/>
      <c r="BI12" s="65"/>
      <c r="BJ12" s="65"/>
      <c r="BK12" s="65"/>
      <c r="BL12" s="65"/>
      <c r="BM12" s="65"/>
      <c r="BN12" s="65"/>
      <c r="BO12" s="65"/>
      <c r="BP12" s="65"/>
      <c r="BQ12" s="65"/>
      <c r="BR12" s="65"/>
      <c r="BS12" s="65"/>
    </row>
    <row r="13" spans="1:71" s="64" customFormat="1">
      <c r="A13" s="65"/>
      <c r="B13" s="84" t="s">
        <v>1032</v>
      </c>
      <c r="C13" s="163" t="s">
        <v>1630</v>
      </c>
      <c r="D13" s="164"/>
      <c r="E13" s="165"/>
      <c r="F13" s="87"/>
      <c r="G13"/>
      <c r="H13" s="65"/>
      <c r="I13" s="65"/>
      <c r="J13" s="65"/>
      <c r="K13" s="65"/>
      <c r="L13" s="65"/>
      <c r="M13" s="65"/>
      <c r="N13" s="65"/>
      <c r="O13" s="65"/>
      <c r="P13" s="65"/>
      <c r="Q13"/>
      <c r="R13"/>
      <c r="S13"/>
      <c r="T13"/>
      <c r="U13"/>
      <c r="V13"/>
      <c r="W13"/>
      <c r="X13" s="131"/>
      <c r="AH13" s="131"/>
      <c r="BF13" s="65"/>
      <c r="BG13" s="65"/>
      <c r="BH13" s="65"/>
      <c r="BI13" s="65"/>
      <c r="BJ13" s="65"/>
      <c r="BK13" s="65"/>
      <c r="BL13" s="65"/>
      <c r="BM13" s="65"/>
      <c r="BN13" s="65"/>
      <c r="BO13" s="65"/>
      <c r="BP13" s="65"/>
      <c r="BQ13" s="65"/>
      <c r="BR13" s="65"/>
      <c r="BS13" s="65"/>
    </row>
    <row r="14" spans="1:71" s="64" customFormat="1">
      <c r="A14" s="65"/>
      <c r="B14" s="88" t="s">
        <v>1622</v>
      </c>
      <c r="C14" s="94" t="s">
        <v>1631</v>
      </c>
      <c r="D14" s="513" t="s">
        <v>1632</v>
      </c>
      <c r="E14" s="511" t="s">
        <v>1633</v>
      </c>
      <c r="F14" s="97" t="s">
        <v>1634</v>
      </c>
      <c r="G14"/>
      <c r="H14" s="65"/>
      <c r="I14" s="65"/>
      <c r="J14" s="65"/>
      <c r="K14" s="65"/>
      <c r="L14" s="65"/>
      <c r="M14" s="65"/>
      <c r="N14" s="65"/>
      <c r="O14" s="65"/>
      <c r="P14" s="65"/>
      <c r="Q14"/>
      <c r="R14"/>
      <c r="S14"/>
      <c r="T14"/>
      <c r="U14"/>
      <c r="V14"/>
      <c r="W14"/>
      <c r="X14" s="131"/>
      <c r="AH14" s="131"/>
      <c r="BF14" s="65"/>
      <c r="BG14" s="65"/>
      <c r="BH14" s="65"/>
      <c r="BI14" s="65"/>
      <c r="BJ14" s="65"/>
      <c r="BK14" s="65"/>
      <c r="BL14" s="65"/>
      <c r="BM14" s="65"/>
      <c r="BN14" s="65"/>
      <c r="BO14" s="65"/>
      <c r="BP14" s="65"/>
      <c r="BQ14" s="65"/>
      <c r="BR14" s="65"/>
      <c r="BS14" s="65"/>
    </row>
    <row r="15" spans="1:71" s="64" customFormat="1">
      <c r="A15" s="65"/>
      <c r="B15" s="187" t="str">
        <f t="shared" ref="B15:B20" si="0">IF(E22="FF","REMnd","WR8")</f>
        <v>WR8</v>
      </c>
      <c r="C15" s="188" t="s">
        <v>1635</v>
      </c>
      <c r="D15" s="514" t="s">
        <v>1636</v>
      </c>
      <c r="E15" s="514" t="s">
        <v>1042</v>
      </c>
      <c r="F15" s="92" t="s">
        <v>1637</v>
      </c>
      <c r="G15"/>
      <c r="H15" s="65"/>
      <c r="I15" s="65"/>
      <c r="J15" s="65"/>
      <c r="K15" s="65"/>
      <c r="L15" s="65"/>
      <c r="M15" s="65"/>
      <c r="N15" s="65"/>
      <c r="O15" s="65"/>
      <c r="P15" s="65"/>
      <c r="Q15"/>
      <c r="R15"/>
      <c r="S15"/>
      <c r="T15"/>
      <c r="U15"/>
      <c r="V15"/>
      <c r="W15"/>
      <c r="X15" s="131"/>
      <c r="AH15" s="131"/>
      <c r="BF15" s="65"/>
      <c r="BG15" s="65"/>
      <c r="BH15" s="65"/>
      <c r="BI15" s="65"/>
      <c r="BJ15" s="65"/>
      <c r="BK15" s="65"/>
      <c r="BL15" s="65"/>
      <c r="BM15" s="65"/>
      <c r="BN15" s="65"/>
      <c r="BO15" s="65"/>
      <c r="BP15" s="65"/>
      <c r="BQ15" s="65"/>
      <c r="BR15" s="65"/>
      <c r="BS15" s="65"/>
    </row>
    <row r="16" spans="1:71" s="64" customFormat="1">
      <c r="A16" s="65"/>
      <c r="B16" s="187" t="str">
        <f t="shared" si="0"/>
        <v>REMnd</v>
      </c>
      <c r="C16" s="98" t="s">
        <v>1638</v>
      </c>
      <c r="D16" s="513" t="s">
        <v>1639</v>
      </c>
      <c r="E16" s="514" t="s">
        <v>1042</v>
      </c>
      <c r="F16" s="92" t="s">
        <v>1637</v>
      </c>
      <c r="G16"/>
      <c r="H16" s="65"/>
      <c r="I16" s="65"/>
      <c r="J16" s="65"/>
      <c r="K16" s="65"/>
      <c r="L16" s="65"/>
      <c r="M16" s="65"/>
      <c r="N16" s="65"/>
      <c r="O16" s="65"/>
      <c r="P16" s="65"/>
      <c r="Q16"/>
      <c r="R16"/>
      <c r="S16"/>
      <c r="T16"/>
      <c r="U16"/>
      <c r="V16"/>
      <c r="W16"/>
      <c r="X16" s="131"/>
      <c r="AH16" s="131"/>
      <c r="BF16" s="65"/>
      <c r="BG16" s="65"/>
      <c r="BH16" s="65"/>
      <c r="BI16" s="65"/>
      <c r="BJ16" s="65"/>
      <c r="BK16" s="65"/>
      <c r="BL16" s="65"/>
      <c r="BM16" s="65"/>
      <c r="BN16" s="65"/>
      <c r="BO16" s="65"/>
      <c r="BP16" s="65"/>
      <c r="BQ16" s="65"/>
      <c r="BR16" s="65"/>
      <c r="BS16" s="65"/>
    </row>
    <row r="17" spans="1:71" s="64" customFormat="1">
      <c r="A17" s="65"/>
      <c r="B17" s="187" t="str">
        <f t="shared" si="0"/>
        <v>REMnd</v>
      </c>
      <c r="C17" s="98" t="s">
        <v>1640</v>
      </c>
      <c r="D17" s="513" t="s">
        <v>1641</v>
      </c>
      <c r="E17" s="514" t="s">
        <v>1042</v>
      </c>
      <c r="F17" s="92" t="s">
        <v>1637</v>
      </c>
      <c r="G17"/>
      <c r="H17" s="65"/>
      <c r="I17" s="65"/>
      <c r="J17" s="65"/>
      <c r="K17" s="65"/>
      <c r="L17" s="65"/>
      <c r="M17" s="65"/>
      <c r="N17" s="65"/>
      <c r="O17" s="65"/>
      <c r="P17" s="65"/>
      <c r="Q17"/>
      <c r="R17"/>
      <c r="S17"/>
      <c r="T17"/>
      <c r="U17"/>
      <c r="V17"/>
      <c r="W17"/>
      <c r="X17" s="131"/>
      <c r="AH17" s="131"/>
      <c r="BF17" s="65"/>
      <c r="BG17" s="65"/>
      <c r="BH17" s="65"/>
      <c r="BI17" s="65"/>
      <c r="BJ17" s="65"/>
      <c r="BK17" s="65"/>
      <c r="BL17" s="65"/>
      <c r="BM17" s="65"/>
      <c r="BN17" s="65"/>
      <c r="BO17" s="65"/>
      <c r="BP17" s="65"/>
      <c r="BQ17" s="65"/>
      <c r="BR17" s="65"/>
      <c r="BS17" s="65"/>
    </row>
    <row r="18" spans="1:71" s="64" customFormat="1">
      <c r="A18" s="65"/>
      <c r="B18" s="187" t="str">
        <f t="shared" si="0"/>
        <v>REMnd</v>
      </c>
      <c r="C18" s="98" t="s">
        <v>1642</v>
      </c>
      <c r="D18" s="513" t="s">
        <v>1643</v>
      </c>
      <c r="E18" s="514" t="s">
        <v>1042</v>
      </c>
      <c r="F18" s="92" t="s">
        <v>1637</v>
      </c>
      <c r="G18"/>
      <c r="H18" s="65"/>
      <c r="I18" s="65"/>
      <c r="J18" s="65"/>
      <c r="K18" s="65"/>
      <c r="L18" s="65"/>
      <c r="M18" s="65"/>
      <c r="N18" s="65"/>
      <c r="O18" s="65"/>
      <c r="P18" s="65"/>
      <c r="Q18"/>
      <c r="R18"/>
      <c r="S18"/>
      <c r="T18"/>
      <c r="U18"/>
      <c r="V18"/>
      <c r="W18"/>
      <c r="X18" s="131"/>
      <c r="AH18" s="131"/>
      <c r="BF18" s="65"/>
      <c r="BG18" s="65"/>
      <c r="BH18" s="65"/>
      <c r="BI18" s="65"/>
      <c r="BJ18" s="65"/>
      <c r="BK18" s="65"/>
      <c r="BL18" s="65"/>
      <c r="BM18" s="65"/>
      <c r="BN18" s="65"/>
      <c r="BO18" s="65"/>
      <c r="BP18" s="65"/>
      <c r="BQ18" s="65"/>
      <c r="BR18" s="65"/>
      <c r="BS18" s="65"/>
    </row>
    <row r="19" spans="1:71" s="64" customFormat="1">
      <c r="A19" s="65"/>
      <c r="B19" s="187" t="str">
        <f t="shared" si="0"/>
        <v>REMnd</v>
      </c>
      <c r="C19" s="98" t="s">
        <v>1644</v>
      </c>
      <c r="D19" s="513" t="s">
        <v>1645</v>
      </c>
      <c r="E19" s="514" t="s">
        <v>1042</v>
      </c>
      <c r="F19" s="92" t="s">
        <v>1637</v>
      </c>
      <c r="G19"/>
      <c r="H19" s="65"/>
      <c r="I19" s="65"/>
      <c r="J19" s="65"/>
      <c r="K19" s="65"/>
      <c r="L19" s="65"/>
      <c r="M19" s="65"/>
      <c r="N19" s="65"/>
      <c r="O19" s="65"/>
      <c r="P19" s="65"/>
      <c r="Q19"/>
      <c r="R19"/>
      <c r="S19"/>
      <c r="T19"/>
      <c r="U19"/>
      <c r="V19"/>
      <c r="W19"/>
      <c r="X19" s="131"/>
      <c r="AH19" s="131"/>
      <c r="BF19" s="65"/>
      <c r="BG19" s="65"/>
      <c r="BH19" s="65"/>
      <c r="BI19" s="65"/>
      <c r="BJ19" s="65"/>
      <c r="BK19" s="65"/>
      <c r="BL19" s="65"/>
      <c r="BM19" s="65"/>
      <c r="BN19" s="65"/>
      <c r="BO19" s="65"/>
      <c r="BP19" s="65"/>
      <c r="BQ19" s="65"/>
      <c r="BR19" s="65"/>
      <c r="BS19" s="65"/>
    </row>
    <row r="20" spans="1:71" s="64" customFormat="1">
      <c r="A20" s="65"/>
      <c r="B20" s="187" t="str">
        <f t="shared" si="0"/>
        <v>WR8</v>
      </c>
      <c r="C20" s="98" t="s">
        <v>1646</v>
      </c>
      <c r="D20" s="513" t="s">
        <v>1647</v>
      </c>
      <c r="E20" s="514" t="s">
        <v>1042</v>
      </c>
      <c r="F20" s="92" t="s">
        <v>1637</v>
      </c>
      <c r="G20"/>
      <c r="H20" s="65"/>
      <c r="I20" s="65"/>
      <c r="J20" s="65"/>
      <c r="K20" s="65"/>
      <c r="L20" s="65"/>
      <c r="M20" s="65"/>
      <c r="N20" s="65"/>
      <c r="O20" s="65"/>
      <c r="P20" s="65"/>
      <c r="Q20"/>
      <c r="R20"/>
      <c r="S20"/>
      <c r="T20"/>
      <c r="U20"/>
      <c r="V20"/>
      <c r="W20"/>
      <c r="X20" s="131"/>
      <c r="AH20" s="131"/>
      <c r="BF20" s="65"/>
      <c r="BG20" s="65"/>
      <c r="BH20" s="65"/>
      <c r="BI20" s="65"/>
      <c r="BJ20" s="65"/>
      <c r="BK20" s="65"/>
      <c r="BL20" s="65"/>
      <c r="BM20" s="65"/>
      <c r="BN20" s="65"/>
      <c r="BO20" s="65"/>
      <c r="BP20" s="65"/>
      <c r="BQ20" s="65"/>
      <c r="BR20" s="65"/>
      <c r="BS20" s="65"/>
    </row>
    <row r="21" spans="1:71" s="64" customFormat="1">
      <c r="A21" s="65"/>
      <c r="B21" s="88" t="s">
        <v>1622</v>
      </c>
      <c r="C21" s="98" t="s">
        <v>1648</v>
      </c>
      <c r="D21" s="513" t="s">
        <v>1649</v>
      </c>
      <c r="E21" s="514" t="s">
        <v>1633</v>
      </c>
      <c r="F21" s="92" t="s">
        <v>1637</v>
      </c>
      <c r="G21"/>
      <c r="H21" s="65"/>
      <c r="I21" s="65"/>
      <c r="J21" s="65"/>
      <c r="K21" s="65"/>
      <c r="L21" s="65"/>
      <c r="M21" s="65"/>
      <c r="N21" s="65"/>
      <c r="O21" s="65"/>
      <c r="P21" s="65"/>
      <c r="Q21"/>
      <c r="R21"/>
      <c r="S21"/>
      <c r="T21"/>
      <c r="U21"/>
      <c r="V21"/>
      <c r="W21"/>
      <c r="X21" s="131"/>
      <c r="AH21" s="131"/>
      <c r="BF21" s="65"/>
      <c r="BG21" s="65"/>
      <c r="BH21" s="65"/>
      <c r="BI21" s="65"/>
      <c r="BJ21" s="65"/>
      <c r="BK21" s="65"/>
      <c r="BL21" s="65"/>
      <c r="BM21" s="65"/>
      <c r="BN21" s="65"/>
      <c r="BO21" s="65"/>
      <c r="BP21" s="65"/>
      <c r="BQ21" s="65"/>
      <c r="BR21" s="65"/>
      <c r="BS21" s="65"/>
    </row>
    <row r="22" spans="1:71" s="64" customFormat="1">
      <c r="A22" s="65"/>
      <c r="B22" s="101" t="str">
        <f>IF(G22="Disable","REMnd","WR8")</f>
        <v>WR8</v>
      </c>
      <c r="C22" s="188" t="s">
        <v>1650</v>
      </c>
      <c r="D22" s="514" t="s">
        <v>1651</v>
      </c>
      <c r="E22" s="147" t="str">
        <f t="shared" ref="E22:E26" si="1">DEC2HEX(Y22*2^7+Z22*2^6+AA22*2^5+AB22*2^4+AC22*2^3+AD22*2^2+AE22*2^1+AF22,2)</f>
        <v>FE</v>
      </c>
      <c r="F22" s="97" t="s">
        <v>1652</v>
      </c>
      <c r="G22" s="104" t="s">
        <v>721</v>
      </c>
      <c r="H22" s="190" t="s">
        <v>1653</v>
      </c>
      <c r="I22" s="104" t="s">
        <v>1654</v>
      </c>
      <c r="J22" s="190" t="s">
        <v>1655</v>
      </c>
      <c r="K22" s="104" t="s">
        <v>1654</v>
      </c>
      <c r="L22" s="190" t="s">
        <v>1656</v>
      </c>
      <c r="M22" s="104" t="s">
        <v>1654</v>
      </c>
      <c r="N22" s="190" t="s">
        <v>1657</v>
      </c>
      <c r="O22" s="104" t="s">
        <v>1654</v>
      </c>
      <c r="P22" s="191" t="s">
        <v>1658</v>
      </c>
      <c r="Q22" s="104" t="s">
        <v>1654</v>
      </c>
      <c r="R22" s="191" t="s">
        <v>1659</v>
      </c>
      <c r="S22" s="104" t="s">
        <v>1654</v>
      </c>
      <c r="T22" s="190" t="s">
        <v>1660</v>
      </c>
      <c r="U22" s="104" t="s">
        <v>1654</v>
      </c>
      <c r="V22" s="190" t="s">
        <v>1661</v>
      </c>
      <c r="W22" s="104" t="s">
        <v>1662</v>
      </c>
      <c r="X22" s="131"/>
      <c r="Y22" s="64">
        <f t="shared" ref="Y22:Y27" si="2">IF(I22="MASK Off",0,1)</f>
        <v>1</v>
      </c>
      <c r="Z22" s="64">
        <f t="shared" ref="Z22:Z27" si="3">IF(K22="MASK Off",0,1)</f>
        <v>1</v>
      </c>
      <c r="AA22" s="64">
        <f t="shared" ref="AA22:AA24" si="4">IF(M22="MASK Off",0,1)</f>
        <v>1</v>
      </c>
      <c r="AB22" s="64">
        <f t="shared" ref="AB22:AB27" si="5">IF(O22="MASK Off",0,1)</f>
        <v>1</v>
      </c>
      <c r="AC22" s="64">
        <f t="shared" ref="AC22:AC27" si="6">IF(Q22="MASK Off",0,1)</f>
        <v>1</v>
      </c>
      <c r="AD22" s="64">
        <f t="shared" ref="AD22:AD27" si="7">IF(S22="MASK Off",0,1)</f>
        <v>1</v>
      </c>
      <c r="AE22" s="64">
        <f t="shared" ref="AE22:AE27" si="8">IF(U22="MASK Off",0,1)</f>
        <v>1</v>
      </c>
      <c r="AF22" s="64">
        <f t="shared" ref="AF22:AF27" si="9">IF(W22="MASK Off",0,1)</f>
        <v>0</v>
      </c>
      <c r="AH22" s="131"/>
      <c r="BF22" s="65"/>
      <c r="BG22" s="65"/>
      <c r="BH22" s="65"/>
      <c r="BI22" s="65"/>
      <c r="BJ22" s="65"/>
      <c r="BK22" s="65"/>
      <c r="BL22" s="65"/>
      <c r="BM22" s="65"/>
      <c r="BN22" s="65"/>
      <c r="BO22" s="65"/>
      <c r="BP22" s="65"/>
      <c r="BQ22" s="65"/>
      <c r="BR22" s="65"/>
      <c r="BS22" s="65"/>
    </row>
    <row r="23" spans="1:71" s="64" customFormat="1">
      <c r="A23" s="65"/>
      <c r="B23" s="101" t="str">
        <f t="shared" ref="B23:B27" si="10">IF(G23="Disable","REMnd","WR8")</f>
        <v>REMnd</v>
      </c>
      <c r="C23" s="98" t="s">
        <v>1663</v>
      </c>
      <c r="D23" s="513" t="s">
        <v>1664</v>
      </c>
      <c r="E23" s="147" t="str">
        <f t="shared" si="1"/>
        <v>FF</v>
      </c>
      <c r="F23" s="92"/>
      <c r="G23" s="104" t="s">
        <v>780</v>
      </c>
      <c r="H23" s="191"/>
      <c r="I23" s="195"/>
      <c r="J23" s="191" t="s">
        <v>1665</v>
      </c>
      <c r="K23" s="104" t="s">
        <v>1654</v>
      </c>
      <c r="L23" s="191" t="s">
        <v>1666</v>
      </c>
      <c r="M23" s="104" t="s">
        <v>1654</v>
      </c>
      <c r="N23" s="191" t="s">
        <v>1667</v>
      </c>
      <c r="O23" s="104" t="s">
        <v>1654</v>
      </c>
      <c r="P23" s="191" t="s">
        <v>1668</v>
      </c>
      <c r="Q23" s="104" t="s">
        <v>1654</v>
      </c>
      <c r="R23" s="191" t="s">
        <v>1669</v>
      </c>
      <c r="S23" s="104" t="s">
        <v>1654</v>
      </c>
      <c r="T23" s="191" t="s">
        <v>1670</v>
      </c>
      <c r="U23" s="104" t="s">
        <v>1654</v>
      </c>
      <c r="V23" s="191" t="s">
        <v>1671</v>
      </c>
      <c r="W23" s="104" t="s">
        <v>1654</v>
      </c>
      <c r="X23" s="131"/>
      <c r="Y23" s="64">
        <f t="shared" si="2"/>
        <v>1</v>
      </c>
      <c r="Z23" s="64">
        <f t="shared" si="3"/>
        <v>1</v>
      </c>
      <c r="AA23" s="64">
        <f t="shared" si="4"/>
        <v>1</v>
      </c>
      <c r="AB23" s="64">
        <f t="shared" si="5"/>
        <v>1</v>
      </c>
      <c r="AC23" s="64">
        <f t="shared" si="6"/>
        <v>1</v>
      </c>
      <c r="AD23" s="64">
        <f t="shared" si="7"/>
        <v>1</v>
      </c>
      <c r="AE23" s="64">
        <f t="shared" si="8"/>
        <v>1</v>
      </c>
      <c r="AF23" s="64">
        <f t="shared" si="9"/>
        <v>1</v>
      </c>
      <c r="AH23" s="131"/>
      <c r="BF23" s="65"/>
      <c r="BG23" s="65"/>
      <c r="BH23" s="65"/>
      <c r="BI23" s="65"/>
      <c r="BJ23" s="65"/>
      <c r="BK23" s="65"/>
      <c r="BL23" s="65"/>
      <c r="BM23" s="65"/>
      <c r="BN23" s="65"/>
      <c r="BO23" s="65"/>
      <c r="BP23" s="65"/>
      <c r="BQ23" s="65"/>
      <c r="BR23" s="65"/>
      <c r="BS23" s="65"/>
    </row>
    <row r="24" spans="1:71" s="64" customFormat="1">
      <c r="A24" s="65"/>
      <c r="B24" s="187" t="str">
        <f t="shared" si="10"/>
        <v>REMnd</v>
      </c>
      <c r="C24" s="188" t="s">
        <v>1672</v>
      </c>
      <c r="D24" s="514" t="s">
        <v>1673</v>
      </c>
      <c r="E24" s="147" t="str">
        <f t="shared" si="1"/>
        <v>FF</v>
      </c>
      <c r="F24" s="97"/>
      <c r="G24" s="104" t="s">
        <v>780</v>
      </c>
      <c r="H24" s="191" t="s">
        <v>1674</v>
      </c>
      <c r="I24" s="104" t="s">
        <v>1654</v>
      </c>
      <c r="J24" s="190" t="s">
        <v>1675</v>
      </c>
      <c r="K24" s="104" t="s">
        <v>1654</v>
      </c>
      <c r="L24" s="190" t="s">
        <v>1676</v>
      </c>
      <c r="M24" s="104" t="s">
        <v>1654</v>
      </c>
      <c r="N24" s="190" t="s">
        <v>1677</v>
      </c>
      <c r="O24" s="104" t="s">
        <v>1654</v>
      </c>
      <c r="P24" s="190" t="s">
        <v>1678</v>
      </c>
      <c r="Q24" s="104" t="s">
        <v>1654</v>
      </c>
      <c r="R24" s="190" t="s">
        <v>1679</v>
      </c>
      <c r="S24" s="104" t="s">
        <v>1654</v>
      </c>
      <c r="T24" s="190" t="s">
        <v>1680</v>
      </c>
      <c r="U24" s="104" t="s">
        <v>1654</v>
      </c>
      <c r="V24" s="190" t="s">
        <v>1681</v>
      </c>
      <c r="W24" s="104" t="s">
        <v>1654</v>
      </c>
      <c r="X24" s="131"/>
      <c r="Y24" s="64">
        <f t="shared" si="2"/>
        <v>1</v>
      </c>
      <c r="Z24" s="64">
        <f t="shared" si="3"/>
        <v>1</v>
      </c>
      <c r="AA24" s="64">
        <f t="shared" si="4"/>
        <v>1</v>
      </c>
      <c r="AB24" s="64">
        <f t="shared" si="5"/>
        <v>1</v>
      </c>
      <c r="AC24" s="64">
        <f t="shared" si="6"/>
        <v>1</v>
      </c>
      <c r="AD24" s="64">
        <f t="shared" si="7"/>
        <v>1</v>
      </c>
      <c r="AE24" s="64">
        <f t="shared" si="8"/>
        <v>1</v>
      </c>
      <c r="AF24" s="64">
        <f t="shared" si="9"/>
        <v>1</v>
      </c>
      <c r="AH24" s="131"/>
      <c r="BF24" s="65"/>
      <c r="BG24" s="65"/>
      <c r="BH24" s="65"/>
      <c r="BI24" s="65"/>
      <c r="BJ24" s="65"/>
      <c r="BK24" s="65"/>
      <c r="BL24" s="65"/>
      <c r="BM24" s="65"/>
      <c r="BN24" s="65"/>
      <c r="BO24" s="65"/>
      <c r="BP24" s="65"/>
      <c r="BQ24" s="65"/>
      <c r="BR24" s="65"/>
      <c r="BS24" s="65"/>
    </row>
    <row r="25" spans="1:71" s="64" customFormat="1">
      <c r="A25" s="65"/>
      <c r="B25" s="101" t="str">
        <f t="shared" si="10"/>
        <v>REMnd</v>
      </c>
      <c r="C25" s="188" t="s">
        <v>1682</v>
      </c>
      <c r="D25" s="514" t="s">
        <v>1683</v>
      </c>
      <c r="E25" s="147" t="str">
        <f t="shared" si="1"/>
        <v>FF</v>
      </c>
      <c r="F25" s="97"/>
      <c r="G25" s="104" t="s">
        <v>780</v>
      </c>
      <c r="H25" s="190" t="s">
        <v>1684</v>
      </c>
      <c r="I25" s="104" t="s">
        <v>1654</v>
      </c>
      <c r="J25" s="191" t="s">
        <v>1685</v>
      </c>
      <c r="K25" s="104" t="s">
        <v>1654</v>
      </c>
      <c r="L25" s="178" t="s">
        <v>1686</v>
      </c>
      <c r="M25" s="196"/>
      <c r="N25" s="190" t="s">
        <v>1687</v>
      </c>
      <c r="O25" s="104" t="s">
        <v>1654</v>
      </c>
      <c r="P25" s="190" t="s">
        <v>1688</v>
      </c>
      <c r="Q25" s="104" t="s">
        <v>1654</v>
      </c>
      <c r="R25" s="197" t="s">
        <v>1689</v>
      </c>
      <c r="S25" s="104" t="s">
        <v>1654</v>
      </c>
      <c r="T25" s="190" t="s">
        <v>1690</v>
      </c>
      <c r="U25" s="104" t="s">
        <v>1654</v>
      </c>
      <c r="V25" s="190" t="s">
        <v>1691</v>
      </c>
      <c r="W25" s="104" t="s">
        <v>1654</v>
      </c>
      <c r="X25" s="131"/>
      <c r="Y25" s="64">
        <f t="shared" si="2"/>
        <v>1</v>
      </c>
      <c r="Z25" s="64">
        <f t="shared" si="3"/>
        <v>1</v>
      </c>
      <c r="AA25" s="64">
        <v>1</v>
      </c>
      <c r="AB25" s="64">
        <f t="shared" si="5"/>
        <v>1</v>
      </c>
      <c r="AC25" s="64">
        <f t="shared" si="6"/>
        <v>1</v>
      </c>
      <c r="AD25" s="64">
        <f t="shared" si="7"/>
        <v>1</v>
      </c>
      <c r="AE25" s="64">
        <f t="shared" si="8"/>
        <v>1</v>
      </c>
      <c r="AF25" s="64">
        <f t="shared" si="9"/>
        <v>1</v>
      </c>
      <c r="AH25" s="131"/>
      <c r="BF25" s="65"/>
      <c r="BG25" s="65"/>
      <c r="BH25" s="65"/>
      <c r="BI25" s="65"/>
      <c r="BJ25" s="65"/>
      <c r="BK25" s="65"/>
      <c r="BL25" s="65"/>
      <c r="BM25" s="65"/>
      <c r="BN25" s="65"/>
      <c r="BO25" s="65"/>
      <c r="BP25" s="65"/>
      <c r="BQ25" s="65"/>
      <c r="BR25" s="65"/>
      <c r="BS25" s="65"/>
    </row>
    <row r="26" spans="1:71" s="64" customFormat="1">
      <c r="A26" s="65"/>
      <c r="B26" s="101" t="str">
        <f t="shared" si="10"/>
        <v>REMnd</v>
      </c>
      <c r="C26" s="188" t="s">
        <v>1692</v>
      </c>
      <c r="D26" s="514" t="s">
        <v>1693</v>
      </c>
      <c r="E26" s="147" t="str">
        <f t="shared" si="1"/>
        <v>FF</v>
      </c>
      <c r="F26" s="97"/>
      <c r="G26" s="104" t="s">
        <v>780</v>
      </c>
      <c r="H26" s="190" t="s">
        <v>1694</v>
      </c>
      <c r="I26" s="104" t="s">
        <v>1654</v>
      </c>
      <c r="J26" s="190" t="s">
        <v>1695</v>
      </c>
      <c r="K26" s="104" t="s">
        <v>1654</v>
      </c>
      <c r="L26" s="190" t="s">
        <v>1696</v>
      </c>
      <c r="M26" s="104" t="s">
        <v>1654</v>
      </c>
      <c r="N26" s="190" t="s">
        <v>1697</v>
      </c>
      <c r="O26" s="104" t="s">
        <v>1654</v>
      </c>
      <c r="P26" s="190" t="s">
        <v>1698</v>
      </c>
      <c r="Q26" s="104" t="s">
        <v>1654</v>
      </c>
      <c r="R26" s="190" t="s">
        <v>1699</v>
      </c>
      <c r="S26" s="104" t="s">
        <v>1654</v>
      </c>
      <c r="T26" s="190" t="s">
        <v>1700</v>
      </c>
      <c r="U26" s="104" t="s">
        <v>1654</v>
      </c>
      <c r="V26" s="190" t="s">
        <v>1701</v>
      </c>
      <c r="W26" s="104" t="s">
        <v>1654</v>
      </c>
      <c r="X26" s="131"/>
      <c r="Y26" s="64">
        <f t="shared" si="2"/>
        <v>1</v>
      </c>
      <c r="Z26" s="64">
        <f t="shared" si="3"/>
        <v>1</v>
      </c>
      <c r="AA26" s="64">
        <f>IF(M26="MASK Off",0,1)</f>
        <v>1</v>
      </c>
      <c r="AB26" s="64">
        <f t="shared" si="5"/>
        <v>1</v>
      </c>
      <c r="AC26" s="64">
        <f t="shared" si="6"/>
        <v>1</v>
      </c>
      <c r="AD26" s="64">
        <f t="shared" si="7"/>
        <v>1</v>
      </c>
      <c r="AE26" s="64">
        <f t="shared" si="8"/>
        <v>1</v>
      </c>
      <c r="AF26" s="64">
        <f t="shared" si="9"/>
        <v>1</v>
      </c>
      <c r="AH26" s="131"/>
      <c r="BF26" s="65"/>
      <c r="BG26" s="65"/>
      <c r="BH26" s="65"/>
      <c r="BI26" s="65"/>
      <c r="BJ26" s="65"/>
      <c r="BK26" s="65"/>
      <c r="BL26" s="65"/>
      <c r="BM26" s="65"/>
      <c r="BN26" s="65"/>
      <c r="BO26" s="65"/>
      <c r="BP26" s="65"/>
      <c r="BQ26" s="65"/>
      <c r="BR26" s="65"/>
      <c r="BS26" s="65"/>
    </row>
    <row r="27" spans="1:71" s="64" customFormat="1">
      <c r="A27" s="65"/>
      <c r="B27" s="101" t="str">
        <f t="shared" si="10"/>
        <v>WR8</v>
      </c>
      <c r="C27" s="188" t="s">
        <v>1702</v>
      </c>
      <c r="D27" s="514" t="s">
        <v>1703</v>
      </c>
      <c r="E27" s="147" t="str">
        <f t="shared" ref="E27" si="11">DEC2HEX(Y27*2^7+Z27*2^6+AA27*2^5+AB27*2^4+AC27*2^3+AD27*2^2+AE27*2^1+AF27,2)</f>
        <v>FD</v>
      </c>
      <c r="F27" s="97"/>
      <c r="G27" s="104" t="s">
        <v>721</v>
      </c>
      <c r="H27" s="190" t="s">
        <v>1704</v>
      </c>
      <c r="I27" s="104" t="s">
        <v>1654</v>
      </c>
      <c r="J27" s="190" t="s">
        <v>1705</v>
      </c>
      <c r="K27" s="104" t="s">
        <v>1654</v>
      </c>
      <c r="L27" s="190" t="s">
        <v>1706</v>
      </c>
      <c r="M27" s="104" t="s">
        <v>1654</v>
      </c>
      <c r="N27" s="190" t="s">
        <v>1707</v>
      </c>
      <c r="O27" s="104" t="s">
        <v>1654</v>
      </c>
      <c r="P27" s="190" t="s">
        <v>1708</v>
      </c>
      <c r="Q27" s="104" t="s">
        <v>1654</v>
      </c>
      <c r="R27" s="191" t="s">
        <v>1659</v>
      </c>
      <c r="S27" s="104" t="s">
        <v>1654</v>
      </c>
      <c r="T27" s="190" t="s">
        <v>1709</v>
      </c>
      <c r="U27" s="104" t="s">
        <v>1662</v>
      </c>
      <c r="V27" s="190" t="s">
        <v>1710</v>
      </c>
      <c r="W27" s="104" t="s">
        <v>1654</v>
      </c>
      <c r="X27" s="131"/>
      <c r="Y27" s="64">
        <f t="shared" si="2"/>
        <v>1</v>
      </c>
      <c r="Z27" s="64">
        <f t="shared" si="3"/>
        <v>1</v>
      </c>
      <c r="AA27" s="64">
        <f>IF(M27="MASK Off",0,1)</f>
        <v>1</v>
      </c>
      <c r="AB27" s="64">
        <f t="shared" si="5"/>
        <v>1</v>
      </c>
      <c r="AC27" s="64">
        <f t="shared" si="6"/>
        <v>1</v>
      </c>
      <c r="AD27" s="64">
        <f t="shared" si="7"/>
        <v>1</v>
      </c>
      <c r="AE27" s="64">
        <f t="shared" si="8"/>
        <v>0</v>
      </c>
      <c r="AF27" s="64">
        <f t="shared" si="9"/>
        <v>1</v>
      </c>
      <c r="AH27" s="131"/>
      <c r="BF27" s="65"/>
      <c r="BG27" s="65"/>
      <c r="BH27" s="65"/>
      <c r="BI27" s="65"/>
      <c r="BJ27" s="65"/>
      <c r="BK27" s="65"/>
      <c r="BL27" s="65"/>
      <c r="BM27" s="65"/>
      <c r="BN27" s="65"/>
      <c r="BO27" s="65"/>
      <c r="BP27" s="65"/>
      <c r="BQ27" s="65"/>
      <c r="BR27" s="65"/>
      <c r="BS27" s="65"/>
    </row>
    <row r="28" spans="1:71" s="64" customFormat="1">
      <c r="A28" s="65"/>
      <c r="B28" s="84" t="s">
        <v>1032</v>
      </c>
      <c r="C28" s="163" t="s">
        <v>1711</v>
      </c>
      <c r="D28" s="164"/>
      <c r="E28" s="165"/>
      <c r="F28" s="87"/>
      <c r="G28"/>
      <c r="H28"/>
      <c r="I28"/>
      <c r="J28"/>
      <c r="K28"/>
      <c r="L28"/>
      <c r="M28"/>
      <c r="N28"/>
      <c r="O28"/>
      <c r="P28"/>
      <c r="Q28"/>
      <c r="R28"/>
      <c r="S28"/>
      <c r="T28"/>
      <c r="U28"/>
      <c r="V28"/>
      <c r="W28"/>
      <c r="X28" s="131"/>
      <c r="AH28" s="131"/>
      <c r="BF28" s="65"/>
      <c r="BG28" s="65"/>
      <c r="BH28" s="65"/>
      <c r="BI28" s="65"/>
      <c r="BJ28" s="65"/>
      <c r="BK28" s="65"/>
      <c r="BL28" s="65"/>
      <c r="BM28" s="65"/>
      <c r="BN28" s="65"/>
      <c r="BO28" s="65"/>
      <c r="BP28" s="65"/>
      <c r="BQ28" s="65"/>
      <c r="BR28" s="65"/>
      <c r="BS28" s="65"/>
    </row>
    <row r="29" spans="1:71" s="64" customFormat="1">
      <c r="A29" s="65"/>
      <c r="B29" s="93" t="s">
        <v>1035</v>
      </c>
      <c r="C29" s="89" t="s">
        <v>1712</v>
      </c>
      <c r="D29" s="510" t="s">
        <v>1713</v>
      </c>
      <c r="E29" s="91" t="str">
        <f t="shared" ref="E29:E33" si="12">DEC2HEX(AW29*2^7+AX29*2^6+AY29*2^5+AZ29*2^4+BA29*2^3+BB29*2^2+BC29*2^1+BD29*2^0,2)</f>
        <v>03</v>
      </c>
      <c r="F29" s="97"/>
      <c r="G29"/>
      <c r="H29" s="178" t="s">
        <v>1714</v>
      </c>
      <c r="I29" s="196"/>
      <c r="J29" s="178" t="s">
        <v>1715</v>
      </c>
      <c r="K29" s="196"/>
      <c r="L29" s="178" t="s">
        <v>1686</v>
      </c>
      <c r="M29" s="196"/>
      <c r="N29" s="178" t="s">
        <v>1716</v>
      </c>
      <c r="O29" s="196"/>
      <c r="P29" s="178" t="s">
        <v>1717</v>
      </c>
      <c r="Q29" s="196"/>
      <c r="R29" s="178" t="s">
        <v>1718</v>
      </c>
      <c r="S29" s="196"/>
      <c r="T29" s="178" t="s">
        <v>1719</v>
      </c>
      <c r="U29" s="196"/>
      <c r="V29" s="190" t="s">
        <v>1720</v>
      </c>
      <c r="W29" s="104" t="s">
        <v>1721</v>
      </c>
      <c r="X29" s="131"/>
      <c r="AH29" s="131"/>
      <c r="AW29" s="64">
        <v>0</v>
      </c>
      <c r="AX29" s="64">
        <v>0</v>
      </c>
      <c r="AY29" s="64">
        <v>0</v>
      </c>
      <c r="AZ29" s="64">
        <v>0</v>
      </c>
      <c r="BA29" s="64">
        <v>0</v>
      </c>
      <c r="BB29" s="64">
        <v>0</v>
      </c>
      <c r="BC29" s="64">
        <v>1</v>
      </c>
      <c r="BD29" s="64">
        <f>IF(W29="Manual",0,1)</f>
        <v>1</v>
      </c>
      <c r="BF29" s="65"/>
      <c r="BG29" s="65"/>
      <c r="BH29" s="65"/>
      <c r="BI29" s="65"/>
      <c r="BJ29" s="65"/>
      <c r="BK29" s="65"/>
      <c r="BL29" s="65"/>
      <c r="BM29" s="65"/>
      <c r="BN29" s="65"/>
      <c r="BO29" s="65"/>
      <c r="BP29" s="65"/>
      <c r="BQ29" s="65"/>
      <c r="BR29" s="65"/>
      <c r="BS29" s="65"/>
    </row>
    <row r="30" spans="1:71" s="64" customFormat="1">
      <c r="A30" s="65"/>
      <c r="B30" s="93" t="s">
        <v>1035</v>
      </c>
      <c r="C30" s="89" t="s">
        <v>1722</v>
      </c>
      <c r="D30" s="510" t="s">
        <v>1723</v>
      </c>
      <c r="E30" s="91" t="str">
        <f t="shared" si="12"/>
        <v>3F</v>
      </c>
      <c r="F30" s="97"/>
      <c r="G30"/>
      <c r="H30" s="178" t="s">
        <v>1714</v>
      </c>
      <c r="I30" s="196"/>
      <c r="J30" s="178" t="s">
        <v>1715</v>
      </c>
      <c r="K30" s="196"/>
      <c r="L30" s="178" t="s">
        <v>1686</v>
      </c>
      <c r="M30" s="196"/>
      <c r="N30" s="178" t="s">
        <v>1716</v>
      </c>
      <c r="O30" s="196"/>
      <c r="P30" s="178" t="s">
        <v>1717</v>
      </c>
      <c r="Q30" s="196"/>
      <c r="R30" s="178" t="s">
        <v>1718</v>
      </c>
      <c r="S30" s="196"/>
      <c r="T30" s="178" t="s">
        <v>1719</v>
      </c>
      <c r="U30" s="196"/>
      <c r="V30" s="190" t="s">
        <v>1724</v>
      </c>
      <c r="W30" s="104" t="s">
        <v>1725</v>
      </c>
      <c r="X30" s="131"/>
      <c r="AH30" s="131"/>
      <c r="AW30" s="64">
        <v>0</v>
      </c>
      <c r="AX30" s="64">
        <v>0</v>
      </c>
      <c r="AY30" s="64">
        <v>1</v>
      </c>
      <c r="AZ30" s="64">
        <v>1</v>
      </c>
      <c r="BA30" s="64">
        <v>1</v>
      </c>
      <c r="BB30" s="64">
        <v>1</v>
      </c>
      <c r="BC30" s="64">
        <v>1</v>
      </c>
      <c r="BD30" s="64">
        <f>IF(W30="Suspend",0,1)</f>
        <v>1</v>
      </c>
      <c r="BF30" s="65"/>
      <c r="BG30" s="65"/>
      <c r="BH30" s="65"/>
      <c r="BI30" s="65"/>
      <c r="BJ30" s="65"/>
      <c r="BK30" s="65"/>
      <c r="BL30" s="65"/>
      <c r="BM30" s="65"/>
      <c r="BN30" s="65"/>
      <c r="BO30" s="65"/>
      <c r="BP30" s="65"/>
      <c r="BQ30" s="65"/>
      <c r="BR30" s="65"/>
      <c r="BS30" s="65"/>
    </row>
    <row r="31" spans="1:71" s="64" customFormat="1">
      <c r="A31" s="65"/>
      <c r="B31" s="93" t="s">
        <v>1035</v>
      </c>
      <c r="C31" s="89" t="s">
        <v>1726</v>
      </c>
      <c r="D31" s="510" t="s">
        <v>1727</v>
      </c>
      <c r="E31" s="91" t="str">
        <f t="shared" si="12"/>
        <v>07</v>
      </c>
      <c r="F31" s="97"/>
      <c r="G31"/>
      <c r="H31"/>
      <c r="I31"/>
      <c r="J31"/>
      <c r="K31"/>
      <c r="L31"/>
      <c r="M31"/>
      <c r="N31"/>
      <c r="O31"/>
      <c r="P31"/>
      <c r="Q31"/>
      <c r="R31"/>
      <c r="S31"/>
      <c r="T31"/>
      <c r="U31"/>
      <c r="V31"/>
      <c r="W31"/>
      <c r="X31" s="131"/>
      <c r="AH31" s="131"/>
      <c r="AW31" s="64">
        <v>0</v>
      </c>
      <c r="AX31" s="64">
        <v>0</v>
      </c>
      <c r="AY31" s="64">
        <v>0</v>
      </c>
      <c r="AZ31" s="64">
        <v>0</v>
      </c>
      <c r="BA31" s="64">
        <v>0</v>
      </c>
      <c r="BB31" s="64">
        <v>1</v>
      </c>
      <c r="BC31" s="64">
        <v>1</v>
      </c>
      <c r="BD31" s="64">
        <f>IF(Main_Parameters!J24="Enable",0,1)</f>
        <v>1</v>
      </c>
      <c r="BF31" s="65"/>
      <c r="BG31" s="65"/>
      <c r="BH31" s="65"/>
      <c r="BI31" s="65"/>
      <c r="BJ31" s="65"/>
      <c r="BK31" s="65"/>
      <c r="BL31" s="65"/>
      <c r="BM31" s="65"/>
      <c r="BN31" s="65"/>
      <c r="BO31" s="65"/>
      <c r="BP31" s="65"/>
      <c r="BQ31" s="65"/>
      <c r="BR31" s="65"/>
      <c r="BS31" s="65"/>
    </row>
    <row r="32" spans="1:71" s="64" customFormat="1">
      <c r="A32" s="65"/>
      <c r="B32" s="93" t="s">
        <v>1035</v>
      </c>
      <c r="C32" s="89" t="s">
        <v>1728</v>
      </c>
      <c r="D32" s="510" t="s">
        <v>1729</v>
      </c>
      <c r="E32" s="91" t="str">
        <f t="shared" si="12"/>
        <v>31</v>
      </c>
      <c r="F32" s="97"/>
      <c r="G32"/>
      <c r="H32" s="178" t="s">
        <v>1714</v>
      </c>
      <c r="I32" s="196"/>
      <c r="J32" s="178" t="s">
        <v>1715</v>
      </c>
      <c r="K32" s="196"/>
      <c r="L32" s="600" t="s">
        <v>1730</v>
      </c>
      <c r="M32" s="601"/>
      <c r="N32" s="602"/>
      <c r="O32" s="104" t="s">
        <v>1725</v>
      </c>
      <c r="P32" s="178" t="s">
        <v>1717</v>
      </c>
      <c r="Q32" s="196"/>
      <c r="R32" s="178" t="s">
        <v>1718</v>
      </c>
      <c r="S32" s="196"/>
      <c r="T32" s="178" t="s">
        <v>1719</v>
      </c>
      <c r="U32" s="196"/>
      <c r="V32" s="190" t="s">
        <v>1731</v>
      </c>
      <c r="W32" s="104" t="s">
        <v>1732</v>
      </c>
      <c r="X32" s="131"/>
      <c r="AH32" s="131"/>
      <c r="AW32" s="64">
        <v>0</v>
      </c>
      <c r="AX32" s="64">
        <v>0</v>
      </c>
      <c r="AY32" s="64">
        <v>0</v>
      </c>
      <c r="AZ32" s="64">
        <f>IF(O32="HiZ",0,IF(O32="L-Fix",1,IF(O32="H-Fix",2,3)))</f>
        <v>3</v>
      </c>
      <c r="BA32" s="64">
        <v>0</v>
      </c>
      <c r="BB32" s="64">
        <v>0</v>
      </c>
      <c r="BC32" s="64">
        <v>0</v>
      </c>
      <c r="BD32" s="64">
        <f>IF(W32="OFF",0,1)</f>
        <v>1</v>
      </c>
      <c r="BF32" s="65"/>
      <c r="BG32" s="65"/>
      <c r="BH32" s="65"/>
      <c r="BI32" s="65"/>
      <c r="BJ32" s="65"/>
      <c r="BK32" s="65"/>
      <c r="BL32" s="65"/>
      <c r="BM32" s="65"/>
      <c r="BN32" s="65"/>
      <c r="BO32" s="65"/>
      <c r="BP32" s="65"/>
      <c r="BQ32" s="65"/>
      <c r="BR32" s="65"/>
      <c r="BS32" s="65"/>
    </row>
    <row r="33" spans="1:71" s="64" customFormat="1">
      <c r="A33" s="65"/>
      <c r="B33" s="93" t="s">
        <v>1035</v>
      </c>
      <c r="C33" s="89" t="s">
        <v>1733</v>
      </c>
      <c r="D33" s="510" t="s">
        <v>1734</v>
      </c>
      <c r="E33" s="91" t="str">
        <f t="shared" si="12"/>
        <v>01</v>
      </c>
      <c r="F33" s="97"/>
      <c r="G33"/>
      <c r="H33" s="178" t="s">
        <v>1714</v>
      </c>
      <c r="I33" s="196"/>
      <c r="J33" s="178" t="s">
        <v>1715</v>
      </c>
      <c r="K33" s="196"/>
      <c r="L33" s="178" t="s">
        <v>1686</v>
      </c>
      <c r="M33" s="196"/>
      <c r="N33" s="178" t="s">
        <v>1716</v>
      </c>
      <c r="O33" s="196"/>
      <c r="P33" s="178" t="s">
        <v>1717</v>
      </c>
      <c r="Q33" s="196"/>
      <c r="R33" s="178" t="s">
        <v>1718</v>
      </c>
      <c r="S33" s="196"/>
      <c r="T33" s="178" t="s">
        <v>1719</v>
      </c>
      <c r="U33" s="196"/>
      <c r="V33" s="190" t="s">
        <v>1735</v>
      </c>
      <c r="W33" s="104" t="s">
        <v>1725</v>
      </c>
      <c r="X33" s="131"/>
      <c r="AH33" s="131"/>
      <c r="AW33" s="64">
        <v>0</v>
      </c>
      <c r="AX33" s="64">
        <v>0</v>
      </c>
      <c r="AY33" s="64">
        <v>0</v>
      </c>
      <c r="AZ33" s="64">
        <v>0</v>
      </c>
      <c r="BA33" s="64">
        <v>0</v>
      </c>
      <c r="BB33" s="64">
        <v>0</v>
      </c>
      <c r="BC33" s="64">
        <v>0</v>
      </c>
      <c r="BD33" s="64">
        <f>IF(W33="PDOWN",0,1)</f>
        <v>1</v>
      </c>
      <c r="BF33" s="65"/>
      <c r="BG33" s="65"/>
      <c r="BH33" s="65"/>
      <c r="BI33" s="65"/>
      <c r="BJ33" s="65"/>
      <c r="BK33" s="65"/>
      <c r="BL33" s="65"/>
      <c r="BM33" s="65"/>
      <c r="BN33" s="65"/>
      <c r="BO33" s="65"/>
      <c r="BP33" s="65"/>
      <c r="BQ33" s="65"/>
      <c r="BR33" s="65"/>
      <c r="BS33" s="65"/>
    </row>
    <row r="34" spans="1:71" s="64" customFormat="1">
      <c r="A34" s="65"/>
      <c r="B34" s="84" t="s">
        <v>1032</v>
      </c>
      <c r="C34" s="163" t="s">
        <v>1736</v>
      </c>
      <c r="D34" s="164"/>
      <c r="E34" s="165"/>
      <c r="F34" s="87"/>
      <c r="G34"/>
      <c r="H34"/>
      <c r="I34"/>
      <c r="J34"/>
      <c r="K34"/>
      <c r="L34"/>
      <c r="M34"/>
      <c r="N34"/>
      <c r="O34"/>
      <c r="P34"/>
      <c r="Q34"/>
      <c r="R34"/>
      <c r="S34"/>
      <c r="T34"/>
      <c r="U34"/>
      <c r="V34"/>
      <c r="W34"/>
      <c r="X34" s="131"/>
      <c r="AH34" s="131"/>
      <c r="BF34" s="65"/>
      <c r="BG34" s="65"/>
      <c r="BH34" s="65"/>
      <c r="BI34" s="65"/>
      <c r="BJ34" s="65"/>
      <c r="BK34" s="65"/>
      <c r="BL34" s="65"/>
      <c r="BM34" s="65"/>
      <c r="BN34" s="65"/>
      <c r="BO34" s="65"/>
      <c r="BP34" s="65"/>
      <c r="BQ34" s="65"/>
      <c r="BR34" s="65"/>
      <c r="BS34" s="65"/>
    </row>
    <row r="35" spans="1:71" s="64" customFormat="1">
      <c r="A35" s="65"/>
      <c r="B35" s="93" t="s">
        <v>1622</v>
      </c>
      <c r="C35" s="89" t="s">
        <v>1737</v>
      </c>
      <c r="D35" s="514" t="s">
        <v>1738</v>
      </c>
      <c r="E35" s="91" t="str">
        <f>DEC2HEX(Main_Parameters!$C$72*100,4)</f>
        <v>12C0</v>
      </c>
      <c r="F35" s="97"/>
      <c r="G35"/>
      <c r="H35"/>
      <c r="I35"/>
      <c r="J35"/>
      <c r="K35"/>
      <c r="L35"/>
      <c r="M35"/>
      <c r="N35"/>
      <c r="O35"/>
      <c r="P35"/>
      <c r="Q35"/>
      <c r="R35"/>
      <c r="S35"/>
      <c r="T35"/>
      <c r="U35"/>
      <c r="V35"/>
      <c r="W35"/>
      <c r="X35" s="131"/>
      <c r="AH35" s="131"/>
      <c r="BF35" s="65"/>
      <c r="BG35" s="65"/>
      <c r="BH35" s="65"/>
      <c r="BI35" s="65"/>
      <c r="BJ35" s="65"/>
      <c r="BK35" s="65"/>
      <c r="BL35" s="65"/>
      <c r="BM35" s="65"/>
      <c r="BN35" s="65"/>
      <c r="BO35" s="65"/>
      <c r="BP35" s="65"/>
      <c r="BQ35" s="65"/>
      <c r="BR35" s="65"/>
      <c r="BS35" s="65"/>
    </row>
    <row r="36" spans="1:71" s="64" customFormat="1">
      <c r="A36" s="65"/>
      <c r="B36" s="93" t="s">
        <v>1035</v>
      </c>
      <c r="C36" s="89" t="s">
        <v>1739</v>
      </c>
      <c r="D36" s="514" t="s">
        <v>1740</v>
      </c>
      <c r="E36" s="91" t="str">
        <f>DEC2HEX(MOD(Main_Parameters!$C$72*10000,256),2)</f>
        <v>00</v>
      </c>
      <c r="F36" s="97"/>
      <c r="G36"/>
      <c r="H36"/>
      <c r="I36"/>
      <c r="J36"/>
      <c r="K36"/>
      <c r="L36"/>
      <c r="M36"/>
      <c r="N36"/>
      <c r="O36"/>
      <c r="P36"/>
      <c r="Q36"/>
      <c r="R36"/>
      <c r="S36"/>
      <c r="T36"/>
      <c r="U36"/>
      <c r="V36"/>
      <c r="W36"/>
      <c r="X36" s="131"/>
      <c r="AH36" s="131"/>
      <c r="BF36" s="65"/>
      <c r="BG36" s="65"/>
      <c r="BH36" s="65"/>
      <c r="BI36" s="65"/>
      <c r="BJ36" s="65"/>
      <c r="BK36" s="65"/>
      <c r="BL36" s="65"/>
      <c r="BM36" s="65"/>
      <c r="BN36" s="65"/>
      <c r="BO36" s="65"/>
      <c r="BP36" s="65"/>
      <c r="BQ36" s="65"/>
      <c r="BR36" s="65"/>
      <c r="BS36" s="65"/>
    </row>
    <row r="37" spans="1:71" s="64" customFormat="1">
      <c r="A37" s="65"/>
      <c r="B37" s="93" t="s">
        <v>1622</v>
      </c>
      <c r="C37" s="89" t="s">
        <v>1741</v>
      </c>
      <c r="D37" s="514" t="s">
        <v>1742</v>
      </c>
      <c r="E37" s="91" t="str">
        <f>DEC2HEX(INT(Main_Parameters!$C$72*10000/256),4)</f>
        <v>0753</v>
      </c>
      <c r="F37" s="97"/>
      <c r="G37"/>
      <c r="H37"/>
      <c r="I37"/>
      <c r="J37"/>
      <c r="K37"/>
      <c r="L37"/>
      <c r="M37"/>
      <c r="N37"/>
      <c r="O37"/>
      <c r="P37"/>
      <c r="Q37"/>
      <c r="R37"/>
      <c r="S37"/>
      <c r="T37"/>
      <c r="U37"/>
      <c r="V37"/>
      <c r="W37"/>
      <c r="X37" s="131"/>
      <c r="AH37" s="131"/>
      <c r="BF37" s="65"/>
      <c r="BG37" s="65"/>
      <c r="BH37" s="65"/>
      <c r="BI37" s="65"/>
      <c r="BJ37" s="65"/>
      <c r="BK37" s="65"/>
      <c r="BL37" s="65"/>
      <c r="BM37" s="65"/>
      <c r="BN37" s="65"/>
      <c r="BO37" s="65"/>
      <c r="BP37" s="65"/>
      <c r="BQ37" s="65"/>
      <c r="BR37" s="65"/>
      <c r="BS37" s="65"/>
    </row>
    <row r="38" spans="1:71" s="64" customFormat="1">
      <c r="A38" s="65"/>
      <c r="B38" s="93" t="s">
        <v>1035</v>
      </c>
      <c r="C38" s="89" t="s">
        <v>1743</v>
      </c>
      <c r="D38" s="514" t="s">
        <v>1744</v>
      </c>
      <c r="E38" s="91" t="str">
        <f>IF(Main_Parameters!$C$72=42,"00","02")</f>
        <v>02</v>
      </c>
      <c r="F38" s="97"/>
      <c r="G38"/>
      <c r="H38"/>
      <c r="I38"/>
      <c r="J38"/>
      <c r="K38"/>
      <c r="L38"/>
      <c r="M38"/>
      <c r="N38"/>
      <c r="O38"/>
      <c r="P38"/>
      <c r="Q38"/>
      <c r="R38"/>
      <c r="S38"/>
      <c r="T38"/>
      <c r="U38"/>
      <c r="V38"/>
      <c r="W38"/>
      <c r="X38" s="131"/>
      <c r="AH38" s="131"/>
      <c r="BF38" s="65"/>
      <c r="BG38" s="65"/>
      <c r="BH38" s="65"/>
      <c r="BI38" s="65"/>
      <c r="BJ38" s="65"/>
      <c r="BK38" s="65"/>
      <c r="BL38" s="65"/>
      <c r="BM38" s="65"/>
      <c r="BN38" s="65"/>
      <c r="BO38" s="65"/>
      <c r="BP38" s="65"/>
      <c r="BQ38" s="65"/>
      <c r="BR38" s="65"/>
      <c r="BS38" s="65"/>
    </row>
    <row r="39" spans="1:71" s="64" customFormat="1">
      <c r="A39" s="65"/>
      <c r="B39" s="93" t="s">
        <v>1622</v>
      </c>
      <c r="C39" s="89" t="s">
        <v>1745</v>
      </c>
      <c r="D39" s="514" t="s">
        <v>1746</v>
      </c>
      <c r="E39" s="91" t="str">
        <f>DEC2HEX(Main_Parameters!$C$72*100,4)</f>
        <v>12C0</v>
      </c>
      <c r="F39" s="97"/>
      <c r="G39"/>
      <c r="H39"/>
      <c r="I39"/>
      <c r="J39"/>
      <c r="K39"/>
      <c r="L39"/>
      <c r="M39"/>
      <c r="N39"/>
      <c r="O39"/>
      <c r="P39"/>
      <c r="Q39"/>
      <c r="R39"/>
      <c r="S39"/>
      <c r="T39"/>
      <c r="U39"/>
      <c r="V39"/>
      <c r="W39"/>
      <c r="X39" s="131"/>
      <c r="AH39" s="131"/>
      <c r="BF39" s="65"/>
      <c r="BG39" s="65"/>
      <c r="BH39" s="65"/>
      <c r="BI39" s="65"/>
      <c r="BJ39" s="65"/>
      <c r="BK39" s="65"/>
      <c r="BL39" s="65"/>
      <c r="BM39" s="65"/>
      <c r="BN39" s="65"/>
      <c r="BO39" s="65"/>
      <c r="BP39" s="65"/>
      <c r="BQ39" s="65"/>
      <c r="BR39" s="65"/>
      <c r="BS39" s="65"/>
    </row>
    <row r="40" spans="1:71" s="64" customFormat="1">
      <c r="A40" s="65"/>
      <c r="B40" s="84" t="s">
        <v>1032</v>
      </c>
      <c r="C40" s="163" t="s">
        <v>4</v>
      </c>
      <c r="D40" s="164"/>
      <c r="E40" s="165"/>
      <c r="F40" s="87"/>
      <c r="G40"/>
      <c r="H40"/>
      <c r="I40"/>
      <c r="J40"/>
      <c r="K40"/>
      <c r="L40"/>
      <c r="M40"/>
      <c r="N40"/>
      <c r="O40"/>
      <c r="P40"/>
      <c r="Q40"/>
      <c r="R40"/>
      <c r="S40"/>
      <c r="T40"/>
      <c r="U40"/>
      <c r="V40"/>
      <c r="W40"/>
      <c r="X40" s="131"/>
      <c r="AH40" s="131"/>
      <c r="BF40" s="65"/>
      <c r="BG40" s="65"/>
      <c r="BH40" s="65"/>
      <c r="BI40" s="65"/>
      <c r="BJ40" s="65"/>
      <c r="BK40" s="65"/>
      <c r="BL40" s="65"/>
      <c r="BM40" s="65"/>
      <c r="BN40" s="65"/>
      <c r="BO40" s="65"/>
      <c r="BP40" s="65"/>
      <c r="BQ40" s="65"/>
      <c r="BR40" s="65"/>
      <c r="BS40" s="65"/>
    </row>
    <row r="41" spans="1:71" s="64" customFormat="1">
      <c r="A41" s="65"/>
      <c r="B41" s="93" t="s">
        <v>1035</v>
      </c>
      <c r="C41" s="89" t="s">
        <v>1747</v>
      </c>
      <c r="D41" s="510" t="s">
        <v>1748</v>
      </c>
      <c r="E41" s="147" t="str">
        <f>DEC2HEX(Y41*2^7+Z41*2^6+AA41*2^5+AB41*2^4+AC41*2^3+AD41*2^2+AE41*2^1+AF41,2)</f>
        <v>01</v>
      </c>
      <c r="F41" s="97"/>
      <c r="G41"/>
      <c r="H41" s="178" t="s">
        <v>1714</v>
      </c>
      <c r="I41" s="196"/>
      <c r="J41" s="178" t="s">
        <v>1715</v>
      </c>
      <c r="K41" s="196"/>
      <c r="L41" s="178" t="s">
        <v>1686</v>
      </c>
      <c r="M41" s="196"/>
      <c r="N41" s="178" t="s">
        <v>1716</v>
      </c>
      <c r="O41" s="196"/>
      <c r="P41" s="178" t="s">
        <v>1717</v>
      </c>
      <c r="Q41" s="196"/>
      <c r="R41" s="178" t="s">
        <v>1718</v>
      </c>
      <c r="S41" s="196"/>
      <c r="T41" s="600" t="s">
        <v>1749</v>
      </c>
      <c r="U41" s="601"/>
      <c r="V41" s="602"/>
      <c r="W41" s="104" t="s">
        <v>1750</v>
      </c>
      <c r="X41" s="131"/>
      <c r="Y41" s="64">
        <v>0</v>
      </c>
      <c r="Z41" s="64">
        <v>0</v>
      </c>
      <c r="AA41" s="64">
        <v>0</v>
      </c>
      <c r="AB41" s="64">
        <v>0</v>
      </c>
      <c r="AC41" s="64">
        <v>0</v>
      </c>
      <c r="AD41" s="64">
        <v>0</v>
      </c>
      <c r="AE41" s="64">
        <v>0</v>
      </c>
      <c r="AF41" s="64">
        <f>IF(W41="EEPROM",0,IF(W41="RAM+DDC2B",1,2))</f>
        <v>1</v>
      </c>
      <c r="AH41" s="131"/>
      <c r="BF41" s="65"/>
      <c r="BG41" s="65"/>
      <c r="BH41" s="65"/>
      <c r="BI41" s="65"/>
      <c r="BJ41" s="65"/>
      <c r="BK41" s="65"/>
      <c r="BL41" s="65"/>
      <c r="BM41" s="65"/>
      <c r="BN41" s="65"/>
      <c r="BO41" s="65"/>
      <c r="BP41" s="65"/>
      <c r="BQ41" s="65"/>
      <c r="BR41" s="65"/>
      <c r="BS41" s="65"/>
    </row>
    <row r="42" spans="1:71" s="64" customFormat="1" ht="15">
      <c r="A42" s="65"/>
      <c r="B42" s="93" t="s">
        <v>1622</v>
      </c>
      <c r="C42" s="89" t="s">
        <v>1751</v>
      </c>
      <c r="D42" s="510" t="s">
        <v>1752</v>
      </c>
      <c r="E42" s="147" t="str">
        <f>DEC2HEX(W42,4)</f>
        <v>0100</v>
      </c>
      <c r="F42" s="97"/>
      <c r="G42"/>
      <c r="H42" s="600" t="s">
        <v>1753</v>
      </c>
      <c r="I42" s="601"/>
      <c r="J42" s="601"/>
      <c r="K42" s="601"/>
      <c r="L42" s="601"/>
      <c r="M42" s="601"/>
      <c r="N42" s="601"/>
      <c r="O42" s="601"/>
      <c r="P42" s="601"/>
      <c r="Q42" s="601"/>
      <c r="R42" s="601"/>
      <c r="S42" s="601"/>
      <c r="T42" s="601"/>
      <c r="U42" s="601"/>
      <c r="V42" s="198" t="str">
        <f>IF(W42&gt;=0,IF(W42&lt;=2047,"OK","NG"),"NG")</f>
        <v>OK</v>
      </c>
      <c r="W42" s="199">
        <v>256</v>
      </c>
      <c r="X42" s="131"/>
      <c r="Y42" s="64">
        <v>0</v>
      </c>
      <c r="Z42" s="64">
        <v>0</v>
      </c>
      <c r="AA42" s="64">
        <v>0</v>
      </c>
      <c r="AB42" s="64">
        <v>0</v>
      </c>
      <c r="AC42" s="64">
        <v>0</v>
      </c>
      <c r="AD42" s="64">
        <v>0</v>
      </c>
      <c r="AE42" s="64">
        <v>0</v>
      </c>
      <c r="AF42" s="64">
        <f>MOD(W42,256)</f>
        <v>0</v>
      </c>
      <c r="AH42" s="131"/>
      <c r="BF42" s="65"/>
      <c r="BG42" s="65"/>
      <c r="BH42" s="65"/>
      <c r="BI42" s="65"/>
      <c r="BJ42" s="65"/>
      <c r="BK42" s="65"/>
      <c r="BL42" s="65"/>
      <c r="BM42" s="65"/>
      <c r="BN42" s="65"/>
      <c r="BO42" s="65"/>
      <c r="BP42" s="65"/>
      <c r="BQ42" s="65"/>
      <c r="BR42" s="65"/>
      <c r="BS42" s="65"/>
    </row>
    <row r="43" spans="1:71" s="64" customFormat="1">
      <c r="A43" s="65"/>
      <c r="B43" s="141" t="s">
        <v>1032</v>
      </c>
      <c r="C43" s="142" t="s">
        <v>1033</v>
      </c>
      <c r="D43" s="192"/>
      <c r="E43" s="192"/>
      <c r="F43" s="193" t="s">
        <v>1034</v>
      </c>
      <c r="G43"/>
      <c r="H43"/>
      <c r="I43"/>
      <c r="J43"/>
      <c r="K43"/>
      <c r="L43"/>
      <c r="M43"/>
      <c r="N43"/>
      <c r="O43"/>
      <c r="P43"/>
      <c r="Q43"/>
      <c r="R43"/>
      <c r="S43"/>
      <c r="T43"/>
      <c r="U43"/>
      <c r="V43"/>
      <c r="W43"/>
      <c r="X43" s="131"/>
      <c r="AH43" s="131"/>
      <c r="BF43" s="65"/>
      <c r="BG43" s="65"/>
      <c r="BH43" s="65"/>
      <c r="BI43" s="65"/>
      <c r="BJ43" s="65"/>
      <c r="BK43" s="65"/>
      <c r="BL43" s="65"/>
      <c r="BM43" s="65"/>
      <c r="BN43" s="65"/>
      <c r="BO43" s="65"/>
      <c r="BP43" s="65"/>
      <c r="BQ43" s="65"/>
      <c r="BR43" s="65"/>
      <c r="BS43" s="65"/>
    </row>
    <row r="44" spans="1:71" s="64" customFormat="1" outlineLevel="1">
      <c r="A44" s="65"/>
      <c r="B44" s="93" t="s">
        <v>1035</v>
      </c>
      <c r="C44" s="89" t="s">
        <v>1036</v>
      </c>
      <c r="D44" s="510" t="s">
        <v>1037</v>
      </c>
      <c r="E44" s="512" t="str">
        <f>EDID!E4</f>
        <v>00</v>
      </c>
      <c r="F44" s="92"/>
      <c r="G44" s="194">
        <f t="shared" ref="G44:G52" si="13">HEX2DEC(E44)</f>
        <v>0</v>
      </c>
      <c r="H44"/>
      <c r="I44"/>
      <c r="J44"/>
      <c r="K44"/>
      <c r="L44"/>
      <c r="M44"/>
      <c r="N44"/>
      <c r="O44"/>
      <c r="P44"/>
      <c r="Q44"/>
      <c r="R44"/>
      <c r="S44"/>
      <c r="T44"/>
      <c r="U44"/>
      <c r="V44"/>
      <c r="W44"/>
      <c r="X44" s="131"/>
      <c r="AH44" s="131"/>
      <c r="BF44" s="65"/>
      <c r="BG44" s="65"/>
      <c r="BH44" s="65"/>
      <c r="BI44" s="65"/>
      <c r="BJ44" s="65"/>
      <c r="BK44" s="65"/>
      <c r="BL44" s="65"/>
      <c r="BM44" s="65"/>
      <c r="BN44" s="65"/>
      <c r="BO44" s="65"/>
      <c r="BP44" s="65"/>
      <c r="BQ44" s="65"/>
      <c r="BR44" s="65"/>
      <c r="BS44" s="65"/>
    </row>
    <row r="45" spans="1:71" s="64" customFormat="1" outlineLevel="1">
      <c r="A45" s="65"/>
      <c r="B45" s="93" t="s">
        <v>1035</v>
      </c>
      <c r="C45" s="89" t="s">
        <v>1036</v>
      </c>
      <c r="D45" s="510" t="s">
        <v>1041</v>
      </c>
      <c r="E45" s="512" t="str">
        <f>EDID!E5</f>
        <v>FF</v>
      </c>
      <c r="F45" s="92"/>
      <c r="G45" s="194">
        <f t="shared" si="13"/>
        <v>255</v>
      </c>
      <c r="H45"/>
      <c r="I45"/>
      <c r="J45"/>
      <c r="K45"/>
      <c r="L45"/>
      <c r="M45"/>
      <c r="N45"/>
      <c r="O45"/>
      <c r="P45"/>
      <c r="Q45"/>
      <c r="R45"/>
      <c r="S45"/>
      <c r="T45"/>
      <c r="U45"/>
      <c r="V45"/>
      <c r="W45"/>
      <c r="X45" s="131"/>
      <c r="AH45" s="131"/>
      <c r="BF45" s="65"/>
      <c r="BG45" s="65"/>
      <c r="BH45" s="65"/>
      <c r="BI45" s="65"/>
      <c r="BJ45" s="65"/>
      <c r="BK45" s="65"/>
      <c r="BL45" s="65"/>
      <c r="BM45" s="65"/>
      <c r="BN45" s="65"/>
      <c r="BO45" s="65"/>
      <c r="BP45" s="65"/>
      <c r="BQ45" s="65"/>
      <c r="BR45" s="65"/>
      <c r="BS45" s="65"/>
    </row>
    <row r="46" spans="1:71" s="64" customFormat="1" outlineLevel="1">
      <c r="A46" s="65"/>
      <c r="B46" s="93" t="s">
        <v>1035</v>
      </c>
      <c r="C46" s="89" t="s">
        <v>1036</v>
      </c>
      <c r="D46" s="510" t="s">
        <v>1043</v>
      </c>
      <c r="E46" s="512" t="str">
        <f>EDID!E6</f>
        <v>FF</v>
      </c>
      <c r="F46" s="92"/>
      <c r="G46" s="194">
        <f t="shared" si="13"/>
        <v>255</v>
      </c>
      <c r="H46"/>
      <c r="I46"/>
      <c r="J46"/>
      <c r="K46"/>
      <c r="L46"/>
      <c r="M46"/>
      <c r="N46"/>
      <c r="O46"/>
      <c r="P46"/>
      <c r="Q46"/>
      <c r="R46"/>
      <c r="S46"/>
      <c r="T46"/>
      <c r="U46"/>
      <c r="V46"/>
      <c r="W46"/>
      <c r="X46" s="131"/>
      <c r="AH46" s="131"/>
      <c r="BF46" s="65"/>
      <c r="BG46" s="65"/>
      <c r="BH46" s="65"/>
      <c r="BI46" s="65"/>
      <c r="BJ46" s="65"/>
      <c r="BK46" s="65"/>
      <c r="BL46" s="65"/>
      <c r="BM46" s="65"/>
      <c r="BN46" s="65"/>
      <c r="BO46" s="65"/>
      <c r="BP46" s="65"/>
      <c r="BQ46" s="65"/>
      <c r="BR46" s="65"/>
      <c r="BS46" s="65"/>
    </row>
    <row r="47" spans="1:71" s="64" customFormat="1" outlineLevel="1">
      <c r="A47" s="65"/>
      <c r="B47" s="93" t="s">
        <v>1035</v>
      </c>
      <c r="C47" s="89" t="s">
        <v>1036</v>
      </c>
      <c r="D47" s="510" t="s">
        <v>1044</v>
      </c>
      <c r="E47" s="512" t="str">
        <f>EDID!E7</f>
        <v>FF</v>
      </c>
      <c r="F47" s="92"/>
      <c r="G47" s="194">
        <f t="shared" si="13"/>
        <v>255</v>
      </c>
      <c r="H47"/>
      <c r="I47"/>
      <c r="J47"/>
      <c r="K47"/>
      <c r="L47"/>
      <c r="M47"/>
      <c r="N47"/>
      <c r="O47"/>
      <c r="P47"/>
      <c r="Q47"/>
      <c r="R47"/>
      <c r="S47"/>
      <c r="T47"/>
      <c r="U47"/>
      <c r="V47"/>
      <c r="W47"/>
      <c r="X47" s="131"/>
      <c r="AH47" s="131"/>
      <c r="BF47" s="65"/>
      <c r="BG47" s="65"/>
      <c r="BH47" s="65"/>
      <c r="BI47" s="65"/>
      <c r="BJ47" s="65"/>
      <c r="BK47" s="65"/>
      <c r="BL47" s="65"/>
      <c r="BM47" s="65"/>
      <c r="BN47" s="65"/>
      <c r="BO47" s="65"/>
      <c r="BP47" s="65"/>
      <c r="BQ47" s="65"/>
      <c r="BR47" s="65"/>
      <c r="BS47" s="65"/>
    </row>
    <row r="48" spans="1:71" s="64" customFormat="1" outlineLevel="1">
      <c r="A48" s="65"/>
      <c r="B48" s="93" t="s">
        <v>1035</v>
      </c>
      <c r="C48" s="89" t="s">
        <v>1036</v>
      </c>
      <c r="D48" s="510" t="s">
        <v>1045</v>
      </c>
      <c r="E48" s="512" t="str">
        <f>EDID!E8</f>
        <v>FF</v>
      </c>
      <c r="F48" s="92"/>
      <c r="G48" s="194">
        <f t="shared" si="13"/>
        <v>255</v>
      </c>
      <c r="H48"/>
      <c r="I48"/>
      <c r="J48"/>
      <c r="K48"/>
      <c r="L48"/>
      <c r="M48"/>
      <c r="N48"/>
      <c r="O48"/>
      <c r="P48"/>
      <c r="Q48"/>
      <c r="R48"/>
      <c r="S48"/>
      <c r="T48"/>
      <c r="U48"/>
      <c r="V48"/>
      <c r="W48"/>
      <c r="X48" s="131"/>
      <c r="AH48" s="131"/>
      <c r="BF48" s="65"/>
      <c r="BG48" s="65"/>
      <c r="BH48" s="65"/>
      <c r="BI48" s="65"/>
      <c r="BJ48" s="65"/>
      <c r="BK48" s="65"/>
      <c r="BL48" s="65"/>
      <c r="BM48" s="65"/>
      <c r="BN48" s="65"/>
      <c r="BO48" s="65"/>
      <c r="BP48" s="65"/>
      <c r="BQ48" s="65"/>
      <c r="BR48" s="65"/>
      <c r="BS48" s="65"/>
    </row>
    <row r="49" spans="1:71" s="64" customFormat="1" outlineLevel="1">
      <c r="A49" s="65"/>
      <c r="B49" s="93" t="s">
        <v>1035</v>
      </c>
      <c r="C49" s="89" t="s">
        <v>1036</v>
      </c>
      <c r="D49" s="510" t="s">
        <v>1046</v>
      </c>
      <c r="E49" s="512" t="str">
        <f>EDID!E9</f>
        <v>FF</v>
      </c>
      <c r="F49" s="92"/>
      <c r="G49" s="194">
        <f t="shared" si="13"/>
        <v>255</v>
      </c>
      <c r="H49"/>
      <c r="I49"/>
      <c r="J49"/>
      <c r="K49"/>
      <c r="L49"/>
      <c r="M49"/>
      <c r="N49"/>
      <c r="O49"/>
      <c r="P49"/>
      <c r="Q49"/>
      <c r="R49"/>
      <c r="S49"/>
      <c r="T49"/>
      <c r="U49"/>
      <c r="V49"/>
      <c r="W49"/>
      <c r="X49" s="131"/>
      <c r="AH49" s="131"/>
      <c r="BF49" s="65"/>
      <c r="BG49" s="65"/>
      <c r="BH49" s="65"/>
      <c r="BI49" s="65"/>
      <c r="BJ49" s="65"/>
      <c r="BK49" s="65"/>
      <c r="BL49" s="65"/>
      <c r="BM49" s="65"/>
      <c r="BN49" s="65"/>
      <c r="BO49" s="65"/>
      <c r="BP49" s="65"/>
      <c r="BQ49" s="65"/>
      <c r="BR49" s="65"/>
      <c r="BS49" s="65"/>
    </row>
    <row r="50" spans="1:71" s="64" customFormat="1" outlineLevel="1">
      <c r="A50" s="65"/>
      <c r="B50" s="93" t="s">
        <v>1035</v>
      </c>
      <c r="C50" s="89" t="s">
        <v>1036</v>
      </c>
      <c r="D50" s="510" t="s">
        <v>1047</v>
      </c>
      <c r="E50" s="512" t="str">
        <f>EDID!E10</f>
        <v>FF</v>
      </c>
      <c r="F50" s="92"/>
      <c r="G50" s="194">
        <f t="shared" si="13"/>
        <v>255</v>
      </c>
      <c r="H50"/>
      <c r="I50"/>
      <c r="J50"/>
      <c r="K50"/>
      <c r="L50"/>
      <c r="M50"/>
      <c r="N50"/>
      <c r="O50"/>
      <c r="P50"/>
      <c r="Q50"/>
      <c r="R50"/>
      <c r="S50"/>
      <c r="T50"/>
      <c r="U50"/>
      <c r="V50"/>
      <c r="W50"/>
      <c r="X50" s="131"/>
      <c r="AH50" s="131"/>
      <c r="BF50" s="65"/>
      <c r="BG50" s="65"/>
      <c r="BH50" s="65"/>
      <c r="BI50" s="65"/>
      <c r="BJ50" s="65"/>
      <c r="BK50" s="65"/>
      <c r="BL50" s="65"/>
      <c r="BM50" s="65"/>
      <c r="BN50" s="65"/>
      <c r="BO50" s="65"/>
      <c r="BP50" s="65"/>
      <c r="BQ50" s="65"/>
      <c r="BR50" s="65"/>
      <c r="BS50" s="65"/>
    </row>
    <row r="51" spans="1:71" s="64" customFormat="1" outlineLevel="1">
      <c r="A51" s="65"/>
      <c r="B51" s="93" t="s">
        <v>1035</v>
      </c>
      <c r="C51" s="89" t="s">
        <v>1036</v>
      </c>
      <c r="D51" s="510" t="s">
        <v>1048</v>
      </c>
      <c r="E51" s="512" t="str">
        <f>EDID!E11</f>
        <v>00</v>
      </c>
      <c r="F51" s="92"/>
      <c r="G51" s="194">
        <f t="shared" si="13"/>
        <v>0</v>
      </c>
      <c r="H51"/>
      <c r="I51"/>
      <c r="J51"/>
      <c r="K51"/>
      <c r="L51"/>
      <c r="M51"/>
      <c r="N51"/>
      <c r="O51"/>
      <c r="P51"/>
      <c r="Q51"/>
      <c r="R51"/>
      <c r="S51"/>
      <c r="T51"/>
      <c r="U51"/>
      <c r="V51"/>
      <c r="W51"/>
      <c r="X51" s="131"/>
      <c r="AH51" s="131"/>
      <c r="BF51" s="65"/>
      <c r="BG51" s="65"/>
      <c r="BH51" s="65"/>
      <c r="BI51" s="65"/>
      <c r="BJ51" s="65"/>
      <c r="BK51" s="65"/>
      <c r="BL51" s="65"/>
      <c r="BM51" s="65"/>
      <c r="BN51" s="65"/>
      <c r="BO51" s="65"/>
      <c r="BP51" s="65"/>
      <c r="BQ51" s="65"/>
      <c r="BR51" s="65"/>
      <c r="BS51" s="65"/>
    </row>
    <row r="52" spans="1:71" s="64" customFormat="1" outlineLevel="1">
      <c r="A52" s="65"/>
      <c r="B52" s="93" t="s">
        <v>1035</v>
      </c>
      <c r="C52" s="89" t="s">
        <v>1036</v>
      </c>
      <c r="D52" s="510" t="s">
        <v>1050</v>
      </c>
      <c r="E52" s="512" t="str">
        <f>EDID!E12</f>
        <v>52</v>
      </c>
      <c r="F52" s="92"/>
      <c r="G52" s="194">
        <f t="shared" si="13"/>
        <v>82</v>
      </c>
      <c r="H52"/>
      <c r="I52"/>
      <c r="J52"/>
      <c r="K52"/>
      <c r="L52"/>
      <c r="M52"/>
      <c r="N52"/>
      <c r="O52"/>
      <c r="P52"/>
      <c r="Q52"/>
      <c r="R52"/>
      <c r="S52"/>
      <c r="T52"/>
      <c r="U52"/>
      <c r="V52"/>
      <c r="W52"/>
      <c r="X52" s="131"/>
      <c r="AH52" s="131"/>
      <c r="BF52" s="65"/>
      <c r="BG52" s="65"/>
      <c r="BH52" s="65"/>
      <c r="BI52" s="65"/>
      <c r="BJ52" s="65"/>
      <c r="BK52" s="65"/>
      <c r="BL52" s="65"/>
      <c r="BM52" s="65"/>
      <c r="BN52" s="65"/>
      <c r="BO52" s="65"/>
      <c r="BP52" s="65"/>
      <c r="BQ52" s="65"/>
      <c r="BR52" s="65"/>
      <c r="BS52" s="65"/>
    </row>
    <row r="53" spans="1:71" s="64" customFormat="1" outlineLevel="1">
      <c r="A53" s="65"/>
      <c r="B53" s="93" t="s">
        <v>1035</v>
      </c>
      <c r="C53" s="89" t="s">
        <v>1036</v>
      </c>
      <c r="D53" s="510" t="s">
        <v>1055</v>
      </c>
      <c r="E53" s="512" t="str">
        <f>EDID!E13</f>
        <v>62</v>
      </c>
      <c r="F53" s="92"/>
      <c r="G53"/>
      <c r="H53"/>
      <c r="I53"/>
      <c r="J53"/>
      <c r="K53"/>
      <c r="L53"/>
      <c r="M53"/>
      <c r="N53"/>
      <c r="O53"/>
      <c r="P53"/>
      <c r="Q53"/>
      <c r="R53"/>
      <c r="S53"/>
      <c r="T53"/>
      <c r="U53"/>
      <c r="V53"/>
      <c r="W53"/>
      <c r="X53" s="131"/>
      <c r="Y53" s="131"/>
      <c r="Z53" s="131"/>
      <c r="AA53" s="131"/>
      <c r="AB53" s="131"/>
      <c r="AC53" s="131"/>
      <c r="AD53" s="131"/>
      <c r="AE53" s="131"/>
      <c r="AF53" s="131"/>
      <c r="AG53" s="131"/>
      <c r="AH53" s="131"/>
      <c r="AI53" s="131"/>
      <c r="AJ53" s="131"/>
      <c r="AK53" s="131"/>
      <c r="AL53" s="131"/>
      <c r="AM53" s="131"/>
      <c r="AN53" s="131"/>
      <c r="AO53" s="131"/>
      <c r="AP53" s="131"/>
      <c r="AQ53" s="131"/>
      <c r="AR53" s="131"/>
      <c r="BF53" s="65"/>
      <c r="BG53" s="65"/>
      <c r="BH53" s="65"/>
      <c r="BI53" s="65"/>
      <c r="BJ53" s="65"/>
      <c r="BK53" s="65"/>
      <c r="BL53" s="65"/>
      <c r="BM53" s="65"/>
      <c r="BN53" s="65"/>
      <c r="BO53" s="65"/>
      <c r="BP53" s="65"/>
      <c r="BQ53" s="65"/>
      <c r="BR53" s="65"/>
      <c r="BS53" s="65"/>
    </row>
    <row r="54" spans="1:71" s="64" customFormat="1" outlineLevel="1">
      <c r="A54" s="65"/>
      <c r="B54" s="93" t="s">
        <v>1035</v>
      </c>
      <c r="C54" s="89" t="s">
        <v>1036</v>
      </c>
      <c r="D54" s="510" t="s">
        <v>1058</v>
      </c>
      <c r="E54" s="512" t="str">
        <f>EDID!E14</f>
        <v>88</v>
      </c>
      <c r="F54" s="92"/>
      <c r="G54"/>
      <c r="H54"/>
      <c r="I54"/>
      <c r="J54"/>
      <c r="K54"/>
      <c r="L54"/>
      <c r="M54"/>
      <c r="N54"/>
      <c r="O54"/>
      <c r="P54"/>
      <c r="Q54"/>
      <c r="R54"/>
      <c r="S54"/>
      <c r="T54"/>
      <c r="U54"/>
      <c r="V54"/>
      <c r="W54"/>
      <c r="X54" s="131"/>
      <c r="Y54" s="131"/>
      <c r="Z54" s="131"/>
      <c r="AA54" s="131"/>
      <c r="AB54" s="131"/>
      <c r="AC54" s="131"/>
      <c r="AD54" s="131"/>
      <c r="AE54" s="131"/>
      <c r="AF54" s="131"/>
      <c r="AG54" s="131"/>
      <c r="AH54" s="131"/>
      <c r="AI54" s="131"/>
      <c r="AJ54" s="131"/>
      <c r="AK54" s="131"/>
      <c r="AL54" s="131"/>
      <c r="AM54" s="131"/>
      <c r="AN54" s="131"/>
      <c r="AO54" s="131"/>
      <c r="AP54" s="131"/>
      <c r="AQ54" s="131"/>
      <c r="AR54" s="131"/>
      <c r="BF54" s="65"/>
      <c r="BG54" s="65"/>
      <c r="BH54" s="65"/>
      <c r="BI54" s="65"/>
      <c r="BJ54" s="65"/>
      <c r="BK54" s="65"/>
      <c r="BL54" s="65"/>
      <c r="BM54" s="65"/>
      <c r="BN54" s="65"/>
      <c r="BO54" s="65"/>
      <c r="BP54" s="65"/>
      <c r="BQ54" s="65"/>
      <c r="BR54" s="65"/>
      <c r="BS54" s="65"/>
    </row>
    <row r="55" spans="1:71" s="64" customFormat="1" outlineLevel="1">
      <c r="A55" s="65"/>
      <c r="B55" s="93" t="s">
        <v>1035</v>
      </c>
      <c r="C55" s="89" t="s">
        <v>1036</v>
      </c>
      <c r="D55" s="510" t="s">
        <v>1061</v>
      </c>
      <c r="E55" s="512" t="str">
        <f>EDID!E15</f>
        <v>88</v>
      </c>
      <c r="F55" s="92"/>
      <c r="G55"/>
      <c r="H55"/>
      <c r="I55"/>
      <c r="J55"/>
      <c r="K55"/>
      <c r="L55"/>
      <c r="M55"/>
      <c r="N55"/>
      <c r="O55"/>
      <c r="P55"/>
      <c r="Q55"/>
      <c r="R55"/>
      <c r="S55"/>
      <c r="T55"/>
      <c r="U55"/>
      <c r="V55"/>
      <c r="W55"/>
      <c r="X55" s="131"/>
      <c r="Y55" s="131"/>
      <c r="Z55" s="131"/>
      <c r="AA55" s="131"/>
      <c r="AB55" s="131"/>
      <c r="AC55" s="131"/>
      <c r="AD55" s="131"/>
      <c r="AE55" s="131"/>
      <c r="AF55" s="131"/>
      <c r="AG55" s="131"/>
      <c r="AH55" s="131"/>
      <c r="AI55" s="131"/>
      <c r="AJ55" s="131"/>
      <c r="AK55" s="131"/>
      <c r="AL55" s="131"/>
      <c r="AM55" s="131"/>
      <c r="AN55" s="131"/>
      <c r="AO55" s="131"/>
      <c r="AP55" s="131"/>
      <c r="AQ55" s="131"/>
      <c r="AR55" s="131"/>
      <c r="BF55" s="65"/>
      <c r="BG55" s="65"/>
      <c r="BH55" s="65"/>
      <c r="BI55" s="65"/>
      <c r="BJ55" s="65"/>
      <c r="BK55" s="65"/>
      <c r="BL55" s="65"/>
      <c r="BM55" s="65"/>
      <c r="BN55" s="65"/>
      <c r="BO55" s="65"/>
      <c r="BP55" s="65"/>
      <c r="BQ55" s="65"/>
      <c r="BR55" s="65"/>
      <c r="BS55" s="65"/>
    </row>
    <row r="56" spans="1:71" s="64" customFormat="1" outlineLevel="1">
      <c r="A56" s="65"/>
      <c r="B56" s="93" t="s">
        <v>1035</v>
      </c>
      <c r="C56" s="89" t="s">
        <v>1036</v>
      </c>
      <c r="D56" s="510" t="s">
        <v>1063</v>
      </c>
      <c r="E56" s="512" t="str">
        <f>EDID!E16</f>
        <v>00</v>
      </c>
      <c r="F56" s="92"/>
      <c r="G56"/>
      <c r="H56"/>
      <c r="I56"/>
      <c r="J56"/>
      <c r="K56"/>
      <c r="L56"/>
      <c r="M56"/>
      <c r="N56"/>
      <c r="O56"/>
      <c r="P56"/>
      <c r="Q56"/>
      <c r="R56"/>
      <c r="S56"/>
      <c r="T56"/>
      <c r="U56"/>
      <c r="V56"/>
      <c r="W56"/>
      <c r="X56" s="131"/>
      <c r="Y56" s="131"/>
      <c r="Z56" s="131"/>
      <c r="AA56" s="131"/>
      <c r="AB56" s="131"/>
      <c r="AC56" s="131"/>
      <c r="AD56" s="131"/>
      <c r="AE56" s="131"/>
      <c r="AF56" s="131"/>
      <c r="AG56" s="131"/>
      <c r="AH56" s="131"/>
      <c r="AI56" s="131"/>
      <c r="AJ56" s="131"/>
      <c r="AK56" s="131"/>
      <c r="AL56" s="131"/>
      <c r="AM56" s="131"/>
      <c r="AN56" s="131"/>
      <c r="AO56" s="131"/>
      <c r="AP56" s="131"/>
      <c r="AQ56" s="131"/>
      <c r="AR56" s="131"/>
      <c r="BF56" s="65"/>
      <c r="BG56" s="65"/>
      <c r="BH56" s="65"/>
      <c r="BI56" s="65"/>
      <c r="BJ56" s="65"/>
      <c r="BK56" s="65"/>
      <c r="BL56" s="65"/>
      <c r="BM56" s="65"/>
      <c r="BN56" s="65"/>
      <c r="BO56" s="65"/>
      <c r="BP56" s="65"/>
      <c r="BQ56" s="65"/>
      <c r="BR56" s="65"/>
      <c r="BS56" s="65"/>
    </row>
    <row r="57" spans="1:71" s="64" customFormat="1" outlineLevel="1">
      <c r="A57" s="65"/>
      <c r="B57" s="93" t="s">
        <v>1035</v>
      </c>
      <c r="C57" s="89" t="s">
        <v>1036</v>
      </c>
      <c r="D57" s="510" t="s">
        <v>1066</v>
      </c>
      <c r="E57" s="512" t="str">
        <f>EDID!E17</f>
        <v>88</v>
      </c>
      <c r="F57" s="92"/>
      <c r="G57"/>
      <c r="H57"/>
      <c r="I57"/>
      <c r="J57"/>
      <c r="K57"/>
      <c r="L57"/>
      <c r="M57"/>
      <c r="N57"/>
      <c r="O57"/>
      <c r="P57"/>
      <c r="Q57"/>
      <c r="R57"/>
      <c r="S57"/>
      <c r="T57"/>
      <c r="U57"/>
      <c r="V57"/>
      <c r="W57"/>
      <c r="X57" s="131"/>
      <c r="Y57" s="131"/>
      <c r="Z57" s="131"/>
      <c r="AA57" s="131"/>
      <c r="AB57" s="131"/>
      <c r="AC57" s="131"/>
      <c r="AD57" s="131"/>
      <c r="AE57" s="131"/>
      <c r="AF57" s="131"/>
      <c r="AG57" s="131"/>
      <c r="AH57" s="131"/>
      <c r="AI57" s="131"/>
      <c r="AJ57" s="131"/>
      <c r="AK57" s="131"/>
      <c r="AL57" s="131"/>
      <c r="AM57" s="131"/>
      <c r="AN57" s="131"/>
      <c r="AO57" s="131"/>
      <c r="AP57" s="131"/>
      <c r="AQ57" s="131"/>
      <c r="AR57" s="131"/>
      <c r="BF57" s="65"/>
      <c r="BG57" s="65"/>
      <c r="BH57" s="65"/>
      <c r="BI57" s="65"/>
      <c r="BJ57" s="65"/>
      <c r="BK57" s="65"/>
      <c r="BL57" s="65"/>
      <c r="BM57" s="65"/>
      <c r="BN57" s="65"/>
      <c r="BO57" s="65"/>
      <c r="BP57" s="65"/>
      <c r="BQ57" s="65"/>
      <c r="BR57" s="65"/>
      <c r="BS57" s="65"/>
    </row>
    <row r="58" spans="1:71" s="64" customFormat="1" outlineLevel="1">
      <c r="A58" s="65"/>
      <c r="B58" s="93" t="s">
        <v>1035</v>
      </c>
      <c r="C58" s="89" t="s">
        <v>1036</v>
      </c>
      <c r="D58" s="510" t="s">
        <v>1068</v>
      </c>
      <c r="E58" s="512" t="str">
        <f>EDID!E18</f>
        <v>88</v>
      </c>
      <c r="F58" s="92"/>
      <c r="G58"/>
      <c r="H58"/>
      <c r="I58"/>
      <c r="J58"/>
      <c r="K58"/>
      <c r="L58"/>
      <c r="M58"/>
      <c r="N58"/>
      <c r="O58"/>
      <c r="P58"/>
      <c r="Q58"/>
      <c r="R58"/>
      <c r="S58"/>
      <c r="T58"/>
      <c r="U58"/>
      <c r="V58"/>
      <c r="W58"/>
      <c r="X58" s="131"/>
      <c r="Y58" s="131"/>
      <c r="Z58" s="131"/>
      <c r="AA58" s="131"/>
      <c r="AB58" s="131"/>
      <c r="AC58" s="131"/>
      <c r="AD58" s="131"/>
      <c r="AE58" s="131"/>
      <c r="AF58" s="131"/>
      <c r="AG58" s="131"/>
      <c r="AH58" s="131"/>
      <c r="AI58" s="131"/>
      <c r="AJ58" s="131"/>
      <c r="AK58" s="131"/>
      <c r="AL58" s="131"/>
      <c r="AM58" s="131"/>
      <c r="AN58" s="131"/>
      <c r="AO58" s="131"/>
      <c r="AP58" s="131"/>
      <c r="AQ58" s="131"/>
      <c r="AR58" s="131"/>
      <c r="BF58" s="65"/>
      <c r="BG58" s="65"/>
      <c r="BH58" s="65"/>
      <c r="BI58" s="65"/>
      <c r="BJ58" s="65"/>
      <c r="BK58" s="65"/>
      <c r="BL58" s="65"/>
      <c r="BM58" s="65"/>
      <c r="BN58" s="65"/>
      <c r="BO58" s="65"/>
      <c r="BP58" s="65"/>
      <c r="BQ58" s="65"/>
      <c r="BR58" s="65"/>
      <c r="BS58" s="65"/>
    </row>
    <row r="59" spans="1:71" s="64" customFormat="1" outlineLevel="1">
      <c r="A59" s="65"/>
      <c r="B59" s="93" t="s">
        <v>1035</v>
      </c>
      <c r="C59" s="89" t="s">
        <v>1036</v>
      </c>
      <c r="D59" s="510" t="s">
        <v>1070</v>
      </c>
      <c r="E59" s="512" t="str">
        <f>EDID!E19</f>
        <v>88</v>
      </c>
      <c r="F59" s="92"/>
      <c r="G59"/>
      <c r="H59"/>
      <c r="I59"/>
      <c r="J59"/>
      <c r="K59"/>
      <c r="L59"/>
      <c r="M59"/>
      <c r="N59"/>
      <c r="O59"/>
      <c r="P59"/>
      <c r="Q59"/>
      <c r="R59"/>
      <c r="S59"/>
      <c r="T59"/>
      <c r="U59"/>
      <c r="V59"/>
      <c r="W59"/>
      <c r="X59" s="131"/>
      <c r="Y59" s="131"/>
      <c r="Z59" s="131"/>
      <c r="AA59" s="131"/>
      <c r="AB59" s="131"/>
      <c r="AC59" s="131"/>
      <c r="AD59" s="131"/>
      <c r="AE59" s="131"/>
      <c r="AF59" s="131"/>
      <c r="AG59" s="131"/>
      <c r="AH59" s="131"/>
      <c r="AI59" s="131"/>
      <c r="AJ59" s="131"/>
      <c r="AK59" s="131"/>
      <c r="AL59" s="131"/>
      <c r="AM59" s="131"/>
      <c r="AN59" s="131"/>
      <c r="AO59" s="131"/>
      <c r="AP59" s="131"/>
      <c r="AQ59" s="131"/>
      <c r="AR59" s="131"/>
      <c r="BF59" s="65"/>
      <c r="BG59" s="65"/>
      <c r="BH59" s="65"/>
      <c r="BI59" s="65"/>
      <c r="BJ59" s="65"/>
      <c r="BK59" s="65"/>
      <c r="BL59" s="65"/>
      <c r="BM59" s="65"/>
      <c r="BN59" s="65"/>
      <c r="BO59" s="65"/>
      <c r="BP59" s="65"/>
      <c r="BQ59" s="65"/>
      <c r="BR59" s="65"/>
      <c r="BS59" s="65"/>
    </row>
    <row r="60" spans="1:71" s="64" customFormat="1" outlineLevel="1">
      <c r="A60" s="65"/>
      <c r="B60" s="93" t="s">
        <v>1035</v>
      </c>
      <c r="C60" s="89" t="s">
        <v>1036</v>
      </c>
      <c r="D60" s="510" t="s">
        <v>1072</v>
      </c>
      <c r="E60" s="512" t="str">
        <f>EDID!E20</f>
        <v>1C</v>
      </c>
      <c r="F60" s="92"/>
      <c r="G60"/>
      <c r="H60"/>
      <c r="I60"/>
      <c r="J60"/>
      <c r="K60"/>
      <c r="L60"/>
      <c r="M60"/>
      <c r="N60"/>
      <c r="O60"/>
      <c r="P60"/>
      <c r="Q60"/>
      <c r="R60"/>
      <c r="S60"/>
      <c r="T60"/>
      <c r="U60"/>
      <c r="V60"/>
      <c r="W60"/>
      <c r="X60" s="131"/>
      <c r="Y60" s="131"/>
      <c r="Z60" s="131"/>
      <c r="AA60" s="131"/>
      <c r="AB60" s="131"/>
      <c r="AC60" s="131"/>
      <c r="AD60" s="131"/>
      <c r="AE60" s="131"/>
      <c r="AF60" s="131"/>
      <c r="AG60" s="131"/>
      <c r="AH60" s="131"/>
      <c r="AI60" s="131"/>
      <c r="AJ60" s="131"/>
      <c r="AK60" s="131"/>
      <c r="AL60" s="131"/>
      <c r="AM60" s="131"/>
      <c r="AN60" s="131"/>
      <c r="AO60" s="131"/>
      <c r="AP60" s="131"/>
      <c r="AQ60" s="131"/>
      <c r="AR60" s="131"/>
      <c r="BF60" s="65"/>
      <c r="BG60" s="65"/>
      <c r="BH60" s="65"/>
      <c r="BI60" s="65"/>
      <c r="BJ60" s="65"/>
      <c r="BK60" s="65"/>
      <c r="BL60" s="65"/>
      <c r="BM60" s="65"/>
      <c r="BN60" s="65"/>
      <c r="BO60" s="65"/>
      <c r="BP60" s="65"/>
      <c r="BQ60" s="65"/>
      <c r="BR60" s="65"/>
      <c r="BS60" s="65"/>
    </row>
    <row r="61" spans="1:71" s="64" customFormat="1" outlineLevel="1">
      <c r="A61" s="65"/>
      <c r="B61" s="93" t="s">
        <v>1035</v>
      </c>
      <c r="C61" s="89" t="s">
        <v>1036</v>
      </c>
      <c r="D61" s="510" t="s">
        <v>1075</v>
      </c>
      <c r="E61" s="512" t="str">
        <f>EDID!E21</f>
        <v>15</v>
      </c>
      <c r="F61" s="92"/>
      <c r="G61"/>
      <c r="H61"/>
      <c r="I61"/>
      <c r="J61"/>
      <c r="K61"/>
      <c r="L61"/>
      <c r="M61"/>
      <c r="N61"/>
      <c r="O61"/>
      <c r="P61"/>
      <c r="Q61"/>
      <c r="R61"/>
      <c r="S61"/>
      <c r="T61"/>
      <c r="U61"/>
      <c r="V61"/>
      <c r="W61"/>
      <c r="X61" s="131"/>
      <c r="Y61" s="131"/>
      <c r="Z61" s="131"/>
      <c r="AA61" s="131"/>
      <c r="AB61" s="131"/>
      <c r="AC61" s="131"/>
      <c r="AD61" s="131"/>
      <c r="AE61" s="131"/>
      <c r="AF61" s="131"/>
      <c r="AG61" s="131"/>
      <c r="AH61" s="131"/>
      <c r="AI61" s="131"/>
      <c r="AJ61" s="131"/>
      <c r="AK61" s="131"/>
      <c r="AL61" s="131"/>
      <c r="AM61" s="131"/>
      <c r="AN61" s="131"/>
      <c r="AO61" s="131"/>
      <c r="AP61" s="131"/>
      <c r="AQ61" s="131"/>
      <c r="AR61" s="131"/>
      <c r="BF61" s="65"/>
      <c r="BG61" s="65"/>
      <c r="BH61" s="65"/>
      <c r="BI61" s="65"/>
      <c r="BJ61" s="65"/>
      <c r="BK61" s="65"/>
      <c r="BL61" s="65"/>
      <c r="BM61" s="65"/>
      <c r="BN61" s="65"/>
      <c r="BO61" s="65"/>
      <c r="BP61" s="65"/>
      <c r="BQ61" s="65"/>
      <c r="BR61" s="65"/>
      <c r="BS61" s="65"/>
    </row>
    <row r="62" spans="1:71" s="64" customFormat="1" outlineLevel="1">
      <c r="A62" s="65"/>
      <c r="B62" s="93" t="s">
        <v>1035</v>
      </c>
      <c r="C62" s="89" t="s">
        <v>1036</v>
      </c>
      <c r="D62" s="510" t="s">
        <v>1078</v>
      </c>
      <c r="E62" s="512" t="str">
        <f>EDID!E22</f>
        <v>01</v>
      </c>
      <c r="F62" s="92"/>
      <c r="G62"/>
      <c r="H62"/>
      <c r="I62"/>
      <c r="J62"/>
      <c r="K62"/>
      <c r="L62"/>
      <c r="M62"/>
      <c r="N62"/>
      <c r="O62"/>
      <c r="P62"/>
      <c r="Q62"/>
      <c r="R62"/>
      <c r="S62"/>
      <c r="T62"/>
      <c r="U62"/>
      <c r="V62"/>
      <c r="W62"/>
      <c r="X62" s="131"/>
      <c r="Y62" s="131"/>
      <c r="Z62" s="131"/>
      <c r="AA62" s="131"/>
      <c r="AB62" s="131"/>
      <c r="AC62" s="131"/>
      <c r="AD62" s="131"/>
      <c r="AE62" s="131"/>
      <c r="AF62" s="131"/>
      <c r="AG62" s="131"/>
      <c r="AH62" s="131"/>
      <c r="AI62" s="131"/>
      <c r="AJ62" s="131"/>
      <c r="AK62" s="131"/>
      <c r="AL62" s="131"/>
      <c r="AM62" s="131"/>
      <c r="AN62" s="131"/>
      <c r="AO62" s="131"/>
      <c r="AP62" s="131"/>
      <c r="AQ62" s="131"/>
      <c r="AR62" s="131"/>
      <c r="BF62" s="65"/>
      <c r="BG62" s="65"/>
      <c r="BH62" s="65"/>
      <c r="BI62" s="65"/>
      <c r="BJ62" s="65"/>
      <c r="BK62" s="65"/>
      <c r="BL62" s="65"/>
      <c r="BM62" s="65"/>
      <c r="BN62" s="65"/>
      <c r="BO62" s="65"/>
      <c r="BP62" s="65"/>
      <c r="BQ62" s="65"/>
      <c r="BR62" s="65"/>
      <c r="BS62" s="65"/>
    </row>
    <row r="63" spans="1:71" s="64" customFormat="1" outlineLevel="1">
      <c r="A63" s="65"/>
      <c r="B63" s="93" t="s">
        <v>1035</v>
      </c>
      <c r="C63" s="89" t="s">
        <v>1036</v>
      </c>
      <c r="D63" s="510" t="s">
        <v>1082</v>
      </c>
      <c r="E63" s="512" t="str">
        <f>EDID!E23</f>
        <v>03</v>
      </c>
      <c r="F63" s="92"/>
      <c r="G63"/>
      <c r="H63"/>
      <c r="I63"/>
      <c r="J63"/>
      <c r="K63"/>
      <c r="L63"/>
      <c r="M63"/>
      <c r="N63"/>
      <c r="O63"/>
      <c r="P63"/>
      <c r="Q63"/>
      <c r="R63"/>
      <c r="S63"/>
      <c r="T63"/>
      <c r="U63"/>
      <c r="V63"/>
      <c r="W63"/>
      <c r="X63" s="131"/>
      <c r="Y63" s="131"/>
      <c r="Z63" s="131"/>
      <c r="AA63" s="131"/>
      <c r="AB63" s="131"/>
      <c r="AC63" s="131"/>
      <c r="AD63" s="131"/>
      <c r="AE63" s="131"/>
      <c r="AF63" s="131"/>
      <c r="AG63" s="131"/>
      <c r="AH63" s="131"/>
      <c r="AI63" s="131"/>
      <c r="AJ63" s="131"/>
      <c r="AK63" s="131"/>
      <c r="AL63" s="131"/>
      <c r="AM63" s="131"/>
      <c r="AN63" s="131"/>
      <c r="AO63" s="131"/>
      <c r="AP63" s="131"/>
      <c r="AQ63" s="131"/>
      <c r="AR63" s="131"/>
      <c r="BF63" s="65"/>
      <c r="BG63" s="65"/>
      <c r="BH63" s="65"/>
      <c r="BI63" s="65"/>
      <c r="BJ63" s="65"/>
      <c r="BK63" s="65"/>
      <c r="BL63" s="65"/>
      <c r="BM63" s="65"/>
      <c r="BN63" s="65"/>
      <c r="BO63" s="65"/>
      <c r="BP63" s="65"/>
      <c r="BQ63" s="65"/>
      <c r="BR63" s="65"/>
      <c r="BS63" s="65"/>
    </row>
    <row r="64" spans="1:71" s="64" customFormat="1" outlineLevel="1">
      <c r="A64" s="65"/>
      <c r="B64" s="93" t="s">
        <v>1035</v>
      </c>
      <c r="C64" s="89" t="s">
        <v>1036</v>
      </c>
      <c r="D64" s="510" t="s">
        <v>1086</v>
      </c>
      <c r="E64" s="512" t="str">
        <f>EDID!E24</f>
        <v>80</v>
      </c>
      <c r="F64" s="92"/>
      <c r="G64"/>
      <c r="H64"/>
      <c r="I64"/>
      <c r="J64"/>
      <c r="K64"/>
      <c r="L64"/>
      <c r="M64"/>
      <c r="N64"/>
      <c r="O64"/>
      <c r="P64"/>
      <c r="Q64"/>
      <c r="R64"/>
      <c r="S64"/>
      <c r="T64"/>
      <c r="U64"/>
      <c r="V64"/>
      <c r="W64"/>
      <c r="X64" s="131"/>
      <c r="Y64" s="131"/>
      <c r="Z64" s="131"/>
      <c r="AA64" s="131"/>
      <c r="AB64" s="131"/>
      <c r="AC64" s="131"/>
      <c r="AD64" s="131"/>
      <c r="AE64" s="131"/>
      <c r="AF64" s="131"/>
      <c r="AG64" s="131"/>
      <c r="AH64" s="131"/>
      <c r="AI64" s="131"/>
      <c r="AJ64" s="131"/>
      <c r="AK64" s="131"/>
      <c r="AL64" s="131"/>
      <c r="AM64" s="131"/>
      <c r="AN64" s="131"/>
      <c r="AO64" s="131"/>
      <c r="AP64" s="131"/>
      <c r="AQ64" s="131"/>
      <c r="AR64" s="131"/>
      <c r="BF64" s="65"/>
      <c r="BG64" s="65"/>
      <c r="BH64" s="65"/>
      <c r="BI64" s="65"/>
      <c r="BJ64" s="65"/>
      <c r="BK64" s="65"/>
      <c r="BL64" s="65"/>
      <c r="BM64" s="65"/>
      <c r="BN64" s="65"/>
      <c r="BO64" s="65"/>
      <c r="BP64" s="65"/>
      <c r="BQ64" s="65"/>
      <c r="BR64" s="65"/>
      <c r="BS64" s="65"/>
    </row>
    <row r="65" spans="1:71" s="64" customFormat="1" outlineLevel="1">
      <c r="A65" s="65"/>
      <c r="B65" s="93" t="s">
        <v>1035</v>
      </c>
      <c r="C65" s="89" t="s">
        <v>1036</v>
      </c>
      <c r="D65" s="510" t="s">
        <v>1091</v>
      </c>
      <c r="E65" s="91" t="str">
        <f>EDID!E25</f>
        <v>00</v>
      </c>
      <c r="F65" s="92"/>
      <c r="G65"/>
      <c r="H65"/>
      <c r="I65"/>
      <c r="J65"/>
      <c r="K65"/>
      <c r="L65"/>
      <c r="M65"/>
      <c r="N65"/>
      <c r="O65"/>
      <c r="P65"/>
      <c r="Q65"/>
      <c r="R65"/>
      <c r="S65"/>
      <c r="T65"/>
      <c r="U65"/>
      <c r="V65"/>
      <c r="W65"/>
      <c r="X65" s="131"/>
      <c r="Y65" s="131"/>
      <c r="Z65" s="131"/>
      <c r="AA65" s="131"/>
      <c r="AB65" s="131"/>
      <c r="AC65" s="131"/>
      <c r="AD65" s="131"/>
      <c r="AE65" s="131"/>
      <c r="AF65" s="131"/>
      <c r="AG65" s="131"/>
      <c r="AH65" s="131"/>
      <c r="AI65" s="131"/>
      <c r="AJ65" s="131"/>
      <c r="AK65" s="131"/>
      <c r="AL65" s="131"/>
      <c r="AM65" s="131"/>
      <c r="AN65" s="131"/>
      <c r="AO65" s="131"/>
      <c r="AP65" s="131"/>
      <c r="AQ65" s="131"/>
      <c r="AR65" s="131"/>
      <c r="BF65" s="65"/>
      <c r="BG65" s="65"/>
      <c r="BH65" s="65"/>
      <c r="BI65" s="65"/>
      <c r="BJ65" s="65"/>
      <c r="BK65" s="65"/>
      <c r="BL65" s="65"/>
      <c r="BM65" s="65"/>
      <c r="BN65" s="65"/>
      <c r="BO65" s="65"/>
      <c r="BP65" s="65"/>
      <c r="BQ65" s="65"/>
      <c r="BR65" s="65"/>
      <c r="BS65" s="65"/>
    </row>
    <row r="66" spans="1:71" s="64" customFormat="1" outlineLevel="1">
      <c r="A66" s="65"/>
      <c r="B66" s="93" t="s">
        <v>1035</v>
      </c>
      <c r="C66" s="89" t="s">
        <v>1036</v>
      </c>
      <c r="D66" s="510" t="s">
        <v>1095</v>
      </c>
      <c r="E66" s="91" t="str">
        <f>EDID!E26</f>
        <v>00</v>
      </c>
      <c r="F66" s="92"/>
      <c r="G66"/>
      <c r="H66"/>
      <c r="I66"/>
      <c r="J66"/>
      <c r="K66"/>
      <c r="L66"/>
      <c r="M66"/>
      <c r="N66"/>
      <c r="O66"/>
      <c r="P66"/>
      <c r="Q66"/>
      <c r="R66"/>
      <c r="S66"/>
      <c r="T66"/>
      <c r="U66"/>
      <c r="V66"/>
      <c r="W66"/>
      <c r="X66" s="131"/>
      <c r="Y66" s="131"/>
      <c r="Z66" s="131"/>
      <c r="AA66" s="131"/>
      <c r="AB66" s="131"/>
      <c r="AC66" s="131"/>
      <c r="AD66" s="131"/>
      <c r="AE66" s="131"/>
      <c r="AF66" s="131"/>
      <c r="AG66" s="131"/>
      <c r="AH66" s="131"/>
      <c r="AI66" s="131"/>
      <c r="AJ66" s="131"/>
      <c r="AK66" s="131"/>
      <c r="AL66" s="131"/>
      <c r="AM66" s="131"/>
      <c r="AN66" s="131"/>
      <c r="AO66" s="131"/>
      <c r="AP66" s="131"/>
      <c r="AQ66" s="131"/>
      <c r="AR66" s="131"/>
      <c r="BF66" s="65"/>
      <c r="BG66" s="65"/>
      <c r="BH66" s="65"/>
      <c r="BI66" s="65"/>
      <c r="BJ66" s="65"/>
      <c r="BK66" s="65"/>
      <c r="BL66" s="65"/>
      <c r="BM66" s="65"/>
      <c r="BN66" s="65"/>
      <c r="BO66" s="65"/>
      <c r="BP66" s="65"/>
      <c r="BQ66" s="65"/>
      <c r="BR66" s="65"/>
      <c r="BS66" s="65"/>
    </row>
    <row r="67" spans="1:71" s="64" customFormat="1" outlineLevel="1">
      <c r="A67" s="65"/>
      <c r="B67" s="93" t="s">
        <v>1035</v>
      </c>
      <c r="C67" s="89" t="s">
        <v>1036</v>
      </c>
      <c r="D67" s="510" t="s">
        <v>1098</v>
      </c>
      <c r="E67" s="512" t="str">
        <f>EDID!E27</f>
        <v>78</v>
      </c>
      <c r="F67" s="92"/>
      <c r="G67"/>
      <c r="H67"/>
      <c r="I67"/>
      <c r="J67"/>
      <c r="K67"/>
      <c r="L67"/>
      <c r="M67"/>
      <c r="N67"/>
      <c r="O67"/>
      <c r="P67"/>
      <c r="Q67"/>
      <c r="R67"/>
      <c r="S67"/>
      <c r="T67"/>
      <c r="U67"/>
      <c r="V67"/>
      <c r="W67"/>
      <c r="X67" s="131"/>
      <c r="Y67" s="131"/>
      <c r="Z67" s="131"/>
      <c r="AA67" s="131"/>
      <c r="AB67" s="131"/>
      <c r="AC67" s="131"/>
      <c r="AD67" s="131"/>
      <c r="AE67" s="131"/>
      <c r="AF67" s="131"/>
      <c r="AG67" s="131"/>
      <c r="AH67" s="131"/>
      <c r="AI67" s="131"/>
      <c r="AJ67" s="131"/>
      <c r="AK67" s="131"/>
      <c r="AL67" s="131"/>
      <c r="AM67" s="131"/>
      <c r="AN67" s="131"/>
      <c r="AO67" s="131"/>
      <c r="AP67" s="131"/>
      <c r="AQ67" s="131"/>
      <c r="AR67" s="131"/>
      <c r="BF67" s="65"/>
      <c r="BG67" s="65"/>
      <c r="BH67" s="65"/>
      <c r="BI67" s="65"/>
      <c r="BJ67" s="65"/>
      <c r="BK67" s="65"/>
      <c r="BL67" s="65"/>
      <c r="BM67" s="65"/>
      <c r="BN67" s="65"/>
      <c r="BO67" s="65"/>
      <c r="BP67" s="65"/>
      <c r="BQ67" s="65"/>
      <c r="BR67" s="65"/>
      <c r="BS67" s="65"/>
    </row>
    <row r="68" spans="1:71" s="64" customFormat="1" outlineLevel="1">
      <c r="A68" s="65"/>
      <c r="B68" s="93" t="s">
        <v>1035</v>
      </c>
      <c r="C68" s="89" t="s">
        <v>1036</v>
      </c>
      <c r="D68" s="510" t="s">
        <v>1101</v>
      </c>
      <c r="E68" s="512" t="str">
        <f>EDID!E28</f>
        <v>0A</v>
      </c>
      <c r="F68" s="92"/>
      <c r="G68"/>
      <c r="H68"/>
      <c r="I68"/>
      <c r="J68"/>
      <c r="K68"/>
      <c r="L68"/>
      <c r="M68"/>
      <c r="N68"/>
      <c r="O68"/>
      <c r="P68"/>
      <c r="Q68"/>
      <c r="R68"/>
      <c r="S68"/>
      <c r="T68"/>
      <c r="U68"/>
      <c r="V68"/>
      <c r="W68"/>
      <c r="X68" s="131"/>
      <c r="Y68" s="131"/>
      <c r="Z68" s="131"/>
      <c r="AA68" s="131"/>
      <c r="AB68" s="131"/>
      <c r="AC68" s="131"/>
      <c r="AD68" s="131"/>
      <c r="AE68" s="131"/>
      <c r="AF68" s="131"/>
      <c r="AG68" s="131"/>
      <c r="AH68" s="131"/>
      <c r="AI68" s="131"/>
      <c r="AJ68" s="131"/>
      <c r="AK68" s="131"/>
      <c r="AL68" s="131"/>
      <c r="AM68" s="131"/>
      <c r="AN68" s="131"/>
      <c r="AO68" s="131"/>
      <c r="AP68" s="131"/>
      <c r="AQ68" s="131"/>
      <c r="AR68" s="131"/>
      <c r="BF68" s="65"/>
      <c r="BG68" s="65"/>
      <c r="BH68" s="65"/>
      <c r="BI68" s="65"/>
      <c r="BJ68" s="65"/>
      <c r="BK68" s="65"/>
      <c r="BL68" s="65"/>
      <c r="BM68" s="65"/>
      <c r="BN68" s="65"/>
      <c r="BO68" s="65"/>
      <c r="BP68" s="65"/>
      <c r="BQ68" s="65"/>
      <c r="BR68" s="65"/>
      <c r="BS68" s="65"/>
    </row>
    <row r="69" spans="1:71" s="64" customFormat="1" outlineLevel="1">
      <c r="A69" s="65"/>
      <c r="B69" s="93" t="s">
        <v>1035</v>
      </c>
      <c r="C69" s="89" t="s">
        <v>1036</v>
      </c>
      <c r="D69" s="510" t="s">
        <v>1104</v>
      </c>
      <c r="E69" s="512" t="str">
        <f>EDID!E29</f>
        <v>0D</v>
      </c>
      <c r="F69" s="92"/>
      <c r="G69"/>
      <c r="H69"/>
      <c r="I69"/>
      <c r="J69"/>
      <c r="K69"/>
      <c r="L69"/>
      <c r="M69"/>
      <c r="N69"/>
      <c r="O69"/>
      <c r="P69"/>
      <c r="Q69"/>
      <c r="R69"/>
      <c r="S69"/>
      <c r="T69"/>
      <c r="U69"/>
      <c r="V69"/>
      <c r="W69"/>
      <c r="X69" s="131"/>
      <c r="Y69" s="131"/>
      <c r="Z69" s="131"/>
      <c r="AA69" s="131"/>
      <c r="AB69" s="131"/>
      <c r="AC69" s="131"/>
      <c r="AD69" s="131"/>
      <c r="AE69" s="131"/>
      <c r="AF69" s="131"/>
      <c r="AG69" s="131"/>
      <c r="AH69" s="131"/>
      <c r="AI69" s="131"/>
      <c r="AJ69" s="131"/>
      <c r="AK69" s="131"/>
      <c r="AL69" s="131"/>
      <c r="AM69" s="131"/>
      <c r="AN69" s="131"/>
      <c r="AO69" s="131"/>
      <c r="AP69" s="131"/>
      <c r="AQ69" s="131"/>
      <c r="AR69" s="131"/>
      <c r="BF69" s="65"/>
      <c r="BG69" s="65"/>
      <c r="BH69" s="65"/>
      <c r="BI69" s="65"/>
      <c r="BJ69" s="65"/>
      <c r="BK69" s="65"/>
      <c r="BL69" s="65"/>
      <c r="BM69" s="65"/>
      <c r="BN69" s="65"/>
      <c r="BO69" s="65"/>
      <c r="BP69" s="65"/>
      <c r="BQ69" s="65"/>
      <c r="BR69" s="65"/>
      <c r="BS69" s="65"/>
    </row>
    <row r="70" spans="1:71" s="64" customFormat="1" outlineLevel="1">
      <c r="A70" s="65"/>
      <c r="B70" s="93" t="s">
        <v>1035</v>
      </c>
      <c r="C70" s="89" t="s">
        <v>1036</v>
      </c>
      <c r="D70" s="510" t="s">
        <v>1108</v>
      </c>
      <c r="E70" s="512" t="str">
        <f>EDID!E30</f>
        <v>C9</v>
      </c>
      <c r="F70" s="92"/>
      <c r="G70"/>
      <c r="H70"/>
      <c r="I70"/>
      <c r="J70"/>
      <c r="K70"/>
      <c r="L70"/>
      <c r="M70"/>
      <c r="N70"/>
      <c r="O70"/>
      <c r="P70"/>
      <c r="Q70"/>
      <c r="R70"/>
      <c r="S70"/>
      <c r="T70"/>
      <c r="U70"/>
      <c r="V70"/>
      <c r="W70"/>
      <c r="X70" s="131"/>
      <c r="Y70" s="131"/>
      <c r="Z70" s="131"/>
      <c r="AA70" s="131"/>
      <c r="AB70" s="131"/>
      <c r="AC70" s="131"/>
      <c r="AD70" s="131"/>
      <c r="AE70" s="131"/>
      <c r="AF70" s="131"/>
      <c r="AG70" s="131"/>
      <c r="AH70" s="131"/>
      <c r="AI70" s="131"/>
      <c r="AJ70" s="131"/>
      <c r="AK70" s="131"/>
      <c r="AL70" s="131"/>
      <c r="AM70" s="131"/>
      <c r="AN70" s="131"/>
      <c r="AO70" s="131"/>
      <c r="AP70" s="131"/>
      <c r="AQ70" s="131"/>
      <c r="AR70" s="131"/>
      <c r="BF70" s="65"/>
      <c r="BG70" s="65"/>
      <c r="BH70" s="65"/>
      <c r="BI70" s="65"/>
      <c r="BJ70" s="65"/>
      <c r="BK70" s="65"/>
      <c r="BL70" s="65"/>
      <c r="BM70" s="65"/>
      <c r="BN70" s="65"/>
      <c r="BO70" s="65"/>
      <c r="BP70" s="65"/>
      <c r="BQ70" s="65"/>
      <c r="BR70" s="65"/>
      <c r="BS70" s="65"/>
    </row>
    <row r="71" spans="1:71" s="64" customFormat="1" outlineLevel="1">
      <c r="A71" s="65"/>
      <c r="B71" s="93" t="s">
        <v>1035</v>
      </c>
      <c r="C71" s="89" t="s">
        <v>1036</v>
      </c>
      <c r="D71" s="510" t="s">
        <v>1111</v>
      </c>
      <c r="E71" s="512" t="str">
        <f>EDID!E31</f>
        <v>A0</v>
      </c>
      <c r="F71" s="92"/>
      <c r="G71"/>
      <c r="H71"/>
      <c r="I71"/>
      <c r="J71"/>
      <c r="K71"/>
      <c r="L71"/>
      <c r="M71"/>
      <c r="N71"/>
      <c r="O71"/>
      <c r="P71"/>
      <c r="Q71"/>
      <c r="R71"/>
      <c r="S71"/>
      <c r="T71"/>
      <c r="U71"/>
      <c r="V71"/>
      <c r="W71"/>
      <c r="X71" s="131"/>
      <c r="Y71" s="131"/>
      <c r="Z71" s="131"/>
      <c r="AA71" s="131"/>
      <c r="AB71" s="131"/>
      <c r="AC71" s="131"/>
      <c r="AD71" s="131"/>
      <c r="AE71" s="131"/>
      <c r="AF71" s="131"/>
      <c r="AG71" s="131"/>
      <c r="AH71" s="131"/>
      <c r="AI71" s="131"/>
      <c r="AJ71" s="131"/>
      <c r="AK71" s="131"/>
      <c r="AL71" s="131"/>
      <c r="AM71" s="131"/>
      <c r="AN71" s="131"/>
      <c r="AO71" s="131"/>
      <c r="AP71" s="131"/>
      <c r="AQ71" s="131"/>
      <c r="AR71" s="131"/>
      <c r="BF71" s="65"/>
      <c r="BG71" s="65"/>
      <c r="BH71" s="65"/>
      <c r="BI71" s="65"/>
      <c r="BJ71" s="65"/>
      <c r="BK71" s="65"/>
      <c r="BL71" s="65"/>
      <c r="BM71" s="65"/>
      <c r="BN71" s="65"/>
      <c r="BO71" s="65"/>
      <c r="BP71" s="65"/>
      <c r="BQ71" s="65"/>
      <c r="BR71" s="65"/>
      <c r="BS71" s="65"/>
    </row>
    <row r="72" spans="1:71" s="64" customFormat="1" outlineLevel="1">
      <c r="A72" s="65"/>
      <c r="B72" s="93" t="s">
        <v>1035</v>
      </c>
      <c r="C72" s="89" t="s">
        <v>1036</v>
      </c>
      <c r="D72" s="510" t="s">
        <v>1113</v>
      </c>
      <c r="E72" s="512" t="str">
        <f>EDID!E32</f>
        <v>57</v>
      </c>
      <c r="F72" s="92"/>
      <c r="G72"/>
      <c r="H72"/>
      <c r="I72"/>
      <c r="J72"/>
      <c r="K72"/>
      <c r="L72"/>
      <c r="M72"/>
      <c r="N72"/>
      <c r="O72"/>
      <c r="P72"/>
      <c r="Q72"/>
      <c r="R72"/>
      <c r="S72"/>
      <c r="T72"/>
      <c r="U72"/>
      <c r="V72"/>
      <c r="W72"/>
      <c r="X72" s="131"/>
      <c r="Y72" s="131"/>
      <c r="Z72" s="131"/>
      <c r="AA72" s="131"/>
      <c r="AB72" s="131"/>
      <c r="AC72" s="131"/>
      <c r="AD72" s="131"/>
      <c r="AE72" s="131"/>
      <c r="AF72" s="131"/>
      <c r="AG72" s="131"/>
      <c r="AH72" s="131"/>
      <c r="AI72" s="131"/>
      <c r="AJ72" s="131"/>
      <c r="AK72" s="131"/>
      <c r="AL72" s="131"/>
      <c r="AM72" s="131"/>
      <c r="AN72" s="131"/>
      <c r="AO72" s="131"/>
      <c r="AP72" s="131"/>
      <c r="AQ72" s="131"/>
      <c r="AR72" s="131"/>
      <c r="BF72" s="65"/>
      <c r="BG72" s="65"/>
      <c r="BH72" s="65"/>
      <c r="BI72" s="65"/>
      <c r="BJ72" s="65"/>
      <c r="BK72" s="65"/>
      <c r="BL72" s="65"/>
      <c r="BM72" s="65"/>
      <c r="BN72" s="65"/>
      <c r="BO72" s="65"/>
      <c r="BP72" s="65"/>
      <c r="BQ72" s="65"/>
      <c r="BR72" s="65"/>
      <c r="BS72" s="65"/>
    </row>
    <row r="73" spans="1:71" s="64" customFormat="1" outlineLevel="1">
      <c r="A73" s="65"/>
      <c r="B73" s="93" t="s">
        <v>1035</v>
      </c>
      <c r="C73" s="89" t="s">
        <v>1036</v>
      </c>
      <c r="D73" s="510" t="s">
        <v>1116</v>
      </c>
      <c r="E73" s="512" t="str">
        <f>EDID!E33</f>
        <v>47</v>
      </c>
      <c r="F73" s="92"/>
      <c r="G73"/>
      <c r="H73"/>
      <c r="I73"/>
      <c r="J73"/>
      <c r="K73"/>
      <c r="L73"/>
      <c r="M73"/>
      <c r="N73"/>
      <c r="O73"/>
      <c r="P73"/>
      <c r="Q73"/>
      <c r="R73"/>
      <c r="S73"/>
      <c r="T73"/>
      <c r="U73"/>
      <c r="V73"/>
      <c r="W73"/>
      <c r="X73" s="131"/>
      <c r="Y73" s="131"/>
      <c r="Z73" s="131"/>
      <c r="AA73" s="131"/>
      <c r="AB73" s="131"/>
      <c r="AC73" s="131"/>
      <c r="AD73" s="131"/>
      <c r="AE73" s="131"/>
      <c r="AF73" s="131"/>
      <c r="AG73" s="131"/>
      <c r="AH73" s="131"/>
      <c r="AI73" s="131"/>
      <c r="AJ73" s="131"/>
      <c r="AK73" s="131"/>
      <c r="AL73" s="131"/>
      <c r="AM73" s="131"/>
      <c r="AN73" s="131"/>
      <c r="AO73" s="131"/>
      <c r="AP73" s="131"/>
      <c r="AQ73" s="131"/>
      <c r="AR73" s="131"/>
      <c r="BF73" s="65"/>
      <c r="BG73" s="65"/>
      <c r="BH73" s="65"/>
      <c r="BI73" s="65"/>
      <c r="BJ73" s="65"/>
      <c r="BK73" s="65"/>
      <c r="BL73" s="65"/>
      <c r="BM73" s="65"/>
      <c r="BN73" s="65"/>
      <c r="BO73" s="65"/>
      <c r="BP73" s="65"/>
      <c r="BQ73" s="65"/>
      <c r="BR73" s="65"/>
      <c r="BS73" s="65"/>
    </row>
    <row r="74" spans="1:71" s="64" customFormat="1" outlineLevel="1">
      <c r="A74" s="65"/>
      <c r="B74" s="93" t="s">
        <v>1035</v>
      </c>
      <c r="C74" s="89" t="s">
        <v>1036</v>
      </c>
      <c r="D74" s="510" t="s">
        <v>1119</v>
      </c>
      <c r="E74" s="512" t="str">
        <f>EDID!E34</f>
        <v>98</v>
      </c>
      <c r="F74" s="92"/>
      <c r="G74"/>
      <c r="H74"/>
      <c r="I74"/>
      <c r="J74"/>
      <c r="K74"/>
      <c r="L74"/>
      <c r="M74"/>
      <c r="N74"/>
      <c r="O74"/>
      <c r="P74"/>
      <c r="Q74"/>
      <c r="R74"/>
      <c r="S74"/>
      <c r="T74"/>
      <c r="U74"/>
      <c r="V74"/>
      <c r="W74"/>
      <c r="X74" s="131"/>
      <c r="Y74" s="131"/>
      <c r="Z74" s="131"/>
      <c r="AA74" s="131"/>
      <c r="AB74" s="131"/>
      <c r="AC74" s="131"/>
      <c r="AD74" s="131"/>
      <c r="AE74" s="131"/>
      <c r="AF74" s="131"/>
      <c r="AG74" s="131"/>
      <c r="AH74" s="131"/>
      <c r="AI74" s="131"/>
      <c r="AJ74" s="131"/>
      <c r="AK74" s="131"/>
      <c r="AL74" s="131"/>
      <c r="AM74" s="131"/>
      <c r="AN74" s="131"/>
      <c r="AO74" s="131"/>
      <c r="AP74" s="131"/>
      <c r="AQ74" s="131"/>
      <c r="AR74" s="131"/>
      <c r="BF74" s="65"/>
      <c r="BG74" s="65"/>
      <c r="BH74" s="65"/>
      <c r="BI74" s="65"/>
      <c r="BJ74" s="65"/>
      <c r="BK74" s="65"/>
      <c r="BL74" s="65"/>
      <c r="BM74" s="65"/>
      <c r="BN74" s="65"/>
      <c r="BO74" s="65"/>
      <c r="BP74" s="65"/>
      <c r="BQ74" s="65"/>
      <c r="BR74" s="65"/>
      <c r="BS74" s="65"/>
    </row>
    <row r="75" spans="1:71" s="64" customFormat="1" outlineLevel="1">
      <c r="A75" s="65"/>
      <c r="B75" s="93" t="s">
        <v>1035</v>
      </c>
      <c r="C75" s="89" t="s">
        <v>1036</v>
      </c>
      <c r="D75" s="510" t="s">
        <v>1122</v>
      </c>
      <c r="E75" s="512" t="str">
        <f>EDID!E35</f>
        <v>27</v>
      </c>
      <c r="F75" s="92"/>
      <c r="G75"/>
      <c r="H75"/>
      <c r="I75"/>
      <c r="J75"/>
      <c r="K75"/>
      <c r="L75"/>
      <c r="M75"/>
      <c r="N75"/>
      <c r="O75"/>
      <c r="P75"/>
      <c r="Q75"/>
      <c r="R75"/>
      <c r="S75"/>
      <c r="T75"/>
      <c r="U75"/>
      <c r="V75"/>
      <c r="W75"/>
      <c r="X75" s="131"/>
      <c r="Y75" s="131"/>
      <c r="Z75" s="131"/>
      <c r="AA75" s="131"/>
      <c r="AB75" s="131"/>
      <c r="AC75" s="131"/>
      <c r="AD75" s="131"/>
      <c r="AE75" s="131"/>
      <c r="AF75" s="131"/>
      <c r="AG75" s="131"/>
      <c r="AH75" s="131"/>
      <c r="AI75" s="131"/>
      <c r="AJ75" s="131"/>
      <c r="AK75" s="131"/>
      <c r="AL75" s="131"/>
      <c r="AM75" s="131"/>
      <c r="AN75" s="131"/>
      <c r="AO75" s="131"/>
      <c r="AP75" s="131"/>
      <c r="AQ75" s="131"/>
      <c r="AR75" s="131"/>
      <c r="BF75" s="65"/>
      <c r="BG75" s="65"/>
      <c r="BH75" s="65"/>
      <c r="BI75" s="65"/>
      <c r="BJ75" s="65"/>
      <c r="BK75" s="65"/>
      <c r="BL75" s="65"/>
      <c r="BM75" s="65"/>
      <c r="BN75" s="65"/>
      <c r="BO75" s="65"/>
      <c r="BP75" s="65"/>
      <c r="BQ75" s="65"/>
      <c r="BR75" s="65"/>
      <c r="BS75" s="65"/>
    </row>
    <row r="76" spans="1:71" s="64" customFormat="1" outlineLevel="1">
      <c r="A76" s="65"/>
      <c r="B76" s="93" t="s">
        <v>1035</v>
      </c>
      <c r="C76" s="89" t="s">
        <v>1036</v>
      </c>
      <c r="D76" s="510" t="s">
        <v>1125</v>
      </c>
      <c r="E76" s="512" t="str">
        <f>EDID!E36</f>
        <v>12</v>
      </c>
      <c r="F76" s="92"/>
      <c r="G76"/>
      <c r="H76"/>
      <c r="I76"/>
      <c r="J76"/>
      <c r="K76"/>
      <c r="L76"/>
      <c r="M76"/>
      <c r="N76"/>
      <c r="O76"/>
      <c r="P76"/>
      <c r="Q76"/>
      <c r="R76"/>
      <c r="S76"/>
      <c r="T76"/>
      <c r="U76"/>
      <c r="V76"/>
      <c r="W76"/>
      <c r="X76" s="131"/>
      <c r="Y76" s="131"/>
      <c r="Z76" s="131"/>
      <c r="AA76" s="131"/>
      <c r="AB76" s="131"/>
      <c r="AC76" s="131"/>
      <c r="AD76" s="131"/>
      <c r="AE76" s="131"/>
      <c r="AF76" s="131"/>
      <c r="AG76" s="131"/>
      <c r="AH76" s="131"/>
      <c r="AI76" s="131"/>
      <c r="AJ76" s="131"/>
      <c r="AK76" s="131"/>
      <c r="AL76" s="131"/>
      <c r="AM76" s="131"/>
      <c r="AN76" s="131"/>
      <c r="AO76" s="131"/>
      <c r="AP76" s="131"/>
      <c r="AQ76" s="131"/>
      <c r="AR76" s="131"/>
      <c r="BF76" s="65"/>
      <c r="BG76" s="65"/>
      <c r="BH76" s="65"/>
      <c r="BI76" s="65"/>
      <c r="BJ76" s="65"/>
      <c r="BK76" s="65"/>
      <c r="BL76" s="65"/>
      <c r="BM76" s="65"/>
      <c r="BN76" s="65"/>
      <c r="BO76" s="65"/>
      <c r="BP76" s="65"/>
      <c r="BQ76" s="65"/>
      <c r="BR76" s="65"/>
      <c r="BS76" s="65"/>
    </row>
    <row r="77" spans="1:71" s="64" customFormat="1" outlineLevel="1">
      <c r="A77" s="65"/>
      <c r="B77" s="93" t="s">
        <v>1035</v>
      </c>
      <c r="C77" s="89" t="s">
        <v>1036</v>
      </c>
      <c r="D77" s="510" t="s">
        <v>1128</v>
      </c>
      <c r="E77" s="512" t="str">
        <f>EDID!E37</f>
        <v>48</v>
      </c>
      <c r="F77" s="92"/>
      <c r="G77"/>
      <c r="H77"/>
      <c r="I77"/>
      <c r="J77"/>
      <c r="K77"/>
      <c r="L77"/>
      <c r="M77"/>
      <c r="N77"/>
      <c r="O77"/>
      <c r="P77"/>
      <c r="Q77"/>
      <c r="R77"/>
      <c r="S77"/>
      <c r="T77"/>
      <c r="U77"/>
      <c r="V77"/>
      <c r="W77"/>
      <c r="X77" s="131"/>
      <c r="Y77" s="131"/>
      <c r="Z77" s="131"/>
      <c r="AA77" s="131"/>
      <c r="AB77" s="131"/>
      <c r="AC77" s="131"/>
      <c r="AD77" s="131"/>
      <c r="AE77" s="131"/>
      <c r="AF77" s="131"/>
      <c r="AG77" s="131"/>
      <c r="AH77" s="131"/>
      <c r="AI77" s="131"/>
      <c r="AJ77" s="131"/>
      <c r="AK77" s="131"/>
      <c r="AL77" s="131"/>
      <c r="AM77" s="131"/>
      <c r="AN77" s="131"/>
      <c r="AO77" s="131"/>
      <c r="AP77" s="131"/>
      <c r="AQ77" s="131"/>
      <c r="AR77" s="131"/>
      <c r="BF77" s="65"/>
      <c r="BG77" s="65"/>
      <c r="BH77" s="65"/>
      <c r="BI77" s="65"/>
      <c r="BJ77" s="65"/>
      <c r="BK77" s="65"/>
      <c r="BL77" s="65"/>
      <c r="BM77" s="65"/>
      <c r="BN77" s="65"/>
      <c r="BO77" s="65"/>
      <c r="BP77" s="65"/>
      <c r="BQ77" s="65"/>
      <c r="BR77" s="65"/>
      <c r="BS77" s="65"/>
    </row>
    <row r="78" spans="1:71" s="64" customFormat="1" outlineLevel="1">
      <c r="A78" s="65"/>
      <c r="B78" s="93" t="s">
        <v>1035</v>
      </c>
      <c r="C78" s="89" t="s">
        <v>1036</v>
      </c>
      <c r="D78" s="510" t="s">
        <v>1131</v>
      </c>
      <c r="E78" s="512" t="str">
        <f>EDID!E38</f>
        <v>4C</v>
      </c>
      <c r="F78" s="92"/>
      <c r="G78"/>
      <c r="H78"/>
      <c r="I78"/>
      <c r="J78"/>
      <c r="K78"/>
      <c r="L78"/>
      <c r="M78"/>
      <c r="N78"/>
      <c r="O78"/>
      <c r="P78"/>
      <c r="Q78"/>
      <c r="R78"/>
      <c r="S78"/>
      <c r="T78"/>
      <c r="U78"/>
      <c r="V78"/>
      <c r="W78"/>
      <c r="X78" s="131"/>
      <c r="Y78" s="131"/>
      <c r="Z78" s="131"/>
      <c r="AA78" s="131"/>
      <c r="AB78" s="131"/>
      <c r="AC78" s="131"/>
      <c r="AD78" s="131"/>
      <c r="AE78" s="131"/>
      <c r="AF78" s="131"/>
      <c r="AG78" s="131"/>
      <c r="AH78" s="131"/>
      <c r="AI78" s="131"/>
      <c r="AJ78" s="131"/>
      <c r="AK78" s="131"/>
      <c r="AL78" s="131"/>
      <c r="AM78" s="131"/>
      <c r="AN78" s="131"/>
      <c r="AO78" s="131"/>
      <c r="AP78" s="131"/>
      <c r="AQ78" s="131"/>
      <c r="AR78" s="131"/>
      <c r="BF78" s="65"/>
      <c r="BG78" s="65"/>
      <c r="BH78" s="65"/>
      <c r="BI78" s="65"/>
      <c r="BJ78" s="65"/>
      <c r="BK78" s="65"/>
      <c r="BL78" s="65"/>
      <c r="BM78" s="65"/>
      <c r="BN78" s="65"/>
      <c r="BO78" s="65"/>
      <c r="BP78" s="65"/>
      <c r="BQ78" s="65"/>
      <c r="BR78" s="65"/>
      <c r="BS78" s="65"/>
    </row>
    <row r="79" spans="1:71" s="64" customFormat="1" outlineLevel="1">
      <c r="A79" s="65"/>
      <c r="B79" s="93" t="s">
        <v>1035</v>
      </c>
      <c r="C79" s="89" t="s">
        <v>1036</v>
      </c>
      <c r="D79" s="510" t="s">
        <v>1134</v>
      </c>
      <c r="E79" s="512" t="str">
        <f>EDID!E39</f>
        <v>00</v>
      </c>
      <c r="F79" s="92"/>
      <c r="G79"/>
      <c r="H79"/>
      <c r="I79"/>
      <c r="J79"/>
      <c r="K79"/>
      <c r="L79"/>
      <c r="M79"/>
      <c r="N79"/>
      <c r="O79"/>
      <c r="P79"/>
      <c r="Q79"/>
      <c r="R79"/>
      <c r="S79"/>
      <c r="T79"/>
      <c r="U79"/>
      <c r="V79"/>
      <c r="W79"/>
      <c r="X79" s="131"/>
      <c r="Y79" s="131"/>
      <c r="Z79" s="131"/>
      <c r="AA79" s="131"/>
      <c r="AB79" s="131"/>
      <c r="AC79" s="131"/>
      <c r="AD79" s="131"/>
      <c r="AE79" s="131"/>
      <c r="AF79" s="131"/>
      <c r="AG79" s="131"/>
      <c r="AH79" s="131"/>
      <c r="AI79" s="131"/>
      <c r="AJ79" s="131"/>
      <c r="AK79" s="131"/>
      <c r="AL79" s="131"/>
      <c r="AM79" s="131"/>
      <c r="AN79" s="131"/>
      <c r="AO79" s="131"/>
      <c r="AP79" s="131"/>
      <c r="AQ79" s="131"/>
      <c r="AR79" s="131"/>
      <c r="BF79" s="65"/>
      <c r="BG79" s="65"/>
      <c r="BH79" s="65"/>
      <c r="BI79" s="65"/>
      <c r="BJ79" s="65"/>
      <c r="BK79" s="65"/>
      <c r="BL79" s="65"/>
      <c r="BM79" s="65"/>
      <c r="BN79" s="65"/>
      <c r="BO79" s="65"/>
      <c r="BP79" s="65"/>
      <c r="BQ79" s="65"/>
      <c r="BR79" s="65"/>
      <c r="BS79" s="65"/>
    </row>
    <row r="80" spans="1:71" s="64" customFormat="1" outlineLevel="1">
      <c r="A80" s="65"/>
      <c r="B80" s="93" t="s">
        <v>1035</v>
      </c>
      <c r="C80" s="89" t="s">
        <v>1036</v>
      </c>
      <c r="D80" s="510" t="s">
        <v>1137</v>
      </c>
      <c r="E80" s="512" t="str">
        <f>EDID!E40</f>
        <v>00</v>
      </c>
      <c r="F80" s="92"/>
      <c r="G80"/>
      <c r="H80"/>
      <c r="I80"/>
      <c r="J80"/>
      <c r="K80"/>
      <c r="L80"/>
      <c r="M80"/>
      <c r="N80"/>
      <c r="O80"/>
      <c r="P80"/>
      <c r="Q80"/>
      <c r="R80"/>
      <c r="S80"/>
      <c r="T80"/>
      <c r="U80"/>
      <c r="V80"/>
      <c r="W80"/>
      <c r="X80" s="131"/>
      <c r="Y80" s="131"/>
      <c r="Z80" s="131"/>
      <c r="AA80" s="131"/>
      <c r="AB80" s="131"/>
      <c r="AC80" s="131"/>
      <c r="AD80" s="131"/>
      <c r="AE80" s="131"/>
      <c r="AF80" s="131"/>
      <c r="AG80" s="131"/>
      <c r="AH80" s="131"/>
      <c r="AI80" s="131"/>
      <c r="AJ80" s="131"/>
      <c r="AK80" s="131"/>
      <c r="AL80" s="131"/>
      <c r="AM80" s="131"/>
      <c r="AN80" s="131"/>
      <c r="AO80" s="131"/>
      <c r="AP80" s="131"/>
      <c r="AQ80" s="131"/>
      <c r="AR80" s="131"/>
      <c r="BF80" s="65"/>
      <c r="BG80" s="65"/>
      <c r="BH80" s="65"/>
      <c r="BI80" s="65"/>
      <c r="BJ80" s="65"/>
      <c r="BK80" s="65"/>
      <c r="BL80" s="65"/>
      <c r="BM80" s="65"/>
      <c r="BN80" s="65"/>
      <c r="BO80" s="65"/>
      <c r="BP80" s="65"/>
      <c r="BQ80" s="65"/>
      <c r="BR80" s="65"/>
      <c r="BS80" s="65"/>
    </row>
    <row r="81" spans="1:71" s="64" customFormat="1" outlineLevel="1">
      <c r="A81" s="65"/>
      <c r="B81" s="93" t="s">
        <v>1035</v>
      </c>
      <c r="C81" s="89" t="s">
        <v>1036</v>
      </c>
      <c r="D81" s="510" t="s">
        <v>1139</v>
      </c>
      <c r="E81" s="512" t="str">
        <f>EDID!E41</f>
        <v>00</v>
      </c>
      <c r="F81" s="92"/>
      <c r="G81"/>
      <c r="H81"/>
      <c r="I81"/>
      <c r="J81"/>
      <c r="K81"/>
      <c r="L81"/>
      <c r="M81"/>
      <c r="N81"/>
      <c r="O81"/>
      <c r="P81"/>
      <c r="Q81"/>
      <c r="R81"/>
      <c r="S81"/>
      <c r="T81"/>
      <c r="U81"/>
      <c r="V81"/>
      <c r="W81"/>
      <c r="X81" s="131"/>
      <c r="Y81" s="131"/>
      <c r="Z81" s="131"/>
      <c r="AA81" s="131"/>
      <c r="AB81" s="131"/>
      <c r="AC81" s="131"/>
      <c r="AD81" s="131"/>
      <c r="AE81" s="131"/>
      <c r="AF81" s="131"/>
      <c r="AG81" s="131"/>
      <c r="AH81" s="131"/>
      <c r="AI81" s="131"/>
      <c r="AJ81" s="131"/>
      <c r="AK81" s="131"/>
      <c r="AL81" s="131"/>
      <c r="AM81" s="131"/>
      <c r="AN81" s="131"/>
      <c r="AO81" s="131"/>
      <c r="AP81" s="131"/>
      <c r="AQ81" s="131"/>
      <c r="AR81" s="131"/>
      <c r="BF81" s="65"/>
      <c r="BG81" s="65"/>
      <c r="BH81" s="65"/>
      <c r="BI81" s="65"/>
      <c r="BJ81" s="65"/>
      <c r="BK81" s="65"/>
      <c r="BL81" s="65"/>
      <c r="BM81" s="65"/>
      <c r="BN81" s="65"/>
      <c r="BO81" s="65"/>
      <c r="BP81" s="65"/>
      <c r="BQ81" s="65"/>
      <c r="BR81" s="65"/>
      <c r="BS81" s="65"/>
    </row>
    <row r="82" spans="1:71" s="64" customFormat="1" outlineLevel="1">
      <c r="A82" s="65"/>
      <c r="B82" s="93" t="s">
        <v>1035</v>
      </c>
      <c r="C82" s="89" t="s">
        <v>1036</v>
      </c>
      <c r="D82" s="510" t="s">
        <v>1141</v>
      </c>
      <c r="E82" s="512" t="str">
        <f>EDID!E42</f>
        <v>01</v>
      </c>
      <c r="F82" s="92"/>
      <c r="G82"/>
      <c r="H82"/>
      <c r="I82"/>
      <c r="J82"/>
      <c r="K82"/>
      <c r="L82"/>
      <c r="M82"/>
      <c r="N82"/>
      <c r="O82"/>
      <c r="P82"/>
      <c r="Q82"/>
      <c r="R82"/>
      <c r="S82"/>
      <c r="T82"/>
      <c r="U82"/>
      <c r="V82"/>
      <c r="W82"/>
      <c r="X82" s="131"/>
      <c r="Y82" s="131"/>
      <c r="Z82" s="131"/>
      <c r="AA82" s="131"/>
      <c r="AB82" s="131"/>
      <c r="AC82" s="131"/>
      <c r="AD82" s="131"/>
      <c r="AE82" s="131"/>
      <c r="AF82" s="131"/>
      <c r="AG82" s="131"/>
      <c r="AH82" s="131"/>
      <c r="AI82" s="131"/>
      <c r="AJ82" s="131"/>
      <c r="AK82" s="131"/>
      <c r="AL82" s="131"/>
      <c r="AM82" s="131"/>
      <c r="AN82" s="131"/>
      <c r="AO82" s="131"/>
      <c r="AP82" s="131"/>
      <c r="AQ82" s="131"/>
      <c r="AR82" s="131"/>
      <c r="BF82" s="65"/>
      <c r="BG82" s="65"/>
      <c r="BH82" s="65"/>
      <c r="BI82" s="65"/>
      <c r="BJ82" s="65"/>
      <c r="BK82" s="65"/>
      <c r="BL82" s="65"/>
      <c r="BM82" s="65"/>
      <c r="BN82" s="65"/>
      <c r="BO82" s="65"/>
      <c r="BP82" s="65"/>
      <c r="BQ82" s="65"/>
      <c r="BR82" s="65"/>
      <c r="BS82" s="65"/>
    </row>
    <row r="83" spans="1:71" s="64" customFormat="1" outlineLevel="1">
      <c r="A83" s="65"/>
      <c r="B83" s="93" t="s">
        <v>1035</v>
      </c>
      <c r="C83" s="89" t="s">
        <v>1036</v>
      </c>
      <c r="D83" s="510" t="s">
        <v>1143</v>
      </c>
      <c r="E83" s="512" t="str">
        <f>EDID!E43</f>
        <v>01</v>
      </c>
      <c r="F83" s="92"/>
      <c r="G83"/>
      <c r="H83"/>
      <c r="I83"/>
      <c r="J83"/>
      <c r="K83"/>
      <c r="L83"/>
      <c r="M83"/>
      <c r="N83"/>
      <c r="O83"/>
      <c r="P83"/>
      <c r="Q83"/>
      <c r="R83"/>
      <c r="S83"/>
      <c r="T83"/>
      <c r="U83"/>
      <c r="V83"/>
      <c r="W83"/>
      <c r="X83" s="131"/>
      <c r="Y83" s="131"/>
      <c r="Z83" s="131"/>
      <c r="AA83" s="131"/>
      <c r="AB83" s="131"/>
      <c r="AC83" s="131"/>
      <c r="AD83" s="131"/>
      <c r="AE83" s="131"/>
      <c r="AF83" s="131"/>
      <c r="AG83" s="131"/>
      <c r="AH83" s="131"/>
      <c r="AI83" s="131"/>
      <c r="AJ83" s="131"/>
      <c r="AK83" s="131"/>
      <c r="AL83" s="131"/>
      <c r="AM83" s="131"/>
      <c r="AN83" s="131"/>
      <c r="AO83" s="131"/>
      <c r="AP83" s="131"/>
      <c r="AQ83" s="131"/>
      <c r="AR83" s="131"/>
      <c r="BF83" s="65"/>
      <c r="BG83" s="65"/>
      <c r="BH83" s="65"/>
      <c r="BI83" s="65"/>
      <c r="BJ83" s="65"/>
      <c r="BK83" s="65"/>
      <c r="BL83" s="65"/>
      <c r="BM83" s="65"/>
      <c r="BN83" s="65"/>
      <c r="BO83" s="65"/>
      <c r="BP83" s="65"/>
      <c r="BQ83" s="65"/>
      <c r="BR83" s="65"/>
      <c r="BS83" s="65"/>
    </row>
    <row r="84" spans="1:71" s="64" customFormat="1" outlineLevel="1">
      <c r="A84" s="65"/>
      <c r="B84" s="93" t="s">
        <v>1035</v>
      </c>
      <c r="C84" s="89" t="s">
        <v>1036</v>
      </c>
      <c r="D84" s="510" t="s">
        <v>1144</v>
      </c>
      <c r="E84" s="512" t="str">
        <f>EDID!E44</f>
        <v>01</v>
      </c>
      <c r="F84" s="92"/>
      <c r="G84"/>
      <c r="H84"/>
      <c r="I84"/>
      <c r="J84"/>
      <c r="K84"/>
      <c r="L84"/>
      <c r="M84"/>
      <c r="N84"/>
      <c r="O84"/>
      <c r="P84"/>
      <c r="Q84"/>
      <c r="R84"/>
      <c r="S84"/>
      <c r="T84"/>
      <c r="U84"/>
      <c r="V84"/>
      <c r="W84"/>
      <c r="X84" s="131"/>
      <c r="Y84" s="131"/>
      <c r="Z84" s="131"/>
      <c r="AA84" s="131"/>
      <c r="AB84" s="131"/>
      <c r="AC84" s="131"/>
      <c r="AD84" s="131"/>
      <c r="AE84" s="131"/>
      <c r="AF84" s="131"/>
      <c r="AG84" s="131"/>
      <c r="AH84" s="131"/>
      <c r="AI84" s="131"/>
      <c r="AJ84" s="131"/>
      <c r="AK84" s="131"/>
      <c r="AL84" s="131"/>
      <c r="AM84" s="131"/>
      <c r="AN84" s="131"/>
      <c r="AO84" s="131"/>
      <c r="AP84" s="131"/>
      <c r="AQ84" s="131"/>
      <c r="AR84" s="131"/>
      <c r="BF84" s="65"/>
      <c r="BG84" s="65"/>
      <c r="BH84" s="65"/>
      <c r="BI84" s="65"/>
      <c r="BJ84" s="65"/>
      <c r="BK84" s="65"/>
      <c r="BL84" s="65"/>
      <c r="BM84" s="65"/>
      <c r="BN84" s="65"/>
      <c r="BO84" s="65"/>
      <c r="BP84" s="65"/>
      <c r="BQ84" s="65"/>
      <c r="BR84" s="65"/>
      <c r="BS84" s="65"/>
    </row>
    <row r="85" spans="1:71" s="64" customFormat="1" outlineLevel="1">
      <c r="A85" s="65"/>
      <c r="B85" s="93" t="s">
        <v>1035</v>
      </c>
      <c r="C85" s="89" t="s">
        <v>1036</v>
      </c>
      <c r="D85" s="510" t="s">
        <v>1146</v>
      </c>
      <c r="E85" s="512" t="str">
        <f>EDID!E45</f>
        <v>01</v>
      </c>
      <c r="F85" s="92"/>
      <c r="G85"/>
      <c r="H85"/>
      <c r="I85"/>
      <c r="J85"/>
      <c r="K85"/>
      <c r="L85"/>
      <c r="M85"/>
      <c r="N85"/>
      <c r="O85"/>
      <c r="P85"/>
      <c r="Q85"/>
      <c r="R85"/>
      <c r="S85"/>
      <c r="T85"/>
      <c r="U85"/>
      <c r="V85"/>
      <c r="W85"/>
      <c r="X85" s="131"/>
      <c r="Y85" s="131"/>
      <c r="Z85" s="131"/>
      <c r="AA85" s="131"/>
      <c r="AB85" s="131"/>
      <c r="AC85" s="131"/>
      <c r="AD85" s="131"/>
      <c r="AE85" s="131"/>
      <c r="AF85" s="131"/>
      <c r="AG85" s="131"/>
      <c r="AH85" s="131"/>
      <c r="AI85" s="131"/>
      <c r="AJ85" s="131"/>
      <c r="AK85" s="131"/>
      <c r="AL85" s="131"/>
      <c r="AM85" s="131"/>
      <c r="AN85" s="131"/>
      <c r="AO85" s="131"/>
      <c r="AP85" s="131"/>
      <c r="AQ85" s="131"/>
      <c r="AR85" s="131"/>
      <c r="BF85" s="65"/>
      <c r="BG85" s="65"/>
      <c r="BH85" s="65"/>
      <c r="BI85" s="65"/>
      <c r="BJ85" s="65"/>
      <c r="BK85" s="65"/>
      <c r="BL85" s="65"/>
      <c r="BM85" s="65"/>
      <c r="BN85" s="65"/>
      <c r="BO85" s="65"/>
      <c r="BP85" s="65"/>
      <c r="BQ85" s="65"/>
      <c r="BR85" s="65"/>
      <c r="BS85" s="65"/>
    </row>
    <row r="86" spans="1:71" s="64" customFormat="1" outlineLevel="1">
      <c r="A86" s="65"/>
      <c r="B86" s="93" t="s">
        <v>1035</v>
      </c>
      <c r="C86" s="89" t="s">
        <v>1036</v>
      </c>
      <c r="D86" s="510" t="s">
        <v>1147</v>
      </c>
      <c r="E86" s="512" t="str">
        <f>EDID!E46</f>
        <v>01</v>
      </c>
      <c r="F86" s="92"/>
      <c r="G86"/>
      <c r="H86"/>
      <c r="I86"/>
      <c r="J86"/>
      <c r="K86"/>
      <c r="L86"/>
      <c r="M86"/>
      <c r="N86"/>
      <c r="O86"/>
      <c r="P86"/>
      <c r="Q86"/>
      <c r="R86"/>
      <c r="S86"/>
      <c r="T86"/>
      <c r="U86"/>
      <c r="V86"/>
      <c r="W86"/>
      <c r="X86" s="131"/>
      <c r="Y86" s="131"/>
      <c r="Z86" s="131"/>
      <c r="AA86" s="131"/>
      <c r="AB86" s="131"/>
      <c r="AC86" s="131"/>
      <c r="AD86" s="131"/>
      <c r="AE86" s="131"/>
      <c r="AF86" s="131"/>
      <c r="AG86" s="131"/>
      <c r="AH86" s="131"/>
      <c r="AI86" s="131"/>
      <c r="AJ86" s="131"/>
      <c r="AK86" s="131"/>
      <c r="AL86" s="131"/>
      <c r="AM86" s="131"/>
      <c r="AN86" s="131"/>
      <c r="AO86" s="131"/>
      <c r="AP86" s="131"/>
      <c r="AQ86" s="131"/>
      <c r="AR86" s="131"/>
      <c r="BF86" s="65"/>
      <c r="BG86" s="65"/>
      <c r="BH86" s="65"/>
      <c r="BI86" s="65"/>
      <c r="BJ86" s="65"/>
      <c r="BK86" s="65"/>
      <c r="BL86" s="65"/>
      <c r="BM86" s="65"/>
      <c r="BN86" s="65"/>
      <c r="BO86" s="65"/>
      <c r="BP86" s="65"/>
      <c r="BQ86" s="65"/>
      <c r="BR86" s="65"/>
      <c r="BS86" s="65"/>
    </row>
    <row r="87" spans="1:71" s="64" customFormat="1" outlineLevel="1">
      <c r="A87" s="65"/>
      <c r="B87" s="93" t="s">
        <v>1035</v>
      </c>
      <c r="C87" s="89" t="s">
        <v>1036</v>
      </c>
      <c r="D87" s="510" t="s">
        <v>1149</v>
      </c>
      <c r="E87" s="512" t="str">
        <f>EDID!E47</f>
        <v>01</v>
      </c>
      <c r="F87" s="92"/>
      <c r="G87"/>
      <c r="H87"/>
      <c r="I87"/>
      <c r="J87"/>
      <c r="K87"/>
      <c r="L87"/>
      <c r="M87"/>
      <c r="N87"/>
      <c r="O87"/>
      <c r="P87"/>
      <c r="Q87"/>
      <c r="R87"/>
      <c r="S87"/>
      <c r="T87"/>
      <c r="U87"/>
      <c r="V87"/>
      <c r="W87"/>
      <c r="X87" s="131"/>
      <c r="Y87" s="131"/>
      <c r="Z87" s="131"/>
      <c r="AA87" s="131"/>
      <c r="AB87" s="131"/>
      <c r="AC87" s="131"/>
      <c r="AD87" s="131"/>
      <c r="AE87" s="131"/>
      <c r="AF87" s="131"/>
      <c r="AG87" s="131"/>
      <c r="AH87" s="131"/>
      <c r="AI87" s="131"/>
      <c r="AJ87" s="131"/>
      <c r="AK87" s="131"/>
      <c r="AL87" s="131"/>
      <c r="AM87" s="131"/>
      <c r="AN87" s="131"/>
      <c r="AO87" s="131"/>
      <c r="AP87" s="131"/>
      <c r="AQ87" s="131"/>
      <c r="AR87" s="131"/>
      <c r="BF87" s="65"/>
      <c r="BG87" s="65"/>
      <c r="BH87" s="65"/>
      <c r="BI87" s="65"/>
      <c r="BJ87" s="65"/>
      <c r="BK87" s="65"/>
      <c r="BL87" s="65"/>
      <c r="BM87" s="65"/>
      <c r="BN87" s="65"/>
      <c r="BO87" s="65"/>
      <c r="BP87" s="65"/>
      <c r="BQ87" s="65"/>
      <c r="BR87" s="65"/>
      <c r="BS87" s="65"/>
    </row>
    <row r="88" spans="1:71" s="64" customFormat="1" outlineLevel="1">
      <c r="A88" s="65"/>
      <c r="B88" s="93" t="s">
        <v>1035</v>
      </c>
      <c r="C88" s="89" t="s">
        <v>1036</v>
      </c>
      <c r="D88" s="510" t="s">
        <v>1150</v>
      </c>
      <c r="E88" s="512" t="str">
        <f>EDID!E48</f>
        <v>01</v>
      </c>
      <c r="F88" s="92"/>
      <c r="G88"/>
      <c r="H88"/>
      <c r="I88"/>
      <c r="J88"/>
      <c r="K88"/>
      <c r="L88"/>
      <c r="M88"/>
      <c r="N88"/>
      <c r="O88"/>
      <c r="P88"/>
      <c r="Q88"/>
      <c r="R88"/>
      <c r="S88"/>
      <c r="T88"/>
      <c r="U88"/>
      <c r="V88"/>
      <c r="W88"/>
      <c r="X88" s="131"/>
      <c r="Y88" s="131"/>
      <c r="Z88" s="131"/>
      <c r="AA88" s="131"/>
      <c r="AB88" s="131"/>
      <c r="AC88" s="131"/>
      <c r="AD88" s="131"/>
      <c r="AE88" s="131"/>
      <c r="AF88" s="131"/>
      <c r="AG88" s="131"/>
      <c r="AH88" s="131"/>
      <c r="AI88" s="131"/>
      <c r="AJ88" s="131"/>
      <c r="AK88" s="131"/>
      <c r="AL88" s="131"/>
      <c r="AM88" s="131"/>
      <c r="AN88" s="131"/>
      <c r="AO88" s="131"/>
      <c r="AP88" s="131"/>
      <c r="AQ88" s="131"/>
      <c r="AR88" s="131"/>
      <c r="BF88" s="65"/>
      <c r="BG88" s="65"/>
      <c r="BH88" s="65"/>
      <c r="BI88" s="65"/>
      <c r="BJ88" s="65"/>
      <c r="BK88" s="65"/>
      <c r="BL88" s="65"/>
      <c r="BM88" s="65"/>
      <c r="BN88" s="65"/>
      <c r="BO88" s="65"/>
      <c r="BP88" s="65"/>
      <c r="BQ88" s="65"/>
      <c r="BR88" s="65"/>
      <c r="BS88" s="65"/>
    </row>
    <row r="89" spans="1:71" s="64" customFormat="1" outlineLevel="1">
      <c r="A89" s="65"/>
      <c r="B89" s="93" t="s">
        <v>1035</v>
      </c>
      <c r="C89" s="89" t="s">
        <v>1036</v>
      </c>
      <c r="D89" s="510" t="s">
        <v>1152</v>
      </c>
      <c r="E89" s="512" t="str">
        <f>EDID!E49</f>
        <v>01</v>
      </c>
      <c r="F89" s="92"/>
      <c r="G89"/>
      <c r="H89"/>
      <c r="I89"/>
      <c r="J89"/>
      <c r="K89"/>
      <c r="L89"/>
      <c r="M89"/>
      <c r="N89"/>
      <c r="O89"/>
      <c r="P89"/>
      <c r="Q89"/>
      <c r="R89"/>
      <c r="S89"/>
      <c r="T89"/>
      <c r="U89"/>
      <c r="V89"/>
      <c r="W89"/>
      <c r="X89" s="131"/>
      <c r="Y89" s="131"/>
      <c r="Z89" s="131"/>
      <c r="AA89" s="131"/>
      <c r="AB89" s="131"/>
      <c r="AC89" s="131"/>
      <c r="AD89" s="131"/>
      <c r="AE89" s="131"/>
      <c r="AF89" s="131"/>
      <c r="AG89" s="131"/>
      <c r="AH89" s="131"/>
      <c r="AI89" s="131"/>
      <c r="AJ89" s="131"/>
      <c r="AK89" s="131"/>
      <c r="AL89" s="131"/>
      <c r="AM89" s="131"/>
      <c r="AN89" s="131"/>
      <c r="AO89" s="131"/>
      <c r="AP89" s="131"/>
      <c r="AQ89" s="131"/>
      <c r="AR89" s="131"/>
      <c r="BF89" s="65"/>
      <c r="BG89" s="65"/>
      <c r="BH89" s="65"/>
      <c r="BI89" s="65"/>
      <c r="BJ89" s="65"/>
      <c r="BK89" s="65"/>
      <c r="BL89" s="65"/>
      <c r="BM89" s="65"/>
      <c r="BN89" s="65"/>
      <c r="BO89" s="65"/>
      <c r="BP89" s="65"/>
      <c r="BQ89" s="65"/>
      <c r="BR89" s="65"/>
      <c r="BS89" s="65"/>
    </row>
    <row r="90" spans="1:71" s="64" customFormat="1" outlineLevel="1">
      <c r="A90" s="65"/>
      <c r="B90" s="93" t="s">
        <v>1035</v>
      </c>
      <c r="C90" s="89" t="s">
        <v>1036</v>
      </c>
      <c r="D90" s="510" t="s">
        <v>1153</v>
      </c>
      <c r="E90" s="512" t="str">
        <f>EDID!E50</f>
        <v>01</v>
      </c>
      <c r="F90" s="92"/>
      <c r="G90"/>
      <c r="H90"/>
      <c r="I90"/>
      <c r="J90"/>
      <c r="K90"/>
      <c r="L90"/>
      <c r="M90"/>
      <c r="N90"/>
      <c r="O90"/>
      <c r="P90"/>
      <c r="Q90"/>
      <c r="R90"/>
      <c r="S90"/>
      <c r="T90"/>
      <c r="U90"/>
      <c r="V90"/>
      <c r="W90"/>
      <c r="X90" s="131"/>
      <c r="Y90" s="131"/>
      <c r="Z90" s="131"/>
      <c r="AA90" s="131"/>
      <c r="AB90" s="131"/>
      <c r="AC90" s="131"/>
      <c r="AD90" s="131"/>
      <c r="AE90" s="131"/>
      <c r="AF90" s="131"/>
      <c r="AG90" s="131"/>
      <c r="AH90" s="131"/>
      <c r="AI90" s="131"/>
      <c r="AJ90" s="131"/>
      <c r="AK90" s="131"/>
      <c r="AL90" s="131"/>
      <c r="AM90" s="131"/>
      <c r="AN90" s="131"/>
      <c r="AO90" s="131"/>
      <c r="AP90" s="131"/>
      <c r="AQ90" s="131"/>
      <c r="AR90" s="131"/>
      <c r="BF90" s="65"/>
      <c r="BG90" s="65"/>
      <c r="BH90" s="65"/>
      <c r="BI90" s="65"/>
      <c r="BJ90" s="65"/>
      <c r="BK90" s="65"/>
      <c r="BL90" s="65"/>
      <c r="BM90" s="65"/>
      <c r="BN90" s="65"/>
      <c r="BO90" s="65"/>
      <c r="BP90" s="65"/>
      <c r="BQ90" s="65"/>
      <c r="BR90" s="65"/>
      <c r="BS90" s="65"/>
    </row>
    <row r="91" spans="1:71" s="64" customFormat="1" outlineLevel="1">
      <c r="A91" s="65"/>
      <c r="B91" s="93" t="s">
        <v>1035</v>
      </c>
      <c r="C91" s="89" t="s">
        <v>1036</v>
      </c>
      <c r="D91" s="510" t="s">
        <v>1155</v>
      </c>
      <c r="E91" s="512" t="str">
        <f>EDID!E51</f>
        <v>01</v>
      </c>
      <c r="F91" s="92"/>
      <c r="G91"/>
      <c r="H91"/>
      <c r="I91"/>
      <c r="J91"/>
      <c r="K91"/>
      <c r="L91"/>
      <c r="M91"/>
      <c r="N91"/>
      <c r="O91"/>
      <c r="P91"/>
      <c r="Q91"/>
      <c r="R91"/>
      <c r="S91"/>
      <c r="T91"/>
      <c r="U91"/>
      <c r="V91"/>
      <c r="W91"/>
      <c r="X91" s="131"/>
      <c r="Y91" s="131"/>
      <c r="Z91" s="131"/>
      <c r="AA91" s="131"/>
      <c r="AB91" s="131"/>
      <c r="AC91" s="131"/>
      <c r="AD91" s="131"/>
      <c r="AE91" s="131"/>
      <c r="AF91" s="131"/>
      <c r="AG91" s="131"/>
      <c r="AH91" s="131"/>
      <c r="AI91" s="131"/>
      <c r="AJ91" s="131"/>
      <c r="AK91" s="131"/>
      <c r="AL91" s="131"/>
      <c r="AM91" s="131"/>
      <c r="AN91" s="131"/>
      <c r="AO91" s="131"/>
      <c r="AP91" s="131"/>
      <c r="AQ91" s="131"/>
      <c r="AR91" s="131"/>
      <c r="BF91" s="65"/>
      <c r="BG91" s="65"/>
      <c r="BH91" s="65"/>
      <c r="BI91" s="65"/>
      <c r="BJ91" s="65"/>
      <c r="BK91" s="65"/>
      <c r="BL91" s="65"/>
      <c r="BM91" s="65"/>
      <c r="BN91" s="65"/>
      <c r="BO91" s="65"/>
      <c r="BP91" s="65"/>
      <c r="BQ91" s="65"/>
      <c r="BR91" s="65"/>
      <c r="BS91" s="65"/>
    </row>
    <row r="92" spans="1:71" s="64" customFormat="1" outlineLevel="1">
      <c r="A92" s="65"/>
      <c r="B92" s="93" t="s">
        <v>1035</v>
      </c>
      <c r="C92" s="89" t="s">
        <v>1036</v>
      </c>
      <c r="D92" s="510" t="s">
        <v>1156</v>
      </c>
      <c r="E92" s="512" t="str">
        <f>EDID!E52</f>
        <v>01</v>
      </c>
      <c r="F92" s="92"/>
      <c r="G92"/>
      <c r="H92"/>
      <c r="I92"/>
      <c r="J92"/>
      <c r="K92"/>
      <c r="L92"/>
      <c r="M92"/>
      <c r="N92"/>
      <c r="O92"/>
      <c r="P92"/>
      <c r="Q92"/>
      <c r="R92"/>
      <c r="S92"/>
      <c r="T92"/>
      <c r="U92"/>
      <c r="V92"/>
      <c r="W92"/>
      <c r="X92" s="131"/>
      <c r="Y92" s="131"/>
      <c r="Z92" s="131"/>
      <c r="AA92" s="131"/>
      <c r="AB92" s="131"/>
      <c r="AC92" s="131"/>
      <c r="AD92" s="131"/>
      <c r="AE92" s="131"/>
      <c r="AF92" s="131"/>
      <c r="AG92" s="131"/>
      <c r="AH92" s="131"/>
      <c r="AI92" s="131"/>
      <c r="AJ92" s="131"/>
      <c r="AK92" s="131"/>
      <c r="AL92" s="131"/>
      <c r="AM92" s="131"/>
      <c r="AN92" s="131"/>
      <c r="AO92" s="131"/>
      <c r="AP92" s="131"/>
      <c r="AQ92" s="131"/>
      <c r="AR92" s="131"/>
      <c r="BF92" s="65"/>
      <c r="BG92" s="65"/>
      <c r="BH92" s="65"/>
      <c r="BI92" s="65"/>
      <c r="BJ92" s="65"/>
      <c r="BK92" s="65"/>
      <c r="BL92" s="65"/>
      <c r="BM92" s="65"/>
      <c r="BN92" s="65"/>
      <c r="BO92" s="65"/>
      <c r="BP92" s="65"/>
      <c r="BQ92" s="65"/>
      <c r="BR92" s="65"/>
      <c r="BS92" s="65"/>
    </row>
    <row r="93" spans="1:71" s="64" customFormat="1" outlineLevel="1">
      <c r="A93" s="65"/>
      <c r="B93" s="93" t="s">
        <v>1035</v>
      </c>
      <c r="C93" s="89" t="s">
        <v>1036</v>
      </c>
      <c r="D93" s="510" t="s">
        <v>1158</v>
      </c>
      <c r="E93" s="512" t="str">
        <f>EDID!E53</f>
        <v>01</v>
      </c>
      <c r="F93" s="92"/>
      <c r="G93"/>
      <c r="H93"/>
      <c r="I93"/>
      <c r="J93"/>
      <c r="K93"/>
      <c r="L93"/>
      <c r="M93"/>
      <c r="N93"/>
      <c r="O93"/>
      <c r="P93"/>
      <c r="Q93"/>
      <c r="R93"/>
      <c r="S93"/>
      <c r="T93"/>
      <c r="U93"/>
      <c r="V93"/>
      <c r="W93"/>
      <c r="X93" s="131"/>
      <c r="Y93" s="131"/>
      <c r="Z93" s="131"/>
      <c r="AA93" s="131"/>
      <c r="AB93" s="131"/>
      <c r="AC93" s="131"/>
      <c r="AD93" s="131"/>
      <c r="AE93" s="131"/>
      <c r="AF93" s="131"/>
      <c r="AG93" s="131"/>
      <c r="AH93" s="131"/>
      <c r="AI93" s="131"/>
      <c r="AJ93" s="131"/>
      <c r="AK93" s="131"/>
      <c r="AL93" s="131"/>
      <c r="AM93" s="131"/>
      <c r="AN93" s="131"/>
      <c r="AO93" s="131"/>
      <c r="AP93" s="131"/>
      <c r="AQ93" s="131"/>
      <c r="AR93" s="131"/>
      <c r="BF93" s="65"/>
      <c r="BG93" s="65"/>
      <c r="BH93" s="65"/>
      <c r="BI93" s="65"/>
      <c r="BJ93" s="65"/>
      <c r="BK93" s="65"/>
      <c r="BL93" s="65"/>
      <c r="BM93" s="65"/>
      <c r="BN93" s="65"/>
      <c r="BO93" s="65"/>
      <c r="BP93" s="65"/>
      <c r="BQ93" s="65"/>
      <c r="BR93" s="65"/>
      <c r="BS93" s="65"/>
    </row>
    <row r="94" spans="1:71" s="64" customFormat="1" outlineLevel="1">
      <c r="A94" s="65"/>
      <c r="B94" s="93" t="s">
        <v>1035</v>
      </c>
      <c r="C94" s="89" t="s">
        <v>1036</v>
      </c>
      <c r="D94" s="510" t="s">
        <v>1159</v>
      </c>
      <c r="E94" s="512" t="str">
        <f>EDID!E54</f>
        <v>01</v>
      </c>
      <c r="F94" s="92"/>
      <c r="G94"/>
      <c r="H94"/>
      <c r="I94"/>
      <c r="J94"/>
      <c r="K94"/>
      <c r="L94"/>
      <c r="M94"/>
      <c r="N94"/>
      <c r="O94"/>
      <c r="P94"/>
      <c r="Q94"/>
      <c r="R94"/>
      <c r="S94"/>
      <c r="T94"/>
      <c r="U94"/>
      <c r="V94"/>
      <c r="W94"/>
      <c r="X94" s="131"/>
      <c r="Y94" s="131"/>
      <c r="Z94" s="131"/>
      <c r="AA94" s="131"/>
      <c r="AB94" s="131"/>
      <c r="AC94" s="131"/>
      <c r="AD94" s="131"/>
      <c r="AE94" s="131"/>
      <c r="AF94" s="131"/>
      <c r="AG94" s="131"/>
      <c r="AH94" s="131"/>
      <c r="AI94" s="131"/>
      <c r="AJ94" s="131"/>
      <c r="AK94" s="131"/>
      <c r="AL94" s="131"/>
      <c r="AM94" s="131"/>
      <c r="AN94" s="131"/>
      <c r="AO94" s="131"/>
      <c r="AP94" s="131"/>
      <c r="AQ94" s="131"/>
      <c r="AR94" s="131"/>
      <c r="BF94" s="65"/>
      <c r="BG94" s="65"/>
      <c r="BH94" s="65"/>
      <c r="BI94" s="65"/>
      <c r="BJ94" s="65"/>
      <c r="BK94" s="65"/>
      <c r="BL94" s="65"/>
      <c r="BM94" s="65"/>
      <c r="BN94" s="65"/>
      <c r="BO94" s="65"/>
      <c r="BP94" s="65"/>
      <c r="BQ94" s="65"/>
      <c r="BR94" s="65"/>
      <c r="BS94" s="65"/>
    </row>
    <row r="95" spans="1:71" s="64" customFormat="1" outlineLevel="1">
      <c r="A95" s="65"/>
      <c r="B95" s="93" t="s">
        <v>1035</v>
      </c>
      <c r="C95" s="89" t="s">
        <v>1036</v>
      </c>
      <c r="D95" s="510" t="s">
        <v>1161</v>
      </c>
      <c r="E95" s="512" t="str">
        <f>EDID!E55</f>
        <v>01</v>
      </c>
      <c r="F95" s="92"/>
      <c r="G95"/>
      <c r="H95"/>
      <c r="I95"/>
      <c r="J95"/>
      <c r="K95"/>
      <c r="L95"/>
      <c r="M95"/>
      <c r="N95"/>
      <c r="O95"/>
      <c r="P95"/>
      <c r="Q95"/>
      <c r="R95"/>
      <c r="S95"/>
      <c r="T95"/>
      <c r="U95"/>
      <c r="V95"/>
      <c r="W95"/>
      <c r="X95" s="131"/>
      <c r="Y95" s="131"/>
      <c r="Z95" s="131"/>
      <c r="AA95" s="131"/>
      <c r="AB95" s="131"/>
      <c r="AC95" s="131"/>
      <c r="AD95" s="131"/>
      <c r="AE95" s="131"/>
      <c r="AF95" s="131"/>
      <c r="AG95" s="131"/>
      <c r="AH95" s="131"/>
      <c r="AI95" s="131"/>
      <c r="AJ95" s="131"/>
      <c r="AK95" s="131"/>
      <c r="AL95" s="131"/>
      <c r="AM95" s="131"/>
      <c r="AN95" s="131"/>
      <c r="AO95" s="131"/>
      <c r="AP95" s="131"/>
      <c r="AQ95" s="131"/>
      <c r="AR95" s="131"/>
      <c r="BF95" s="65"/>
      <c r="BG95" s="65"/>
      <c r="BH95" s="65"/>
      <c r="BI95" s="65"/>
      <c r="BJ95" s="65"/>
      <c r="BK95" s="65"/>
      <c r="BL95" s="65"/>
      <c r="BM95" s="65"/>
      <c r="BN95" s="65"/>
      <c r="BO95" s="65"/>
      <c r="BP95" s="65"/>
      <c r="BQ95" s="65"/>
      <c r="BR95" s="65"/>
      <c r="BS95" s="65"/>
    </row>
    <row r="96" spans="1:71" s="64" customFormat="1" outlineLevel="1">
      <c r="A96" s="65"/>
      <c r="B96" s="93" t="s">
        <v>1035</v>
      </c>
      <c r="C96" s="89" t="s">
        <v>1036</v>
      </c>
      <c r="D96" s="510" t="s">
        <v>1162</v>
      </c>
      <c r="E96" s="512" t="str">
        <f>EDID!E56</f>
        <v>01</v>
      </c>
      <c r="F96" s="92"/>
      <c r="G96"/>
      <c r="H96"/>
      <c r="I96"/>
      <c r="J96"/>
      <c r="K96"/>
      <c r="L96"/>
      <c r="M96"/>
      <c r="N96"/>
      <c r="O96"/>
      <c r="P96"/>
      <c r="Q96"/>
      <c r="R96"/>
      <c r="S96"/>
      <c r="T96"/>
      <c r="U96"/>
      <c r="V96"/>
      <c r="W96"/>
      <c r="X96" s="131"/>
      <c r="Y96" s="131"/>
      <c r="Z96" s="131"/>
      <c r="AA96" s="131"/>
      <c r="AB96" s="131"/>
      <c r="AC96" s="131"/>
      <c r="AD96" s="131"/>
      <c r="AE96" s="131"/>
      <c r="AF96" s="131"/>
      <c r="AG96" s="131"/>
      <c r="AH96" s="131"/>
      <c r="AI96" s="131"/>
      <c r="AJ96" s="131"/>
      <c r="AK96" s="131"/>
      <c r="AL96" s="131"/>
      <c r="AM96" s="131"/>
      <c r="AN96" s="131"/>
      <c r="AO96" s="131"/>
      <c r="AP96" s="131"/>
      <c r="AQ96" s="131"/>
      <c r="AR96" s="131"/>
      <c r="BF96" s="65"/>
      <c r="BG96" s="65"/>
      <c r="BH96" s="65"/>
      <c r="BI96" s="65"/>
      <c r="BJ96" s="65"/>
      <c r="BK96" s="65"/>
      <c r="BL96" s="65"/>
      <c r="BM96" s="65"/>
      <c r="BN96" s="65"/>
      <c r="BO96" s="65"/>
      <c r="BP96" s="65"/>
      <c r="BQ96" s="65"/>
      <c r="BR96" s="65"/>
      <c r="BS96" s="65"/>
    </row>
    <row r="97" spans="1:71" s="64" customFormat="1" outlineLevel="1">
      <c r="A97" s="65"/>
      <c r="B97" s="93" t="s">
        <v>1035</v>
      </c>
      <c r="C97" s="89" t="s">
        <v>1036</v>
      </c>
      <c r="D97" s="510" t="s">
        <v>1164</v>
      </c>
      <c r="E97" s="512" t="str">
        <f>EDID!E57</f>
        <v>01</v>
      </c>
      <c r="F97" s="92"/>
      <c r="G97"/>
      <c r="H97"/>
      <c r="I97"/>
      <c r="J97"/>
      <c r="K97"/>
      <c r="L97"/>
      <c r="M97"/>
      <c r="N97"/>
      <c r="O97"/>
      <c r="P97"/>
      <c r="Q97"/>
      <c r="R97"/>
      <c r="S97"/>
      <c r="T97"/>
      <c r="U97"/>
      <c r="V97"/>
      <c r="W97"/>
      <c r="X97" s="131"/>
      <c r="Y97" s="131"/>
      <c r="Z97" s="131"/>
      <c r="AA97" s="131"/>
      <c r="AB97" s="131"/>
      <c r="AC97" s="131"/>
      <c r="AD97" s="131"/>
      <c r="AE97" s="131"/>
      <c r="AF97" s="131"/>
      <c r="AG97" s="131"/>
      <c r="AH97" s="131"/>
      <c r="AI97" s="131"/>
      <c r="AJ97" s="131"/>
      <c r="AK97" s="131"/>
      <c r="AL97" s="131"/>
      <c r="AM97" s="131"/>
      <c r="AN97" s="131"/>
      <c r="AO97" s="131"/>
      <c r="AP97" s="131"/>
      <c r="AQ97" s="131"/>
      <c r="AR97" s="131"/>
      <c r="BF97" s="65"/>
      <c r="BG97" s="65"/>
      <c r="BH97" s="65"/>
      <c r="BI97" s="65"/>
      <c r="BJ97" s="65"/>
      <c r="BK97" s="65"/>
      <c r="BL97" s="65"/>
      <c r="BM97" s="65"/>
      <c r="BN97" s="65"/>
      <c r="BO97" s="65"/>
      <c r="BP97" s="65"/>
      <c r="BQ97" s="65"/>
      <c r="BR97" s="65"/>
      <c r="BS97" s="65"/>
    </row>
    <row r="98" spans="1:71" s="64" customFormat="1" outlineLevel="1">
      <c r="A98" s="65"/>
      <c r="B98" s="93" t="s">
        <v>1035</v>
      </c>
      <c r="C98" s="89" t="s">
        <v>1036</v>
      </c>
      <c r="D98" s="510" t="s">
        <v>1175</v>
      </c>
      <c r="E98" s="91" t="str">
        <f>EDID!E58</f>
        <v>28</v>
      </c>
      <c r="F98" s="92"/>
      <c r="G98"/>
      <c r="H98"/>
      <c r="I98"/>
      <c r="J98"/>
      <c r="K98"/>
      <c r="L98"/>
      <c r="M98"/>
      <c r="N98"/>
      <c r="O98"/>
      <c r="P98"/>
      <c r="Q98"/>
      <c r="R98"/>
      <c r="S98"/>
      <c r="T98"/>
      <c r="U98"/>
      <c r="V98"/>
      <c r="W98"/>
      <c r="X98" s="131"/>
      <c r="Y98" s="131"/>
      <c r="Z98" s="131"/>
      <c r="AA98" s="131"/>
      <c r="AB98" s="131"/>
      <c r="AC98" s="131"/>
      <c r="AD98" s="131"/>
      <c r="AE98" s="131"/>
      <c r="AF98" s="131"/>
      <c r="AG98" s="131"/>
      <c r="AH98" s="131"/>
      <c r="AI98" s="131"/>
      <c r="AJ98" s="131"/>
      <c r="AK98" s="131"/>
      <c r="AL98" s="131"/>
      <c r="AM98" s="131"/>
      <c r="AN98" s="131"/>
      <c r="AO98" s="131"/>
      <c r="AP98" s="131"/>
      <c r="AQ98" s="131"/>
      <c r="AR98" s="131"/>
      <c r="BF98" s="65"/>
      <c r="BG98" s="65"/>
      <c r="BH98" s="65"/>
      <c r="BI98" s="65"/>
      <c r="BJ98" s="65"/>
      <c r="BK98" s="65"/>
      <c r="BL98" s="65"/>
      <c r="BM98" s="65"/>
      <c r="BN98" s="65"/>
      <c r="BO98" s="65"/>
      <c r="BP98" s="65"/>
      <c r="BQ98" s="65"/>
      <c r="BR98" s="65"/>
      <c r="BS98" s="65"/>
    </row>
    <row r="99" spans="1:71" s="64" customFormat="1" outlineLevel="1">
      <c r="A99" s="65"/>
      <c r="B99" s="93" t="s">
        <v>1035</v>
      </c>
      <c r="C99" s="89" t="s">
        <v>1036</v>
      </c>
      <c r="D99" s="510" t="s">
        <v>1178</v>
      </c>
      <c r="E99" s="91" t="str">
        <f>EDID!E59</f>
        <v>3C</v>
      </c>
      <c r="F99" s="92"/>
      <c r="G99"/>
      <c r="H99"/>
      <c r="I99"/>
      <c r="J99"/>
      <c r="K99"/>
      <c r="L99"/>
      <c r="M99"/>
      <c r="N99"/>
      <c r="O99"/>
      <c r="P99"/>
      <c r="Q99"/>
      <c r="R99"/>
      <c r="S99"/>
      <c r="T99"/>
      <c r="U99"/>
      <c r="V99"/>
      <c r="W99"/>
      <c r="X99" s="131"/>
      <c r="Y99" s="131"/>
      <c r="Z99" s="131"/>
      <c r="AA99" s="131"/>
      <c r="AB99" s="131"/>
      <c r="AC99" s="131"/>
      <c r="AD99" s="131"/>
      <c r="AE99" s="131"/>
      <c r="AF99" s="131"/>
      <c r="AG99" s="131"/>
      <c r="AH99" s="131"/>
      <c r="AI99" s="131"/>
      <c r="AJ99" s="131"/>
      <c r="AK99" s="131"/>
      <c r="AL99" s="131"/>
      <c r="AM99" s="131"/>
      <c r="AN99" s="131"/>
      <c r="AO99" s="131"/>
      <c r="AP99" s="131"/>
      <c r="AQ99" s="131"/>
      <c r="AR99" s="131"/>
      <c r="BF99" s="65"/>
      <c r="BG99" s="65"/>
      <c r="BH99" s="65"/>
      <c r="BI99" s="65"/>
      <c r="BJ99" s="65"/>
      <c r="BK99" s="65"/>
      <c r="BL99" s="65"/>
      <c r="BM99" s="65"/>
      <c r="BN99" s="65"/>
      <c r="BO99" s="65"/>
      <c r="BP99" s="65"/>
      <c r="BQ99" s="65"/>
      <c r="BR99" s="65"/>
      <c r="BS99" s="65"/>
    </row>
    <row r="100" spans="1:71" s="64" customFormat="1" outlineLevel="1">
      <c r="A100" s="65"/>
      <c r="B100" s="93" t="s">
        <v>1035</v>
      </c>
      <c r="C100" s="89" t="s">
        <v>1036</v>
      </c>
      <c r="D100" s="510" t="s">
        <v>1180</v>
      </c>
      <c r="E100" s="91" t="str">
        <f>EDID!E60</f>
        <v>38</v>
      </c>
      <c r="F100" s="92"/>
      <c r="G100"/>
      <c r="H100"/>
      <c r="I100"/>
      <c r="J100"/>
      <c r="K100"/>
      <c r="L100"/>
      <c r="M100"/>
      <c r="N100"/>
      <c r="O100"/>
      <c r="P100"/>
      <c r="Q100"/>
      <c r="R100"/>
      <c r="S100"/>
      <c r="T100"/>
      <c r="U100"/>
      <c r="V100"/>
      <c r="W100"/>
      <c r="X100" s="131"/>
      <c r="Y100" s="131"/>
      <c r="Z100" s="131"/>
      <c r="AA100" s="131"/>
      <c r="AB100" s="131"/>
      <c r="AC100" s="131"/>
      <c r="AD100" s="131"/>
      <c r="AE100" s="131"/>
      <c r="AF100" s="131"/>
      <c r="AG100" s="131"/>
      <c r="AH100" s="131"/>
      <c r="AI100" s="131"/>
      <c r="AJ100" s="131"/>
      <c r="AK100" s="131"/>
      <c r="AL100" s="131"/>
      <c r="AM100" s="131"/>
      <c r="AN100" s="131"/>
      <c r="AO100" s="131"/>
      <c r="AP100" s="131"/>
      <c r="AQ100" s="131"/>
      <c r="AR100" s="131"/>
      <c r="BF100" s="65"/>
      <c r="BG100" s="65"/>
      <c r="BH100" s="65"/>
      <c r="BI100" s="65"/>
      <c r="BJ100" s="65"/>
      <c r="BK100" s="65"/>
      <c r="BL100" s="65"/>
      <c r="BM100" s="65"/>
      <c r="BN100" s="65"/>
      <c r="BO100" s="65"/>
      <c r="BP100" s="65"/>
      <c r="BQ100" s="65"/>
      <c r="BR100" s="65"/>
      <c r="BS100" s="65"/>
    </row>
    <row r="101" spans="1:71" s="64" customFormat="1" outlineLevel="1">
      <c r="A101" s="65"/>
      <c r="B101" s="93" t="s">
        <v>1035</v>
      </c>
      <c r="C101" s="89" t="s">
        <v>1036</v>
      </c>
      <c r="D101" s="510" t="s">
        <v>1183</v>
      </c>
      <c r="E101" s="91" t="str">
        <f>EDID!E61</f>
        <v>FA</v>
      </c>
      <c r="F101" s="92"/>
      <c r="G101"/>
      <c r="H101"/>
      <c r="I101"/>
      <c r="J101"/>
      <c r="K101"/>
      <c r="L101"/>
      <c r="M101"/>
      <c r="N101"/>
      <c r="O101"/>
      <c r="P101"/>
      <c r="Q101"/>
      <c r="R101"/>
      <c r="S101"/>
      <c r="T101"/>
      <c r="U101"/>
      <c r="V101"/>
      <c r="W101"/>
      <c r="X101" s="131"/>
      <c r="Y101" s="131"/>
      <c r="Z101" s="131"/>
      <c r="AA101" s="131"/>
      <c r="AB101" s="131"/>
      <c r="AC101" s="131"/>
      <c r="AD101" s="131"/>
      <c r="AE101" s="131"/>
      <c r="AF101" s="131"/>
      <c r="AG101" s="131"/>
      <c r="AH101" s="131"/>
      <c r="AI101" s="131"/>
      <c r="AJ101" s="131"/>
      <c r="AK101" s="131"/>
      <c r="AL101" s="131"/>
      <c r="AM101" s="131"/>
      <c r="AN101" s="131"/>
      <c r="AO101" s="131"/>
      <c r="AP101" s="131"/>
      <c r="AQ101" s="131"/>
      <c r="AR101" s="131"/>
      <c r="BF101" s="65"/>
      <c r="BG101" s="65"/>
      <c r="BH101" s="65"/>
      <c r="BI101" s="65"/>
      <c r="BJ101" s="65"/>
      <c r="BK101" s="65"/>
      <c r="BL101" s="65"/>
      <c r="BM101" s="65"/>
      <c r="BN101" s="65"/>
      <c r="BO101" s="65"/>
      <c r="BP101" s="65"/>
      <c r="BQ101" s="65"/>
      <c r="BR101" s="65"/>
      <c r="BS101" s="65"/>
    </row>
    <row r="102" spans="1:71" s="64" customFormat="1" outlineLevel="1">
      <c r="A102" s="65"/>
      <c r="B102" s="93" t="s">
        <v>1035</v>
      </c>
      <c r="C102" s="89" t="s">
        <v>1036</v>
      </c>
      <c r="D102" s="510" t="s">
        <v>1186</v>
      </c>
      <c r="E102" s="91" t="str">
        <f>EDID!E62</f>
        <v>40</v>
      </c>
      <c r="F102" s="92"/>
      <c r="G102"/>
      <c r="H102"/>
      <c r="I102"/>
      <c r="J102"/>
      <c r="K102"/>
      <c r="L102"/>
      <c r="M102"/>
      <c r="N102"/>
      <c r="O102"/>
      <c r="P102"/>
      <c r="Q102"/>
      <c r="R102"/>
      <c r="S102"/>
      <c r="T102"/>
      <c r="U102"/>
      <c r="V102"/>
      <c r="W102"/>
      <c r="X102" s="131"/>
      <c r="Y102" s="131"/>
      <c r="Z102" s="131"/>
      <c r="AA102" s="131"/>
      <c r="AB102" s="131"/>
      <c r="AC102" s="131"/>
      <c r="AD102" s="131"/>
      <c r="AE102" s="131"/>
      <c r="AF102" s="131"/>
      <c r="AG102" s="131"/>
      <c r="AH102" s="131"/>
      <c r="AI102" s="131"/>
      <c r="AJ102" s="131"/>
      <c r="AK102" s="131"/>
      <c r="AL102" s="131"/>
      <c r="AM102" s="131"/>
      <c r="AN102" s="131"/>
      <c r="AO102" s="131"/>
      <c r="AP102" s="131"/>
      <c r="AQ102" s="131"/>
      <c r="AR102" s="131"/>
      <c r="BF102" s="65"/>
      <c r="BG102" s="65"/>
      <c r="BH102" s="65"/>
      <c r="BI102" s="65"/>
      <c r="BJ102" s="65"/>
      <c r="BK102" s="65"/>
      <c r="BL102" s="65"/>
      <c r="BM102" s="65"/>
      <c r="BN102" s="65"/>
      <c r="BO102" s="65"/>
      <c r="BP102" s="65"/>
      <c r="BQ102" s="65"/>
      <c r="BR102" s="65"/>
      <c r="BS102" s="65"/>
    </row>
    <row r="103" spans="1:71" s="64" customFormat="1" outlineLevel="1">
      <c r="A103" s="65"/>
      <c r="B103" s="93" t="s">
        <v>1035</v>
      </c>
      <c r="C103" s="89" t="s">
        <v>1036</v>
      </c>
      <c r="D103" s="510" t="s">
        <v>1189</v>
      </c>
      <c r="E103" s="91" t="str">
        <f>EDID!E63</f>
        <v>80</v>
      </c>
      <c r="F103" s="92"/>
      <c r="G103"/>
      <c r="H103"/>
      <c r="I103"/>
      <c r="J103"/>
      <c r="K103"/>
      <c r="L103"/>
      <c r="M103"/>
      <c r="N103"/>
      <c r="O103"/>
      <c r="P103"/>
      <c r="Q103"/>
      <c r="R103"/>
      <c r="S103"/>
      <c r="T103"/>
      <c r="U103"/>
      <c r="V103"/>
      <c r="W103"/>
      <c r="X103" s="131"/>
      <c r="Y103" s="131"/>
      <c r="Z103" s="131"/>
      <c r="AA103" s="131"/>
      <c r="AB103" s="131"/>
      <c r="AC103" s="131"/>
      <c r="AD103" s="131"/>
      <c r="AE103" s="131"/>
      <c r="AF103" s="131"/>
      <c r="AG103" s="131"/>
      <c r="AH103" s="131"/>
      <c r="AI103" s="131"/>
      <c r="AJ103" s="131"/>
      <c r="AK103" s="131"/>
      <c r="AL103" s="131"/>
      <c r="AM103" s="131"/>
      <c r="AN103" s="131"/>
      <c r="AO103" s="131"/>
      <c r="AP103" s="131"/>
      <c r="AQ103" s="131"/>
      <c r="AR103" s="131"/>
      <c r="BF103" s="65"/>
      <c r="BG103" s="65"/>
      <c r="BH103" s="65"/>
      <c r="BI103" s="65"/>
      <c r="BJ103" s="65"/>
      <c r="BK103" s="65"/>
      <c r="BL103" s="65"/>
      <c r="BM103" s="65"/>
      <c r="BN103" s="65"/>
      <c r="BO103" s="65"/>
      <c r="BP103" s="65"/>
      <c r="BQ103" s="65"/>
      <c r="BR103" s="65"/>
      <c r="BS103" s="65"/>
    </row>
    <row r="104" spans="1:71" s="64" customFormat="1" outlineLevel="1">
      <c r="A104" s="65"/>
      <c r="B104" s="93" t="s">
        <v>1035</v>
      </c>
      <c r="C104" s="89" t="s">
        <v>1036</v>
      </c>
      <c r="D104" s="510" t="s">
        <v>1192</v>
      </c>
      <c r="E104" s="91" t="str">
        <f>EDID!E64</f>
        <v>0C</v>
      </c>
      <c r="F104" s="92"/>
      <c r="G104"/>
      <c r="H104"/>
      <c r="I104"/>
      <c r="J104"/>
      <c r="K104"/>
      <c r="L104"/>
      <c r="M104"/>
      <c r="N104"/>
      <c r="O104"/>
      <c r="P104"/>
      <c r="Q104"/>
      <c r="R104"/>
      <c r="S104"/>
      <c r="T104"/>
      <c r="U104"/>
      <c r="V104"/>
      <c r="W104"/>
      <c r="X104" s="131"/>
      <c r="Y104" s="131"/>
      <c r="Z104" s="131"/>
      <c r="AA104" s="131"/>
      <c r="AB104" s="131"/>
      <c r="AC104" s="131"/>
      <c r="AD104" s="131"/>
      <c r="AE104" s="131"/>
      <c r="AF104" s="131"/>
      <c r="AG104" s="131"/>
      <c r="AH104" s="131"/>
      <c r="AI104" s="131"/>
      <c r="AJ104" s="131"/>
      <c r="AK104" s="131"/>
      <c r="AL104" s="131"/>
      <c r="AM104" s="131"/>
      <c r="AN104" s="131"/>
      <c r="AO104" s="131"/>
      <c r="AP104" s="131"/>
      <c r="AQ104" s="131"/>
      <c r="AR104" s="131"/>
      <c r="BF104" s="65"/>
      <c r="BG104" s="65"/>
      <c r="BH104" s="65"/>
      <c r="BI104" s="65"/>
      <c r="BJ104" s="65"/>
      <c r="BK104" s="65"/>
      <c r="BL104" s="65"/>
      <c r="BM104" s="65"/>
      <c r="BN104" s="65"/>
      <c r="BO104" s="65"/>
      <c r="BP104" s="65"/>
      <c r="BQ104" s="65"/>
      <c r="BR104" s="65"/>
      <c r="BS104" s="65"/>
    </row>
    <row r="105" spans="1:71" s="64" customFormat="1" outlineLevel="1">
      <c r="A105" s="65"/>
      <c r="B105" s="93" t="s">
        <v>1035</v>
      </c>
      <c r="C105" s="89" t="s">
        <v>1036</v>
      </c>
      <c r="D105" s="510" t="s">
        <v>1195</v>
      </c>
      <c r="E105" s="91" t="str">
        <f>EDID!E65</f>
        <v>70</v>
      </c>
      <c r="F105" s="92"/>
      <c r="G105"/>
      <c r="H105"/>
      <c r="I105"/>
      <c r="J105"/>
      <c r="K105"/>
      <c r="L105"/>
      <c r="M105"/>
      <c r="N105"/>
      <c r="O105"/>
      <c r="P105"/>
      <c r="Q105"/>
      <c r="R105"/>
      <c r="S105"/>
      <c r="T105"/>
      <c r="U105"/>
      <c r="V105"/>
      <c r="W105"/>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BF105" s="65"/>
      <c r="BG105" s="65"/>
      <c r="BH105" s="65"/>
      <c r="BI105" s="65"/>
      <c r="BJ105" s="65"/>
      <c r="BK105" s="65"/>
      <c r="BL105" s="65"/>
      <c r="BM105" s="65"/>
      <c r="BN105" s="65"/>
      <c r="BO105" s="65"/>
      <c r="BP105" s="65"/>
      <c r="BQ105" s="65"/>
      <c r="BR105" s="65"/>
      <c r="BS105" s="65"/>
    </row>
    <row r="106" spans="1:71" s="64" customFormat="1" outlineLevel="1">
      <c r="A106" s="65"/>
      <c r="B106" s="93" t="s">
        <v>1035</v>
      </c>
      <c r="C106" s="89" t="s">
        <v>1036</v>
      </c>
      <c r="D106" s="510" t="s">
        <v>1198</v>
      </c>
      <c r="E106" s="91" t="str">
        <f>EDID!E66</f>
        <v>64</v>
      </c>
      <c r="F106" s="92"/>
      <c r="G106"/>
      <c r="H106"/>
      <c r="I106"/>
      <c r="J106"/>
      <c r="K106"/>
      <c r="L106"/>
      <c r="M106"/>
      <c r="N106"/>
      <c r="O106"/>
      <c r="P106"/>
      <c r="Q106"/>
      <c r="R106"/>
      <c r="S106"/>
      <c r="T106"/>
      <c r="U106"/>
      <c r="V106"/>
      <c r="W106"/>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BF106" s="65"/>
      <c r="BG106" s="65"/>
      <c r="BH106" s="65"/>
      <c r="BI106" s="65"/>
      <c r="BJ106" s="65"/>
      <c r="BK106" s="65"/>
      <c r="BL106" s="65"/>
      <c r="BM106" s="65"/>
      <c r="BN106" s="65"/>
      <c r="BO106" s="65"/>
      <c r="BP106" s="65"/>
      <c r="BQ106" s="65"/>
      <c r="BR106" s="65"/>
      <c r="BS106" s="65"/>
    </row>
    <row r="107" spans="1:71" s="64" customFormat="1" outlineLevel="1">
      <c r="A107" s="65"/>
      <c r="B107" s="93" t="s">
        <v>1035</v>
      </c>
      <c r="C107" s="89" t="s">
        <v>1036</v>
      </c>
      <c r="D107" s="510" t="s">
        <v>1201</v>
      </c>
      <c r="E107" s="91" t="str">
        <f>EDID!E67</f>
        <v>32</v>
      </c>
      <c r="F107" s="92"/>
      <c r="G107"/>
      <c r="H107"/>
      <c r="I107"/>
      <c r="J107"/>
      <c r="K107"/>
      <c r="L107"/>
      <c r="M107"/>
      <c r="N107"/>
      <c r="O107"/>
      <c r="P107"/>
      <c r="Q107"/>
      <c r="R107"/>
      <c r="S107"/>
      <c r="T107"/>
      <c r="U107"/>
      <c r="V107"/>
      <c r="W107"/>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BF107" s="65"/>
      <c r="BG107" s="65"/>
      <c r="BH107" s="65"/>
      <c r="BI107" s="65"/>
      <c r="BJ107" s="65"/>
      <c r="BK107" s="65"/>
      <c r="BL107" s="65"/>
      <c r="BM107" s="65"/>
      <c r="BN107" s="65"/>
      <c r="BO107" s="65"/>
      <c r="BP107" s="65"/>
      <c r="BQ107" s="65"/>
      <c r="BR107" s="65"/>
      <c r="BS107" s="65"/>
    </row>
    <row r="108" spans="1:71" s="64" customFormat="1" outlineLevel="1">
      <c r="A108" s="65"/>
      <c r="B108" s="93" t="s">
        <v>1035</v>
      </c>
      <c r="C108" s="89" t="s">
        <v>1036</v>
      </c>
      <c r="D108" s="510" t="s">
        <v>1204</v>
      </c>
      <c r="E108" s="91" t="str">
        <f>EDID!E68</f>
        <v>44</v>
      </c>
      <c r="F108" s="92"/>
      <c r="G108"/>
      <c r="H108"/>
      <c r="I108"/>
      <c r="J108"/>
      <c r="K108"/>
      <c r="L108"/>
      <c r="M108"/>
      <c r="N108"/>
      <c r="O108"/>
      <c r="P108"/>
      <c r="Q108"/>
      <c r="R108"/>
      <c r="S108"/>
      <c r="T108"/>
      <c r="U108"/>
      <c r="V108"/>
      <c r="W108"/>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BF108" s="65"/>
      <c r="BG108" s="65"/>
      <c r="BH108" s="65"/>
      <c r="BI108" s="65"/>
      <c r="BJ108" s="65"/>
      <c r="BK108" s="65"/>
      <c r="BL108" s="65"/>
      <c r="BM108" s="65"/>
      <c r="BN108" s="65"/>
      <c r="BO108" s="65"/>
      <c r="BP108" s="65"/>
      <c r="BQ108" s="65"/>
      <c r="BR108" s="65"/>
      <c r="BS108" s="65"/>
    </row>
    <row r="109" spans="1:71" s="64" customFormat="1" outlineLevel="1">
      <c r="A109" s="65"/>
      <c r="B109" s="93" t="s">
        <v>1035</v>
      </c>
      <c r="C109" s="89" t="s">
        <v>1036</v>
      </c>
      <c r="D109" s="510" t="s">
        <v>1207</v>
      </c>
      <c r="E109" s="91" t="str">
        <f>EDID!E69</f>
        <v>00</v>
      </c>
      <c r="F109" s="92"/>
      <c r="G109"/>
      <c r="H109"/>
      <c r="I109"/>
      <c r="J109"/>
      <c r="K109"/>
      <c r="L109"/>
      <c r="M109"/>
      <c r="N109"/>
      <c r="O109"/>
      <c r="P109"/>
      <c r="Q109"/>
      <c r="R109"/>
      <c r="S109"/>
      <c r="T109"/>
      <c r="U109"/>
      <c r="V109"/>
      <c r="W109"/>
      <c r="X109" s="131"/>
      <c r="Y109" s="131"/>
      <c r="Z109" s="131"/>
      <c r="AA109" s="131"/>
      <c r="AB109" s="131"/>
      <c r="AC109" s="131"/>
      <c r="AD109" s="131"/>
      <c r="AE109" s="131"/>
      <c r="AF109" s="131"/>
      <c r="AG109" s="131"/>
      <c r="AH109" s="131"/>
      <c r="AI109" s="131"/>
      <c r="AJ109" s="131"/>
      <c r="AK109" s="131"/>
      <c r="AL109" s="131"/>
      <c r="AM109" s="131"/>
      <c r="AN109" s="131"/>
      <c r="AO109" s="131"/>
      <c r="AP109" s="131"/>
      <c r="AQ109" s="131"/>
      <c r="AR109" s="131"/>
      <c r="BF109" s="65"/>
      <c r="BG109" s="65"/>
      <c r="BH109" s="65"/>
      <c r="BI109" s="65"/>
      <c r="BJ109" s="65"/>
      <c r="BK109" s="65"/>
      <c r="BL109" s="65"/>
      <c r="BM109" s="65"/>
      <c r="BN109" s="65"/>
      <c r="BO109" s="65"/>
      <c r="BP109" s="65"/>
      <c r="BQ109" s="65"/>
      <c r="BR109" s="65"/>
      <c r="BS109" s="65"/>
    </row>
    <row r="110" spans="1:71" s="64" customFormat="1" outlineLevel="1">
      <c r="A110" s="65"/>
      <c r="B110" s="93" t="s">
        <v>1035</v>
      </c>
      <c r="C110" s="89" t="s">
        <v>1036</v>
      </c>
      <c r="D110" s="510" t="s">
        <v>1210</v>
      </c>
      <c r="E110" s="91" t="str">
        <f>EDID!E70</f>
        <v>C0</v>
      </c>
      <c r="F110" s="92"/>
      <c r="G110"/>
      <c r="H110"/>
      <c r="I110"/>
      <c r="J110"/>
      <c r="K110"/>
      <c r="L110"/>
      <c r="M110"/>
      <c r="N110"/>
      <c r="O110"/>
      <c r="P110"/>
      <c r="Q110"/>
      <c r="R110"/>
      <c r="S110"/>
      <c r="T110"/>
      <c r="U110"/>
      <c r="V110"/>
      <c r="W110"/>
      <c r="X110" s="131"/>
      <c r="Y110" s="131"/>
      <c r="Z110" s="131"/>
      <c r="AA110" s="131"/>
      <c r="AB110" s="131"/>
      <c r="AC110" s="131"/>
      <c r="AD110" s="131"/>
      <c r="AE110" s="131"/>
      <c r="AF110" s="131"/>
      <c r="AG110" s="131"/>
      <c r="AH110" s="131"/>
      <c r="AI110" s="131"/>
      <c r="AJ110" s="131"/>
      <c r="AK110" s="131"/>
      <c r="AL110" s="131"/>
      <c r="AM110" s="131"/>
      <c r="AN110" s="131"/>
      <c r="AO110" s="131"/>
      <c r="AP110" s="131"/>
      <c r="AQ110" s="131"/>
      <c r="AR110" s="131"/>
      <c r="BF110" s="65"/>
      <c r="BG110" s="65"/>
      <c r="BH110" s="65"/>
      <c r="BI110" s="65"/>
      <c r="BJ110" s="65"/>
      <c r="BK110" s="65"/>
      <c r="BL110" s="65"/>
      <c r="BM110" s="65"/>
      <c r="BN110" s="65"/>
      <c r="BO110" s="65"/>
      <c r="BP110" s="65"/>
      <c r="BQ110" s="65"/>
      <c r="BR110" s="65"/>
      <c r="BS110" s="65"/>
    </row>
    <row r="111" spans="1:71" s="64" customFormat="1" outlineLevel="1">
      <c r="A111" s="65"/>
      <c r="B111" s="93" t="s">
        <v>1035</v>
      </c>
      <c r="C111" s="89" t="s">
        <v>1036</v>
      </c>
      <c r="D111" s="510" t="s">
        <v>1213</v>
      </c>
      <c r="E111" s="91" t="str">
        <f>EDID!E71</f>
        <v>78</v>
      </c>
      <c r="F111" s="92"/>
      <c r="G111"/>
      <c r="H111"/>
      <c r="I111"/>
      <c r="J111"/>
      <c r="K111"/>
      <c r="L111"/>
      <c r="M111"/>
      <c r="N111"/>
      <c r="O111"/>
      <c r="P111"/>
      <c r="Q111"/>
      <c r="R111"/>
      <c r="S111"/>
      <c r="T111"/>
      <c r="U111"/>
      <c r="V111"/>
      <c r="W111"/>
      <c r="X111" s="131"/>
      <c r="Y111" s="131"/>
      <c r="Z111" s="131"/>
      <c r="AA111" s="131"/>
      <c r="AB111" s="131"/>
      <c r="AC111" s="131"/>
      <c r="AD111" s="131"/>
      <c r="AE111" s="131"/>
      <c r="AF111" s="131"/>
      <c r="AG111" s="131"/>
      <c r="AH111" s="131"/>
      <c r="AI111" s="131"/>
      <c r="AJ111" s="131"/>
      <c r="AK111" s="131"/>
      <c r="AL111" s="131"/>
      <c r="AM111" s="131"/>
      <c r="AN111" s="131"/>
      <c r="AO111" s="131"/>
      <c r="AP111" s="131"/>
      <c r="AQ111" s="131"/>
      <c r="AR111" s="131"/>
      <c r="BF111" s="65"/>
      <c r="BG111" s="65"/>
      <c r="BH111" s="65"/>
      <c r="BI111" s="65"/>
      <c r="BJ111" s="65"/>
      <c r="BK111" s="65"/>
      <c r="BL111" s="65"/>
      <c r="BM111" s="65"/>
      <c r="BN111" s="65"/>
      <c r="BO111" s="65"/>
      <c r="BP111" s="65"/>
      <c r="BQ111" s="65"/>
      <c r="BR111" s="65"/>
      <c r="BS111" s="65"/>
    </row>
    <row r="112" spans="1:71" s="64" customFormat="1" outlineLevel="1">
      <c r="A112" s="65"/>
      <c r="B112" s="93" t="s">
        <v>1035</v>
      </c>
      <c r="C112" s="89" t="s">
        <v>1036</v>
      </c>
      <c r="D112" s="510" t="s">
        <v>1216</v>
      </c>
      <c r="E112" s="91" t="str">
        <f>EDID!E72</f>
        <v>00</v>
      </c>
      <c r="F112" s="92"/>
      <c r="G112"/>
      <c r="H112"/>
      <c r="I112"/>
      <c r="J112"/>
      <c r="K112"/>
      <c r="L112"/>
      <c r="M112"/>
      <c r="N112"/>
      <c r="O112"/>
      <c r="P112"/>
      <c r="Q112"/>
      <c r="R112"/>
      <c r="S112"/>
      <c r="T112"/>
      <c r="U112"/>
      <c r="V112"/>
      <c r="W112"/>
      <c r="X112" s="131"/>
      <c r="Y112" s="131"/>
      <c r="Z112" s="131"/>
      <c r="AA112" s="131"/>
      <c r="AB112" s="131"/>
      <c r="AC112" s="131"/>
      <c r="AD112" s="131"/>
      <c r="AE112" s="131"/>
      <c r="AF112" s="131"/>
      <c r="AG112" s="131"/>
      <c r="AH112" s="131"/>
      <c r="AI112" s="131"/>
      <c r="AJ112" s="131"/>
      <c r="AK112" s="131"/>
      <c r="AL112" s="131"/>
      <c r="AM112" s="131"/>
      <c r="AN112" s="131"/>
      <c r="AO112" s="131"/>
      <c r="AP112" s="131"/>
      <c r="AQ112" s="131"/>
      <c r="AR112" s="131"/>
      <c r="BF112" s="65"/>
      <c r="BG112" s="65"/>
      <c r="BH112" s="65"/>
      <c r="BI112" s="65"/>
      <c r="BJ112" s="65"/>
      <c r="BK112" s="65"/>
      <c r="BL112" s="65"/>
      <c r="BM112" s="65"/>
      <c r="BN112" s="65"/>
      <c r="BO112" s="65"/>
      <c r="BP112" s="65"/>
      <c r="BQ112" s="65"/>
      <c r="BR112" s="65"/>
      <c r="BS112" s="65"/>
    </row>
    <row r="113" spans="1:71" s="64" customFormat="1" outlineLevel="1">
      <c r="A113" s="65"/>
      <c r="B113" s="93" t="s">
        <v>1035</v>
      </c>
      <c r="C113" s="89" t="s">
        <v>1036</v>
      </c>
      <c r="D113" s="510" t="s">
        <v>1219</v>
      </c>
      <c r="E113" s="91" t="str">
        <f>EDID!E73</f>
        <v>00</v>
      </c>
      <c r="F113" s="92"/>
      <c r="G113"/>
      <c r="H113"/>
      <c r="I113"/>
      <c r="J113"/>
      <c r="K113"/>
      <c r="L113"/>
      <c r="M113"/>
      <c r="N113"/>
      <c r="O113"/>
      <c r="P113"/>
      <c r="Q113"/>
      <c r="R113"/>
      <c r="S113"/>
      <c r="T113"/>
      <c r="U113"/>
      <c r="V113"/>
      <c r="W113"/>
      <c r="X113" s="131"/>
      <c r="Y113" s="131"/>
      <c r="Z113" s="131"/>
      <c r="AA113" s="131"/>
      <c r="AB113" s="131"/>
      <c r="AC113" s="131"/>
      <c r="AD113" s="131"/>
      <c r="AE113" s="131"/>
      <c r="AF113" s="131"/>
      <c r="AG113" s="131"/>
      <c r="AH113" s="131"/>
      <c r="AI113" s="131"/>
      <c r="AJ113" s="131"/>
      <c r="AK113" s="131"/>
      <c r="AL113" s="131"/>
      <c r="AM113" s="131"/>
      <c r="AN113" s="131"/>
      <c r="AO113" s="131"/>
      <c r="AP113" s="131"/>
      <c r="AQ113" s="131"/>
      <c r="AR113" s="131"/>
      <c r="BF113" s="65"/>
      <c r="BG113" s="65"/>
      <c r="BH113" s="65"/>
      <c r="BI113" s="65"/>
      <c r="BJ113" s="65"/>
      <c r="BK113" s="65"/>
      <c r="BL113" s="65"/>
      <c r="BM113" s="65"/>
      <c r="BN113" s="65"/>
      <c r="BO113" s="65"/>
      <c r="BP113" s="65"/>
      <c r="BQ113" s="65"/>
      <c r="BR113" s="65"/>
      <c r="BS113" s="65"/>
    </row>
    <row r="114" spans="1:71" s="64" customFormat="1" outlineLevel="1">
      <c r="A114" s="65"/>
      <c r="B114" s="93" t="s">
        <v>1035</v>
      </c>
      <c r="C114" s="89" t="s">
        <v>1036</v>
      </c>
      <c r="D114" s="510" t="s">
        <v>1221</v>
      </c>
      <c r="E114" s="91" t="str">
        <f>EDID!E74</f>
        <v>00</v>
      </c>
      <c r="F114" s="92"/>
      <c r="G114"/>
      <c r="H114"/>
      <c r="I114"/>
      <c r="J114"/>
      <c r="K114"/>
      <c r="L114"/>
      <c r="M114"/>
      <c r="N114"/>
      <c r="O114"/>
      <c r="P114"/>
      <c r="Q114"/>
      <c r="R114"/>
      <c r="S114"/>
      <c r="T114"/>
      <c r="U114"/>
      <c r="V114"/>
      <c r="W114"/>
      <c r="X114" s="131"/>
      <c r="Y114" s="131"/>
      <c r="Z114" s="131"/>
      <c r="AA114" s="131"/>
      <c r="AB114" s="131"/>
      <c r="AC114" s="131"/>
      <c r="AD114" s="131"/>
      <c r="AE114" s="131"/>
      <c r="AF114" s="131"/>
      <c r="AG114" s="131"/>
      <c r="AH114" s="131"/>
      <c r="AI114" s="131"/>
      <c r="AJ114" s="131"/>
      <c r="AK114" s="131"/>
      <c r="AL114" s="131"/>
      <c r="AM114" s="131"/>
      <c r="AN114" s="131"/>
      <c r="AO114" s="131"/>
      <c r="AP114" s="131"/>
      <c r="AQ114" s="131"/>
      <c r="AR114" s="131"/>
      <c r="BF114" s="65"/>
      <c r="BG114" s="65"/>
      <c r="BH114" s="65"/>
      <c r="BI114" s="65"/>
      <c r="BJ114" s="65"/>
      <c r="BK114" s="65"/>
      <c r="BL114" s="65"/>
      <c r="BM114" s="65"/>
      <c r="BN114" s="65"/>
      <c r="BO114" s="65"/>
      <c r="BP114" s="65"/>
      <c r="BQ114" s="65"/>
      <c r="BR114" s="65"/>
      <c r="BS114" s="65"/>
    </row>
    <row r="115" spans="1:71" s="64" customFormat="1" outlineLevel="1">
      <c r="A115" s="65"/>
      <c r="B115" s="93" t="s">
        <v>1035</v>
      </c>
      <c r="C115" s="89" t="s">
        <v>1036</v>
      </c>
      <c r="D115" s="510" t="s">
        <v>1223</v>
      </c>
      <c r="E115" s="91" t="str">
        <f>EDID!E75</f>
        <v>18</v>
      </c>
      <c r="F115" s="92"/>
      <c r="G115"/>
      <c r="H115"/>
      <c r="I115"/>
      <c r="J115"/>
      <c r="K115"/>
      <c r="L115"/>
      <c r="M115"/>
      <c r="N115"/>
      <c r="O115"/>
      <c r="P115"/>
      <c r="Q115"/>
      <c r="R115"/>
      <c r="S115"/>
      <c r="T115"/>
      <c r="U115"/>
      <c r="V115"/>
      <c r="W115"/>
      <c r="X115" s="131"/>
      <c r="Y115" s="131"/>
      <c r="Z115" s="131"/>
      <c r="AA115" s="131"/>
      <c r="AB115" s="131"/>
      <c r="AC115" s="131"/>
      <c r="AD115" s="131"/>
      <c r="AE115" s="131"/>
      <c r="AF115" s="131"/>
      <c r="AG115" s="131"/>
      <c r="AH115" s="131"/>
      <c r="AI115" s="131"/>
      <c r="AJ115" s="131"/>
      <c r="AK115" s="131"/>
      <c r="AL115" s="131"/>
      <c r="AM115" s="131"/>
      <c r="AN115" s="131"/>
      <c r="AO115" s="131"/>
      <c r="AP115" s="131"/>
      <c r="AQ115" s="131"/>
      <c r="AR115" s="131"/>
      <c r="BF115" s="65"/>
      <c r="BG115" s="65"/>
      <c r="BH115" s="65"/>
      <c r="BI115" s="65"/>
      <c r="BJ115" s="65"/>
      <c r="BK115" s="65"/>
      <c r="BL115" s="65"/>
      <c r="BM115" s="65"/>
      <c r="BN115" s="65"/>
      <c r="BO115" s="65"/>
      <c r="BP115" s="65"/>
      <c r="BQ115" s="65"/>
      <c r="BR115" s="65"/>
      <c r="BS115" s="65"/>
    </row>
    <row r="116" spans="1:71" s="64" customFormat="1" ht="15" customHeight="1" outlineLevel="1">
      <c r="A116" s="65"/>
      <c r="B116" s="93" t="s">
        <v>1035</v>
      </c>
      <c r="C116" s="89" t="s">
        <v>1036</v>
      </c>
      <c r="D116" s="510" t="s">
        <v>1225</v>
      </c>
      <c r="E116" s="91" t="str">
        <f>EDID!E76</f>
        <v>28</v>
      </c>
      <c r="F116" s="92"/>
      <c r="G116"/>
      <c r="H116"/>
      <c r="I116"/>
      <c r="J116"/>
      <c r="K116"/>
      <c r="L116"/>
      <c r="M116"/>
      <c r="N116"/>
      <c r="O116"/>
      <c r="P116"/>
      <c r="Q116"/>
      <c r="R116"/>
      <c r="S116"/>
      <c r="T116"/>
      <c r="U116"/>
      <c r="V116"/>
      <c r="W116"/>
      <c r="X116" s="131"/>
      <c r="Y116" s="131"/>
      <c r="Z116" s="131"/>
      <c r="AA116" s="131"/>
      <c r="AB116" s="131"/>
      <c r="AC116" s="131"/>
      <c r="AD116" s="131"/>
      <c r="AE116" s="131"/>
      <c r="AF116" s="131"/>
      <c r="AG116" s="131"/>
      <c r="AH116" s="131"/>
      <c r="AI116" s="131"/>
      <c r="AJ116" s="131"/>
      <c r="AK116" s="131"/>
      <c r="AL116" s="131"/>
      <c r="AM116" s="131"/>
      <c r="AN116" s="131"/>
      <c r="AO116" s="131"/>
      <c r="AP116" s="131"/>
      <c r="AQ116" s="131"/>
      <c r="AR116" s="131"/>
      <c r="BF116" s="65"/>
      <c r="BG116" s="65"/>
      <c r="BH116" s="65"/>
      <c r="BI116" s="65"/>
      <c r="BJ116" s="65"/>
      <c r="BK116" s="65"/>
      <c r="BL116" s="65"/>
      <c r="BM116" s="65"/>
      <c r="BN116" s="65"/>
      <c r="BO116" s="65"/>
      <c r="BP116" s="65"/>
      <c r="BQ116" s="65"/>
      <c r="BR116" s="65"/>
      <c r="BS116" s="65"/>
    </row>
    <row r="117" spans="1:71" s="64" customFormat="1" outlineLevel="1">
      <c r="A117" s="65"/>
      <c r="B117" s="93" t="s">
        <v>1035</v>
      </c>
      <c r="C117" s="89" t="s">
        <v>1036</v>
      </c>
      <c r="D117" s="510" t="s">
        <v>1228</v>
      </c>
      <c r="E117" s="91" t="str">
        <f>EDID!E77</f>
        <v>3C</v>
      </c>
      <c r="F117" s="94"/>
      <c r="G117"/>
      <c r="H117"/>
      <c r="I117"/>
      <c r="J117"/>
      <c r="K117"/>
      <c r="L117"/>
      <c r="M117"/>
      <c r="N117"/>
      <c r="O117"/>
      <c r="P117"/>
      <c r="Q117"/>
      <c r="R117"/>
      <c r="S117"/>
      <c r="T117"/>
      <c r="U117"/>
      <c r="V117"/>
      <c r="W117"/>
      <c r="X117" s="131"/>
      <c r="Y117" s="131"/>
      <c r="Z117" s="131"/>
      <c r="AA117" s="131"/>
      <c r="AB117" s="131"/>
      <c r="AC117" s="131"/>
      <c r="AD117" s="131"/>
      <c r="AE117" s="131"/>
      <c r="AF117" s="131"/>
      <c r="AG117" s="131"/>
      <c r="AH117" s="131"/>
      <c r="AI117" s="131"/>
      <c r="AJ117" s="131"/>
      <c r="AK117" s="131"/>
      <c r="AL117" s="131"/>
      <c r="AM117" s="131"/>
      <c r="AN117" s="131"/>
      <c r="AO117" s="131"/>
      <c r="AP117" s="131"/>
      <c r="AQ117" s="131"/>
      <c r="AR117" s="131"/>
      <c r="BF117" s="65"/>
      <c r="BG117" s="65"/>
      <c r="BH117" s="65"/>
      <c r="BI117" s="65"/>
      <c r="BJ117" s="65"/>
      <c r="BK117" s="65"/>
      <c r="BL117" s="65"/>
      <c r="BM117" s="65"/>
      <c r="BN117" s="65"/>
      <c r="BO117" s="65"/>
      <c r="BP117" s="65"/>
      <c r="BQ117" s="65"/>
      <c r="BR117" s="65"/>
      <c r="BS117" s="65"/>
    </row>
    <row r="118" spans="1:71" s="64" customFormat="1" outlineLevel="1">
      <c r="A118" s="65"/>
      <c r="B118" s="93" t="s">
        <v>1035</v>
      </c>
      <c r="C118" s="89" t="s">
        <v>1036</v>
      </c>
      <c r="D118" s="510" t="s">
        <v>1229</v>
      </c>
      <c r="E118" s="91" t="str">
        <f>EDID!E78</f>
        <v>38</v>
      </c>
      <c r="F118" s="92"/>
      <c r="G118"/>
      <c r="H118"/>
      <c r="I118"/>
      <c r="J118"/>
      <c r="K118"/>
      <c r="L118"/>
      <c r="M118"/>
      <c r="N118"/>
      <c r="O118"/>
      <c r="P118"/>
      <c r="Q118"/>
      <c r="R118"/>
      <c r="S118"/>
      <c r="T118"/>
      <c r="U118"/>
      <c r="V118"/>
      <c r="W118"/>
      <c r="X118" s="131"/>
      <c r="Y118" s="131"/>
      <c r="Z118" s="131"/>
      <c r="AA118" s="131"/>
      <c r="AB118" s="131"/>
      <c r="AC118" s="131"/>
      <c r="AD118" s="131"/>
      <c r="AE118" s="131"/>
      <c r="AF118" s="131"/>
      <c r="AG118" s="131"/>
      <c r="AH118" s="131"/>
      <c r="AI118" s="131"/>
      <c r="AJ118" s="131"/>
      <c r="AK118" s="131"/>
      <c r="AL118" s="131"/>
      <c r="AM118" s="131"/>
      <c r="AN118" s="131"/>
      <c r="AO118" s="131"/>
      <c r="AP118" s="131"/>
      <c r="AQ118" s="131"/>
      <c r="AR118" s="131"/>
      <c r="BF118" s="65"/>
      <c r="BG118" s="65"/>
      <c r="BH118" s="65"/>
      <c r="BI118" s="65"/>
      <c r="BJ118" s="65"/>
      <c r="BK118" s="65"/>
      <c r="BL118" s="65"/>
      <c r="BM118" s="65"/>
      <c r="BN118" s="65"/>
      <c r="BO118" s="65"/>
      <c r="BP118" s="65"/>
      <c r="BQ118" s="65"/>
      <c r="BR118" s="65"/>
      <c r="BS118" s="65"/>
    </row>
    <row r="119" spans="1:71" s="64" customFormat="1" outlineLevel="1">
      <c r="A119" s="65"/>
      <c r="B119" s="93" t="s">
        <v>1035</v>
      </c>
      <c r="C119" s="89" t="s">
        <v>1036</v>
      </c>
      <c r="D119" s="510" t="s">
        <v>1231</v>
      </c>
      <c r="E119" s="91" t="str">
        <f>EDID!E79</f>
        <v>FA</v>
      </c>
      <c r="F119" s="92"/>
      <c r="G119"/>
      <c r="H119"/>
      <c r="I119"/>
      <c r="J119"/>
      <c r="K119"/>
      <c r="L119"/>
      <c r="M119"/>
      <c r="N119"/>
      <c r="O119"/>
      <c r="P119"/>
      <c r="Q119"/>
      <c r="R119"/>
      <c r="S119"/>
      <c r="T119"/>
      <c r="U119"/>
      <c r="V119"/>
      <c r="W119"/>
      <c r="X119" s="131"/>
      <c r="Y119" s="131"/>
      <c r="Z119" s="131"/>
      <c r="AA119" s="131"/>
      <c r="AB119" s="131"/>
      <c r="AC119" s="131"/>
      <c r="AD119" s="131"/>
      <c r="AE119" s="131"/>
      <c r="AF119" s="131"/>
      <c r="AG119" s="131"/>
      <c r="AH119" s="131"/>
      <c r="AI119" s="131"/>
      <c r="AJ119" s="131"/>
      <c r="AK119" s="131"/>
      <c r="AL119" s="131"/>
      <c r="AM119" s="131"/>
      <c r="AN119" s="131"/>
      <c r="AO119" s="131"/>
      <c r="AP119" s="131"/>
      <c r="AQ119" s="131"/>
      <c r="AR119" s="131"/>
      <c r="BF119" s="65"/>
      <c r="BG119" s="65"/>
      <c r="BH119" s="65"/>
      <c r="BI119" s="65"/>
      <c r="BJ119" s="65"/>
      <c r="BK119" s="65"/>
      <c r="BL119" s="65"/>
      <c r="BM119" s="65"/>
      <c r="BN119" s="65"/>
      <c r="BO119" s="65"/>
      <c r="BP119" s="65"/>
      <c r="BQ119" s="65"/>
      <c r="BR119" s="65"/>
      <c r="BS119" s="65"/>
    </row>
    <row r="120" spans="1:71" s="64" customFormat="1" outlineLevel="1">
      <c r="A120" s="65"/>
      <c r="B120" s="93" t="s">
        <v>1035</v>
      </c>
      <c r="C120" s="89" t="s">
        <v>1036</v>
      </c>
      <c r="D120" s="510" t="s">
        <v>1233</v>
      </c>
      <c r="E120" s="91" t="str">
        <f>EDID!E80</f>
        <v>40</v>
      </c>
      <c r="F120" s="92"/>
      <c r="G120"/>
      <c r="H120"/>
      <c r="I120"/>
      <c r="J120"/>
      <c r="K120"/>
      <c r="L120"/>
      <c r="M120"/>
      <c r="N120"/>
      <c r="O120"/>
      <c r="P120"/>
      <c r="Q120"/>
      <c r="R120"/>
      <c r="S120"/>
      <c r="T120"/>
      <c r="U120"/>
      <c r="V120"/>
      <c r="W120"/>
      <c r="X120" s="131"/>
      <c r="Y120" s="131"/>
      <c r="Z120" s="131"/>
      <c r="AA120" s="131"/>
      <c r="AB120" s="131"/>
      <c r="AC120" s="131"/>
      <c r="AD120" s="131"/>
      <c r="AE120" s="131"/>
      <c r="AF120" s="131"/>
      <c r="AG120" s="131"/>
      <c r="AH120" s="131"/>
      <c r="AI120" s="131"/>
      <c r="AJ120" s="131"/>
      <c r="AK120" s="131"/>
      <c r="AL120" s="131"/>
      <c r="AM120" s="131"/>
      <c r="AN120" s="131"/>
      <c r="AO120" s="131"/>
      <c r="AP120" s="131"/>
      <c r="AQ120" s="131"/>
      <c r="AR120" s="131"/>
      <c r="BF120" s="65"/>
      <c r="BG120" s="65"/>
      <c r="BH120" s="65"/>
      <c r="BI120" s="65"/>
      <c r="BJ120" s="65"/>
      <c r="BK120" s="65"/>
      <c r="BL120" s="65"/>
      <c r="BM120" s="65"/>
      <c r="BN120" s="65"/>
      <c r="BO120" s="65"/>
      <c r="BP120" s="65"/>
      <c r="BQ120" s="65"/>
      <c r="BR120" s="65"/>
      <c r="BS120" s="65"/>
    </row>
    <row r="121" spans="1:71" s="64" customFormat="1" outlineLevel="1">
      <c r="A121" s="65"/>
      <c r="B121" s="93" t="s">
        <v>1035</v>
      </c>
      <c r="C121" s="89" t="s">
        <v>1036</v>
      </c>
      <c r="D121" s="510" t="s">
        <v>1235</v>
      </c>
      <c r="E121" s="91" t="str">
        <f>EDID!E81</f>
        <v>80</v>
      </c>
      <c r="F121" s="92"/>
      <c r="G121"/>
      <c r="H121"/>
      <c r="I121"/>
      <c r="J121"/>
      <c r="K121"/>
      <c r="L121"/>
      <c r="M121"/>
      <c r="N121"/>
      <c r="O121"/>
      <c r="P121"/>
      <c r="Q121"/>
      <c r="R121"/>
      <c r="S121"/>
      <c r="T121"/>
      <c r="U121"/>
      <c r="V121"/>
      <c r="W12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BF121" s="65"/>
      <c r="BG121" s="65"/>
      <c r="BH121" s="65"/>
      <c r="BI121" s="65"/>
      <c r="BJ121" s="65"/>
      <c r="BK121" s="65"/>
      <c r="BL121" s="65"/>
      <c r="BM121" s="65"/>
      <c r="BN121" s="65"/>
      <c r="BO121" s="65"/>
      <c r="BP121" s="65"/>
      <c r="BQ121" s="65"/>
      <c r="BR121" s="65"/>
      <c r="BS121" s="65"/>
    </row>
    <row r="122" spans="1:71" s="64" customFormat="1" outlineLevel="1">
      <c r="A122" s="65"/>
      <c r="B122" s="93" t="s">
        <v>1035</v>
      </c>
      <c r="C122" s="89" t="s">
        <v>1036</v>
      </c>
      <c r="D122" s="510" t="s">
        <v>1237</v>
      </c>
      <c r="E122" s="91" t="str">
        <f>EDID!E82</f>
        <v>0C</v>
      </c>
      <c r="F122" s="92"/>
      <c r="G122"/>
      <c r="H122"/>
      <c r="I122"/>
      <c r="J122"/>
      <c r="K122"/>
      <c r="L122"/>
      <c r="M122"/>
      <c r="N122"/>
      <c r="O122"/>
      <c r="P122"/>
      <c r="Q122"/>
      <c r="R122"/>
      <c r="S122"/>
      <c r="T122"/>
      <c r="U122"/>
      <c r="V122"/>
      <c r="W122"/>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BF122" s="65"/>
      <c r="BG122" s="65"/>
      <c r="BH122" s="65"/>
      <c r="BI122" s="65"/>
      <c r="BJ122" s="65"/>
      <c r="BK122" s="65"/>
      <c r="BL122" s="65"/>
      <c r="BM122" s="65"/>
      <c r="BN122" s="65"/>
      <c r="BO122" s="65"/>
      <c r="BP122" s="65"/>
      <c r="BQ122" s="65"/>
      <c r="BR122" s="65"/>
      <c r="BS122" s="65"/>
    </row>
    <row r="123" spans="1:71" s="64" customFormat="1" outlineLevel="1">
      <c r="A123" s="65"/>
      <c r="B123" s="93" t="s">
        <v>1035</v>
      </c>
      <c r="C123" s="89" t="s">
        <v>1036</v>
      </c>
      <c r="D123" s="510" t="s">
        <v>1239</v>
      </c>
      <c r="E123" s="91" t="str">
        <f>EDID!E83</f>
        <v>70</v>
      </c>
      <c r="F123" s="92"/>
      <c r="G123"/>
      <c r="H123"/>
      <c r="I123"/>
      <c r="J123"/>
      <c r="K123"/>
      <c r="L123"/>
      <c r="M123"/>
      <c r="N123"/>
      <c r="O123"/>
      <c r="P123"/>
      <c r="Q123"/>
      <c r="R123"/>
      <c r="S123"/>
      <c r="T123"/>
      <c r="U123"/>
      <c r="V123"/>
      <c r="W123"/>
      <c r="X123" s="131"/>
      <c r="Y123" s="131"/>
      <c r="Z123" s="131"/>
      <c r="AA123" s="131"/>
      <c r="AB123" s="131"/>
      <c r="AC123" s="131"/>
      <c r="AD123" s="131"/>
      <c r="AE123" s="131"/>
      <c r="AF123" s="131"/>
      <c r="AG123" s="131"/>
      <c r="AH123" s="131"/>
      <c r="AI123" s="131"/>
      <c r="AJ123" s="131"/>
      <c r="AK123" s="131"/>
      <c r="AL123" s="131"/>
      <c r="AM123" s="131"/>
      <c r="AN123" s="131"/>
      <c r="AO123" s="131"/>
      <c r="AP123" s="131"/>
      <c r="AQ123" s="131"/>
      <c r="AR123" s="131"/>
      <c r="BF123" s="65"/>
      <c r="BG123" s="65"/>
      <c r="BH123" s="65"/>
      <c r="BI123" s="65"/>
      <c r="BJ123" s="65"/>
      <c r="BK123" s="65"/>
      <c r="BL123" s="65"/>
      <c r="BM123" s="65"/>
      <c r="BN123" s="65"/>
      <c r="BO123" s="65"/>
      <c r="BP123" s="65"/>
      <c r="BQ123" s="65"/>
      <c r="BR123" s="65"/>
      <c r="BS123" s="65"/>
    </row>
    <row r="124" spans="1:71" s="64" customFormat="1" outlineLevel="1">
      <c r="A124" s="65"/>
      <c r="B124" s="93" t="s">
        <v>1035</v>
      </c>
      <c r="C124" s="89" t="s">
        <v>1036</v>
      </c>
      <c r="D124" s="510" t="s">
        <v>1241</v>
      </c>
      <c r="E124" s="91" t="str">
        <f>EDID!E84</f>
        <v>64</v>
      </c>
      <c r="F124" s="92"/>
      <c r="G124"/>
      <c r="H124"/>
      <c r="I124"/>
      <c r="J124"/>
      <c r="K124"/>
      <c r="L124"/>
      <c r="M124"/>
      <c r="N124"/>
      <c r="O124"/>
      <c r="P124"/>
      <c r="Q124"/>
      <c r="R124"/>
      <c r="S124"/>
      <c r="T124"/>
      <c r="U124"/>
      <c r="V124"/>
      <c r="W124"/>
      <c r="X124" s="131"/>
      <c r="Y124" s="131"/>
      <c r="Z124" s="131"/>
      <c r="AA124" s="131"/>
      <c r="AB124" s="131"/>
      <c r="AC124" s="131"/>
      <c r="AD124" s="131"/>
      <c r="AE124" s="131"/>
      <c r="AF124" s="131"/>
      <c r="AG124" s="131"/>
      <c r="AH124" s="131"/>
      <c r="AI124" s="131"/>
      <c r="AJ124" s="131"/>
      <c r="AK124" s="131"/>
      <c r="AL124" s="131"/>
      <c r="AM124" s="131"/>
      <c r="AN124" s="131"/>
      <c r="AO124" s="131"/>
      <c r="AP124" s="131"/>
      <c r="AQ124" s="131"/>
      <c r="AR124" s="131"/>
      <c r="BF124" s="65"/>
      <c r="BG124" s="65"/>
      <c r="BH124" s="65"/>
      <c r="BI124" s="65"/>
      <c r="BJ124" s="65"/>
      <c r="BK124" s="65"/>
      <c r="BL124" s="65"/>
      <c r="BM124" s="65"/>
      <c r="BN124" s="65"/>
      <c r="BO124" s="65"/>
      <c r="BP124" s="65"/>
      <c r="BQ124" s="65"/>
      <c r="BR124" s="65"/>
      <c r="BS124" s="65"/>
    </row>
    <row r="125" spans="1:71" s="64" customFormat="1" outlineLevel="1">
      <c r="A125" s="65"/>
      <c r="B125" s="93" t="s">
        <v>1035</v>
      </c>
      <c r="C125" s="89" t="s">
        <v>1036</v>
      </c>
      <c r="D125" s="510" t="s">
        <v>1243</v>
      </c>
      <c r="E125" s="91" t="str">
        <f>EDID!E85</f>
        <v>32</v>
      </c>
      <c r="F125" s="92"/>
      <c r="G125"/>
      <c r="H125"/>
      <c r="I125"/>
      <c r="J125"/>
      <c r="K125"/>
      <c r="L125"/>
      <c r="M125"/>
      <c r="N125"/>
      <c r="O125"/>
      <c r="P125"/>
      <c r="Q125"/>
      <c r="R125"/>
      <c r="S125"/>
      <c r="T125"/>
      <c r="U125"/>
      <c r="V125"/>
      <c r="W125"/>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BF125" s="65"/>
      <c r="BG125" s="65"/>
      <c r="BH125" s="65"/>
      <c r="BI125" s="65"/>
      <c r="BJ125" s="65"/>
      <c r="BK125" s="65"/>
      <c r="BL125" s="65"/>
      <c r="BM125" s="65"/>
      <c r="BN125" s="65"/>
      <c r="BO125" s="65"/>
      <c r="BP125" s="65"/>
      <c r="BQ125" s="65"/>
      <c r="BR125" s="65"/>
      <c r="BS125" s="65"/>
    </row>
    <row r="126" spans="1:71" s="64" customFormat="1" outlineLevel="1">
      <c r="A126" s="65"/>
      <c r="B126" s="93" t="s">
        <v>1035</v>
      </c>
      <c r="C126" s="89" t="s">
        <v>1036</v>
      </c>
      <c r="D126" s="510" t="s">
        <v>1245</v>
      </c>
      <c r="E126" s="91" t="str">
        <f>EDID!E86</f>
        <v>44</v>
      </c>
      <c r="F126" s="92"/>
      <c r="G126"/>
      <c r="H126"/>
      <c r="I126"/>
      <c r="J126"/>
      <c r="K126"/>
      <c r="L126"/>
      <c r="M126"/>
      <c r="N126"/>
      <c r="O126"/>
      <c r="P126"/>
      <c r="Q126"/>
      <c r="R126"/>
      <c r="S126"/>
      <c r="T126"/>
      <c r="U126"/>
      <c r="V126"/>
      <c r="W126"/>
      <c r="X126" s="131"/>
      <c r="Y126" s="131"/>
      <c r="Z126" s="131"/>
      <c r="AA126" s="131"/>
      <c r="AB126" s="131"/>
      <c r="AC126" s="131"/>
      <c r="AD126" s="131"/>
      <c r="AE126" s="131"/>
      <c r="AF126" s="131"/>
      <c r="AG126" s="131"/>
      <c r="AH126" s="131"/>
      <c r="AI126" s="131"/>
      <c r="AJ126" s="131"/>
      <c r="AK126" s="131"/>
      <c r="AL126" s="131"/>
      <c r="AM126" s="131"/>
      <c r="AN126" s="131"/>
      <c r="AO126" s="131"/>
      <c r="AP126" s="131"/>
      <c r="AQ126" s="131"/>
      <c r="AR126" s="131"/>
      <c r="BF126" s="65"/>
      <c r="BG126" s="65"/>
      <c r="BH126" s="65"/>
      <c r="BI126" s="65"/>
      <c r="BJ126" s="65"/>
      <c r="BK126" s="65"/>
      <c r="BL126" s="65"/>
      <c r="BM126" s="65"/>
      <c r="BN126" s="65"/>
      <c r="BO126" s="65"/>
      <c r="BP126" s="65"/>
      <c r="BQ126" s="65"/>
      <c r="BR126" s="65"/>
      <c r="BS126" s="65"/>
    </row>
    <row r="127" spans="1:71" s="64" customFormat="1" outlineLevel="1">
      <c r="A127" s="65"/>
      <c r="B127" s="93" t="s">
        <v>1035</v>
      </c>
      <c r="C127" s="89" t="s">
        <v>1036</v>
      </c>
      <c r="D127" s="510" t="s">
        <v>1247</v>
      </c>
      <c r="E127" s="91" t="str">
        <f>EDID!E87</f>
        <v>00</v>
      </c>
      <c r="F127" s="92"/>
      <c r="G127"/>
      <c r="H127"/>
      <c r="I127"/>
      <c r="J127"/>
      <c r="K127"/>
      <c r="L127"/>
      <c r="M127"/>
      <c r="N127"/>
      <c r="O127"/>
      <c r="P127"/>
      <c r="Q127"/>
      <c r="R127"/>
      <c r="S127"/>
      <c r="T127"/>
      <c r="U127"/>
      <c r="V127"/>
      <c r="W127"/>
      <c r="X127" s="131"/>
      <c r="Y127" s="131"/>
      <c r="Z127" s="131"/>
      <c r="AA127" s="131"/>
      <c r="AB127" s="131"/>
      <c r="AC127" s="131"/>
      <c r="AD127" s="131"/>
      <c r="AE127" s="131"/>
      <c r="AF127" s="131"/>
      <c r="AG127" s="131"/>
      <c r="AH127" s="131"/>
      <c r="AI127" s="131"/>
      <c r="AJ127" s="131"/>
      <c r="AK127" s="131"/>
      <c r="AL127" s="131"/>
      <c r="AM127" s="131"/>
      <c r="AN127" s="131"/>
      <c r="AO127" s="131"/>
      <c r="AP127" s="131"/>
      <c r="AQ127" s="131"/>
      <c r="AR127" s="131"/>
      <c r="BF127" s="65"/>
      <c r="BG127" s="65"/>
      <c r="BH127" s="65"/>
      <c r="BI127" s="65"/>
      <c r="BJ127" s="65"/>
      <c r="BK127" s="65"/>
      <c r="BL127" s="65"/>
      <c r="BM127" s="65"/>
      <c r="BN127" s="65"/>
      <c r="BO127" s="65"/>
      <c r="BP127" s="65"/>
      <c r="BQ127" s="65"/>
      <c r="BR127" s="65"/>
      <c r="BS127" s="65"/>
    </row>
    <row r="128" spans="1:71" s="64" customFormat="1" outlineLevel="1">
      <c r="A128" s="65"/>
      <c r="B128" s="93" t="s">
        <v>1035</v>
      </c>
      <c r="C128" s="89" t="s">
        <v>1036</v>
      </c>
      <c r="D128" s="510" t="s">
        <v>1249</v>
      </c>
      <c r="E128" s="91" t="str">
        <f>EDID!E88</f>
        <v>C0</v>
      </c>
      <c r="F128" s="92"/>
      <c r="G128"/>
      <c r="H128"/>
      <c r="I128"/>
      <c r="J128"/>
      <c r="K128"/>
      <c r="L128"/>
      <c r="M128"/>
      <c r="N128"/>
      <c r="O128"/>
      <c r="P128"/>
      <c r="Q128"/>
      <c r="R128"/>
      <c r="S128"/>
      <c r="T128"/>
      <c r="U128"/>
      <c r="V128"/>
      <c r="W128"/>
      <c r="X128" s="131"/>
      <c r="Y128" s="131"/>
      <c r="Z128" s="131"/>
      <c r="AA128" s="131"/>
      <c r="AB128" s="131"/>
      <c r="AC128" s="131"/>
      <c r="AD128" s="131"/>
      <c r="AE128" s="131"/>
      <c r="AF128" s="131"/>
      <c r="AG128" s="131"/>
      <c r="AH128" s="131"/>
      <c r="AI128" s="131"/>
      <c r="AJ128" s="131"/>
      <c r="AK128" s="131"/>
      <c r="AL128" s="131"/>
      <c r="AM128" s="131"/>
      <c r="AN128" s="131"/>
      <c r="AO128" s="131"/>
      <c r="AP128" s="131"/>
      <c r="AQ128" s="131"/>
      <c r="AR128" s="131"/>
      <c r="BF128" s="65"/>
      <c r="BG128" s="65"/>
      <c r="BH128" s="65"/>
      <c r="BI128" s="65"/>
      <c r="BJ128" s="65"/>
      <c r="BK128" s="65"/>
      <c r="BL128" s="65"/>
      <c r="BM128" s="65"/>
      <c r="BN128" s="65"/>
      <c r="BO128" s="65"/>
      <c r="BP128" s="65"/>
      <c r="BQ128" s="65"/>
      <c r="BR128" s="65"/>
      <c r="BS128" s="65"/>
    </row>
    <row r="129" spans="1:71" s="64" customFormat="1" outlineLevel="1">
      <c r="A129" s="65"/>
      <c r="B129" s="93" t="s">
        <v>1035</v>
      </c>
      <c r="C129" s="89" t="s">
        <v>1036</v>
      </c>
      <c r="D129" s="510" t="s">
        <v>1251</v>
      </c>
      <c r="E129" s="91" t="str">
        <f>EDID!E89</f>
        <v>78</v>
      </c>
      <c r="F129" s="92"/>
      <c r="G129"/>
      <c r="H129"/>
      <c r="I129"/>
      <c r="J129"/>
      <c r="K129"/>
      <c r="L129"/>
      <c r="M129"/>
      <c r="N129"/>
      <c r="O129"/>
      <c r="P129"/>
      <c r="Q129"/>
      <c r="R129"/>
      <c r="S129"/>
      <c r="T129"/>
      <c r="U129"/>
      <c r="V129"/>
      <c r="W129"/>
      <c r="X129" s="131"/>
      <c r="Y129" s="131"/>
      <c r="Z129" s="131"/>
      <c r="AA129" s="131"/>
      <c r="AB129" s="131"/>
      <c r="AC129" s="131"/>
      <c r="AD129" s="131"/>
      <c r="AE129" s="131"/>
      <c r="AF129" s="131"/>
      <c r="AG129" s="131"/>
      <c r="AH129" s="131"/>
      <c r="AI129" s="131"/>
      <c r="AJ129" s="131"/>
      <c r="AK129" s="131"/>
      <c r="AL129" s="131"/>
      <c r="AM129" s="131"/>
      <c r="AN129" s="131"/>
      <c r="AO129" s="131"/>
      <c r="AP129" s="131"/>
      <c r="AQ129" s="131"/>
      <c r="AR129" s="131"/>
      <c r="BF129" s="65"/>
      <c r="BG129" s="65"/>
      <c r="BH129" s="65"/>
      <c r="BI129" s="65"/>
      <c r="BJ129" s="65"/>
      <c r="BK129" s="65"/>
      <c r="BL129" s="65"/>
      <c r="BM129" s="65"/>
      <c r="BN129" s="65"/>
      <c r="BO129" s="65"/>
      <c r="BP129" s="65"/>
      <c r="BQ129" s="65"/>
      <c r="BR129" s="65"/>
      <c r="BS129" s="65"/>
    </row>
    <row r="130" spans="1:71" s="64" customFormat="1" outlineLevel="1">
      <c r="A130" s="65"/>
      <c r="B130" s="93" t="s">
        <v>1035</v>
      </c>
      <c r="C130" s="89" t="s">
        <v>1036</v>
      </c>
      <c r="D130" s="510" t="s">
        <v>1253</v>
      </c>
      <c r="E130" s="91" t="str">
        <f>EDID!E90</f>
        <v>00</v>
      </c>
      <c r="F130" s="92"/>
      <c r="G130"/>
      <c r="H130"/>
      <c r="I130"/>
      <c r="J130"/>
      <c r="K130"/>
      <c r="L130"/>
      <c r="M130"/>
      <c r="N130"/>
      <c r="O130"/>
      <c r="P130"/>
      <c r="Q130"/>
      <c r="R130"/>
      <c r="S130"/>
      <c r="T130"/>
      <c r="U130"/>
      <c r="V130"/>
      <c r="W130"/>
      <c r="X130" s="131"/>
      <c r="Y130" s="131"/>
      <c r="Z130" s="131"/>
      <c r="AA130" s="131"/>
      <c r="AB130" s="131"/>
      <c r="AC130" s="131"/>
      <c r="AD130" s="131"/>
      <c r="AE130" s="131"/>
      <c r="AF130" s="131"/>
      <c r="AG130" s="131"/>
      <c r="AH130" s="131"/>
      <c r="AI130" s="131"/>
      <c r="AJ130" s="131"/>
      <c r="AK130" s="131"/>
      <c r="AL130" s="131"/>
      <c r="AM130" s="131"/>
      <c r="AN130" s="131"/>
      <c r="AO130" s="131"/>
      <c r="AP130" s="131"/>
      <c r="AQ130" s="131"/>
      <c r="AR130" s="131"/>
      <c r="BF130" s="65"/>
      <c r="BG130" s="65"/>
      <c r="BH130" s="65"/>
      <c r="BI130" s="65"/>
      <c r="BJ130" s="65"/>
      <c r="BK130" s="65"/>
      <c r="BL130" s="65"/>
      <c r="BM130" s="65"/>
      <c r="BN130" s="65"/>
      <c r="BO130" s="65"/>
      <c r="BP130" s="65"/>
      <c r="BQ130" s="65"/>
      <c r="BR130" s="65"/>
      <c r="BS130" s="65"/>
    </row>
    <row r="131" spans="1:71" s="64" customFormat="1" outlineLevel="1">
      <c r="A131" s="65"/>
      <c r="B131" s="93" t="s">
        <v>1035</v>
      </c>
      <c r="C131" s="89" t="s">
        <v>1036</v>
      </c>
      <c r="D131" s="510" t="s">
        <v>1255</v>
      </c>
      <c r="E131" s="91" t="str">
        <f>EDID!E91</f>
        <v>00</v>
      </c>
      <c r="F131" s="92"/>
      <c r="G131"/>
      <c r="H131"/>
      <c r="I131"/>
      <c r="J131"/>
      <c r="K131"/>
      <c r="L131"/>
      <c r="M131"/>
      <c r="N131"/>
      <c r="O131"/>
      <c r="P131"/>
      <c r="Q131"/>
      <c r="R131"/>
      <c r="S131"/>
      <c r="T131"/>
      <c r="U131"/>
      <c r="V131"/>
      <c r="W131"/>
      <c r="X131" s="131"/>
      <c r="Y131" s="131"/>
      <c r="Z131" s="131"/>
      <c r="AA131" s="131"/>
      <c r="AB131" s="131"/>
      <c r="AC131" s="131"/>
      <c r="AD131" s="131"/>
      <c r="AE131" s="131"/>
      <c r="AF131" s="131"/>
      <c r="AG131" s="131"/>
      <c r="AH131" s="131"/>
      <c r="AI131" s="131"/>
      <c r="AJ131" s="131"/>
      <c r="AK131" s="131"/>
      <c r="AL131" s="131"/>
      <c r="AM131" s="131"/>
      <c r="AN131" s="131"/>
      <c r="AO131" s="131"/>
      <c r="AP131" s="131"/>
      <c r="AQ131" s="131"/>
      <c r="AR131" s="131"/>
      <c r="BF131" s="65"/>
      <c r="BG131" s="65"/>
      <c r="BH131" s="65"/>
      <c r="BI131" s="65"/>
      <c r="BJ131" s="65"/>
      <c r="BK131" s="65"/>
      <c r="BL131" s="65"/>
      <c r="BM131" s="65"/>
      <c r="BN131" s="65"/>
      <c r="BO131" s="65"/>
      <c r="BP131" s="65"/>
      <c r="BQ131" s="65"/>
      <c r="BR131" s="65"/>
      <c r="BS131" s="65"/>
    </row>
    <row r="132" spans="1:71" s="64" customFormat="1" outlineLevel="1">
      <c r="A132" s="65"/>
      <c r="B132" s="93" t="s">
        <v>1035</v>
      </c>
      <c r="C132" s="89" t="s">
        <v>1036</v>
      </c>
      <c r="D132" s="510" t="s">
        <v>1257</v>
      </c>
      <c r="E132" s="91" t="str">
        <f>EDID!E92</f>
        <v>00</v>
      </c>
      <c r="F132" s="92"/>
      <c r="G132"/>
      <c r="H132"/>
      <c r="I132"/>
      <c r="J132"/>
      <c r="K132"/>
      <c r="L132"/>
      <c r="M132"/>
      <c r="N132"/>
      <c r="O132"/>
      <c r="P132"/>
      <c r="Q132"/>
      <c r="R132"/>
      <c r="S132"/>
      <c r="T132"/>
      <c r="U132"/>
      <c r="V132"/>
      <c r="W132"/>
      <c r="X132" s="131"/>
      <c r="Y132" s="131"/>
      <c r="Z132" s="131"/>
      <c r="AA132" s="131"/>
      <c r="AB132" s="131"/>
      <c r="AC132" s="131"/>
      <c r="AD132" s="131"/>
      <c r="AE132" s="131"/>
      <c r="AF132" s="131"/>
      <c r="AG132" s="131"/>
      <c r="AH132" s="131"/>
      <c r="AI132" s="131"/>
      <c r="AJ132" s="131"/>
      <c r="AK132" s="131"/>
      <c r="AL132" s="131"/>
      <c r="AM132" s="131"/>
      <c r="AN132" s="131"/>
      <c r="AO132" s="131"/>
      <c r="AP132" s="131"/>
      <c r="AQ132" s="131"/>
      <c r="AR132" s="131"/>
      <c r="BF132" s="65"/>
      <c r="BG132" s="65"/>
      <c r="BH132" s="65"/>
      <c r="BI132" s="65"/>
      <c r="BJ132" s="65"/>
      <c r="BK132" s="65"/>
      <c r="BL132" s="65"/>
      <c r="BM132" s="65"/>
      <c r="BN132" s="65"/>
      <c r="BO132" s="65"/>
      <c r="BP132" s="65"/>
      <c r="BQ132" s="65"/>
      <c r="BR132" s="65"/>
      <c r="BS132" s="65"/>
    </row>
    <row r="133" spans="1:71" s="64" customFormat="1" outlineLevel="1">
      <c r="A133" s="65"/>
      <c r="B133" s="93" t="s">
        <v>1035</v>
      </c>
      <c r="C133" s="89" t="s">
        <v>1036</v>
      </c>
      <c r="D133" s="510" t="s">
        <v>1259</v>
      </c>
      <c r="E133" s="91" t="str">
        <f>EDID!E93</f>
        <v>18</v>
      </c>
      <c r="F133" s="92"/>
      <c r="G133"/>
      <c r="H133"/>
      <c r="I133"/>
      <c r="J133"/>
      <c r="K133"/>
      <c r="L133"/>
      <c r="M133"/>
      <c r="N133"/>
      <c r="O133"/>
      <c r="P133"/>
      <c r="Q133"/>
      <c r="R133"/>
      <c r="S133"/>
      <c r="T133"/>
      <c r="U133"/>
      <c r="V133"/>
      <c r="W133"/>
      <c r="X133" s="131"/>
      <c r="Y133" s="131"/>
      <c r="Z133" s="131"/>
      <c r="AA133" s="131"/>
      <c r="AB133" s="131"/>
      <c r="AC133" s="131"/>
      <c r="AD133" s="131"/>
      <c r="AE133" s="131"/>
      <c r="AF133" s="131"/>
      <c r="AG133" s="131"/>
      <c r="AH133" s="131"/>
      <c r="AI133" s="131"/>
      <c r="AJ133" s="131"/>
      <c r="AK133" s="131"/>
      <c r="AL133" s="131"/>
      <c r="AM133" s="131"/>
      <c r="AN133" s="131"/>
      <c r="AO133" s="131"/>
      <c r="AP133" s="131"/>
      <c r="AQ133" s="131"/>
      <c r="AR133" s="131"/>
      <c r="BF133" s="65"/>
      <c r="BG133" s="65"/>
      <c r="BH133" s="65"/>
      <c r="BI133" s="65"/>
      <c r="BJ133" s="65"/>
      <c r="BK133" s="65"/>
      <c r="BL133" s="65"/>
      <c r="BM133" s="65"/>
      <c r="BN133" s="65"/>
      <c r="BO133" s="65"/>
      <c r="BP133" s="65"/>
      <c r="BQ133" s="65"/>
      <c r="BR133" s="65"/>
      <c r="BS133" s="65"/>
    </row>
    <row r="134" spans="1:71" s="64" customFormat="1" outlineLevel="1">
      <c r="A134" s="65"/>
      <c r="B134" s="93" t="s">
        <v>1035</v>
      </c>
      <c r="C134" s="89" t="s">
        <v>1036</v>
      </c>
      <c r="D134" s="510" t="s">
        <v>1261</v>
      </c>
      <c r="E134" s="512" t="str">
        <f>EDID!E94</f>
        <v>00</v>
      </c>
      <c r="F134" s="92"/>
      <c r="G134"/>
      <c r="H134"/>
      <c r="I134"/>
      <c r="J134"/>
      <c r="K134"/>
      <c r="L134"/>
      <c r="M134"/>
      <c r="N134"/>
      <c r="O134"/>
      <c r="P134"/>
      <c r="Q134"/>
      <c r="R134"/>
      <c r="S134"/>
      <c r="T134"/>
      <c r="U134"/>
      <c r="V134"/>
      <c r="W134"/>
      <c r="X134" s="131"/>
      <c r="Y134" s="131"/>
      <c r="Z134" s="131"/>
      <c r="AA134" s="131"/>
      <c r="AB134" s="131"/>
      <c r="AC134" s="131"/>
      <c r="AD134" s="131"/>
      <c r="AE134" s="131"/>
      <c r="AF134" s="131"/>
      <c r="AG134" s="131"/>
      <c r="AH134" s="131"/>
      <c r="AI134" s="131"/>
      <c r="AJ134" s="131"/>
      <c r="AK134" s="131"/>
      <c r="AL134" s="131"/>
      <c r="AM134" s="131"/>
      <c r="AN134" s="131"/>
      <c r="AO134" s="131"/>
      <c r="AP134" s="131"/>
      <c r="AQ134" s="131"/>
      <c r="AR134" s="131"/>
      <c r="BF134" s="65"/>
      <c r="BG134" s="65"/>
      <c r="BH134" s="65"/>
      <c r="BI134" s="65"/>
      <c r="BJ134" s="65"/>
      <c r="BK134" s="65"/>
      <c r="BL134" s="65"/>
      <c r="BM134" s="65"/>
      <c r="BN134" s="65"/>
      <c r="BO134" s="65"/>
      <c r="BP134" s="65"/>
      <c r="BQ134" s="65"/>
      <c r="BR134" s="65"/>
      <c r="BS134" s="65"/>
    </row>
    <row r="135" spans="1:71" s="64" customFormat="1" outlineLevel="1">
      <c r="A135" s="65"/>
      <c r="B135" s="93" t="s">
        <v>1035</v>
      </c>
      <c r="C135" s="89" t="s">
        <v>1036</v>
      </c>
      <c r="D135" s="510" t="s">
        <v>1264</v>
      </c>
      <c r="E135" s="512" t="str">
        <f>EDID!E95</f>
        <v>00</v>
      </c>
      <c r="F135" s="92"/>
      <c r="G135"/>
      <c r="H135"/>
      <c r="I135"/>
      <c r="J135"/>
      <c r="K135"/>
      <c r="L135"/>
      <c r="M135"/>
      <c r="N135"/>
      <c r="O135"/>
      <c r="P135"/>
      <c r="Q135"/>
      <c r="R135"/>
      <c r="S135"/>
      <c r="T135"/>
      <c r="U135"/>
      <c r="V135"/>
      <c r="W135"/>
      <c r="X135" s="131"/>
      <c r="Y135" s="131"/>
      <c r="Z135" s="131"/>
      <c r="AA135" s="131"/>
      <c r="AB135" s="131"/>
      <c r="AC135" s="131"/>
      <c r="AD135" s="131"/>
      <c r="AE135" s="131"/>
      <c r="AF135" s="131"/>
      <c r="AG135" s="131"/>
      <c r="AH135" s="131"/>
      <c r="AI135" s="131"/>
      <c r="AJ135" s="131"/>
      <c r="AK135" s="131"/>
      <c r="AL135" s="131"/>
      <c r="AM135" s="131"/>
      <c r="AN135" s="131"/>
      <c r="AO135" s="131"/>
      <c r="AP135" s="131"/>
      <c r="AQ135" s="131"/>
      <c r="AR135" s="131"/>
      <c r="BF135" s="65"/>
      <c r="BG135" s="65"/>
      <c r="BH135" s="65"/>
      <c r="BI135" s="65"/>
      <c r="BJ135" s="65"/>
      <c r="BK135" s="65"/>
      <c r="BL135" s="65"/>
      <c r="BM135" s="65"/>
      <c r="BN135" s="65"/>
      <c r="BO135" s="65"/>
      <c r="BP135" s="65"/>
      <c r="BQ135" s="65"/>
      <c r="BR135" s="65"/>
      <c r="BS135" s="65"/>
    </row>
    <row r="136" spans="1:71" s="64" customFormat="1" outlineLevel="1">
      <c r="A136" s="65"/>
      <c r="B136" s="93" t="s">
        <v>1035</v>
      </c>
      <c r="C136" s="89" t="s">
        <v>1036</v>
      </c>
      <c r="D136" s="510" t="s">
        <v>1266</v>
      </c>
      <c r="E136" s="512" t="str">
        <f>EDID!E96</f>
        <v>00</v>
      </c>
      <c r="F136" s="92"/>
      <c r="G136"/>
      <c r="H136"/>
      <c r="I136"/>
      <c r="J136"/>
      <c r="K136"/>
      <c r="L136"/>
      <c r="M136"/>
      <c r="N136"/>
      <c r="O136"/>
      <c r="P136"/>
      <c r="Q136"/>
      <c r="R136"/>
      <c r="S136"/>
      <c r="T136"/>
      <c r="U136"/>
      <c r="V136"/>
      <c r="W136"/>
      <c r="X136" s="131"/>
      <c r="Y136" s="131"/>
      <c r="Z136" s="131"/>
      <c r="AA136" s="131"/>
      <c r="AB136" s="131"/>
      <c r="AC136" s="131"/>
      <c r="AD136" s="131"/>
      <c r="AE136" s="131"/>
      <c r="AF136" s="131"/>
      <c r="AG136" s="131"/>
      <c r="AH136" s="131"/>
      <c r="AI136" s="131"/>
      <c r="AJ136" s="131"/>
      <c r="AK136" s="131"/>
      <c r="AL136" s="131"/>
      <c r="AM136" s="131"/>
      <c r="AN136" s="131"/>
      <c r="AO136" s="131"/>
      <c r="AP136" s="131"/>
      <c r="AQ136" s="131"/>
      <c r="AR136" s="131"/>
      <c r="BF136" s="65"/>
      <c r="BG136" s="65"/>
      <c r="BH136" s="65"/>
      <c r="BI136" s="65"/>
      <c r="BJ136" s="65"/>
      <c r="BK136" s="65"/>
      <c r="BL136" s="65"/>
      <c r="BM136" s="65"/>
      <c r="BN136" s="65"/>
      <c r="BO136" s="65"/>
      <c r="BP136" s="65"/>
      <c r="BQ136" s="65"/>
      <c r="BR136" s="65"/>
      <c r="BS136" s="65"/>
    </row>
    <row r="137" spans="1:71" s="64" customFormat="1" outlineLevel="1">
      <c r="A137" s="65"/>
      <c r="B137" s="93" t="s">
        <v>1035</v>
      </c>
      <c r="C137" s="89" t="s">
        <v>1036</v>
      </c>
      <c r="D137" s="510" t="s">
        <v>1269</v>
      </c>
      <c r="E137" s="512" t="str">
        <f>EDID!E97</f>
        <v>FC</v>
      </c>
      <c r="F137" s="92"/>
      <c r="G137"/>
      <c r="H137"/>
      <c r="I137"/>
      <c r="J137"/>
      <c r="K137"/>
      <c r="L137"/>
      <c r="M137"/>
      <c r="N137"/>
      <c r="O137"/>
      <c r="P137"/>
      <c r="Q137"/>
      <c r="R137"/>
      <c r="S137"/>
      <c r="T137"/>
      <c r="U137"/>
      <c r="V137"/>
      <c r="W137"/>
      <c r="X137" s="131"/>
      <c r="Y137" s="131"/>
      <c r="Z137" s="131"/>
      <c r="AA137" s="131"/>
      <c r="AB137" s="131"/>
      <c r="AC137" s="131"/>
      <c r="AD137" s="131"/>
      <c r="AE137" s="131"/>
      <c r="AF137" s="131"/>
      <c r="AG137" s="131"/>
      <c r="AH137" s="131"/>
      <c r="AI137" s="131"/>
      <c r="AJ137" s="131"/>
      <c r="AK137" s="131"/>
      <c r="AL137" s="131"/>
      <c r="AM137" s="131"/>
      <c r="AN137" s="131"/>
      <c r="AO137" s="131"/>
      <c r="AP137" s="131"/>
      <c r="AQ137" s="131"/>
      <c r="AR137" s="131"/>
      <c r="BF137" s="65"/>
      <c r="BG137" s="65"/>
      <c r="BH137" s="65"/>
      <c r="BI137" s="65"/>
      <c r="BJ137" s="65"/>
      <c r="BK137" s="65"/>
      <c r="BL137" s="65"/>
      <c r="BM137" s="65"/>
      <c r="BN137" s="65"/>
      <c r="BO137" s="65"/>
      <c r="BP137" s="65"/>
      <c r="BQ137" s="65"/>
      <c r="BR137" s="65"/>
      <c r="BS137" s="65"/>
    </row>
    <row r="138" spans="1:71" s="64" customFormat="1" outlineLevel="1">
      <c r="A138" s="65"/>
      <c r="B138" s="93" t="s">
        <v>1035</v>
      </c>
      <c r="C138" s="89" t="s">
        <v>1036</v>
      </c>
      <c r="D138" s="510" t="s">
        <v>1272</v>
      </c>
      <c r="E138" s="512" t="str">
        <f>EDID!E98</f>
        <v>00</v>
      </c>
      <c r="F138" s="92"/>
      <c r="G138"/>
      <c r="H138"/>
      <c r="I138"/>
      <c r="J138"/>
      <c r="K138"/>
      <c r="L138"/>
      <c r="M138"/>
      <c r="N138"/>
      <c r="O138"/>
      <c r="P138"/>
      <c r="Q138"/>
      <c r="R138"/>
      <c r="S138"/>
      <c r="T138"/>
      <c r="U138"/>
      <c r="V138"/>
      <c r="W138"/>
      <c r="X138" s="131"/>
      <c r="Y138" s="131"/>
      <c r="Z138" s="131"/>
      <c r="AA138" s="131"/>
      <c r="AB138" s="131"/>
      <c r="AC138" s="131"/>
      <c r="AD138" s="131"/>
      <c r="AE138" s="131"/>
      <c r="AF138" s="131"/>
      <c r="AG138" s="131"/>
      <c r="AH138" s="131"/>
      <c r="AI138" s="131"/>
      <c r="AJ138" s="131"/>
      <c r="AK138" s="131"/>
      <c r="AL138" s="131"/>
      <c r="AM138" s="131"/>
      <c r="AN138" s="131"/>
      <c r="AO138" s="131"/>
      <c r="AP138" s="131"/>
      <c r="AQ138" s="131"/>
      <c r="AR138" s="131"/>
      <c r="BF138" s="65"/>
      <c r="BG138" s="65"/>
      <c r="BH138" s="65"/>
      <c r="BI138" s="65"/>
      <c r="BJ138" s="65"/>
      <c r="BK138" s="65"/>
      <c r="BL138" s="65"/>
      <c r="BM138" s="65"/>
      <c r="BN138" s="65"/>
      <c r="BO138" s="65"/>
      <c r="BP138" s="65"/>
      <c r="BQ138" s="65"/>
      <c r="BR138" s="65"/>
      <c r="BS138" s="65"/>
    </row>
    <row r="139" spans="1:71" s="64" customFormat="1" outlineLevel="1">
      <c r="A139" s="65"/>
      <c r="B139" s="93" t="s">
        <v>1035</v>
      </c>
      <c r="C139" s="89" t="s">
        <v>1036</v>
      </c>
      <c r="D139" s="510" t="s">
        <v>1275</v>
      </c>
      <c r="E139" s="512" t="str">
        <f>EDID!E99</f>
        <v>54</v>
      </c>
      <c r="F139" s="92"/>
      <c r="G139"/>
      <c r="H139"/>
      <c r="I139"/>
      <c r="J139"/>
      <c r="K139"/>
      <c r="L139"/>
      <c r="M139"/>
      <c r="N139"/>
      <c r="O139"/>
      <c r="P139"/>
      <c r="Q139"/>
      <c r="R139"/>
      <c r="S139"/>
      <c r="T139"/>
      <c r="U139"/>
      <c r="V139"/>
      <c r="W139"/>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BF139" s="65"/>
      <c r="BG139" s="65"/>
      <c r="BH139" s="65"/>
      <c r="BI139" s="65"/>
      <c r="BJ139" s="65"/>
      <c r="BK139" s="65"/>
      <c r="BL139" s="65"/>
      <c r="BM139" s="65"/>
      <c r="BN139" s="65"/>
      <c r="BO139" s="65"/>
      <c r="BP139" s="65"/>
      <c r="BQ139" s="65"/>
      <c r="BR139" s="65"/>
      <c r="BS139" s="65"/>
    </row>
    <row r="140" spans="1:71" s="64" customFormat="1" outlineLevel="1">
      <c r="A140" s="65"/>
      <c r="B140" s="93" t="s">
        <v>1035</v>
      </c>
      <c r="C140" s="89" t="s">
        <v>1036</v>
      </c>
      <c r="D140" s="510" t="s">
        <v>1279</v>
      </c>
      <c r="E140" s="512" t="str">
        <f>EDID!E100</f>
        <v>6F</v>
      </c>
      <c r="F140" s="92"/>
      <c r="G140"/>
      <c r="H140"/>
      <c r="I140"/>
      <c r="J140"/>
      <c r="K140"/>
      <c r="L140"/>
      <c r="M140"/>
      <c r="N140"/>
      <c r="O140"/>
      <c r="P140"/>
      <c r="Q140"/>
      <c r="R140"/>
      <c r="S140"/>
      <c r="T140"/>
      <c r="U140"/>
      <c r="V140"/>
      <c r="W140"/>
      <c r="X140" s="131"/>
      <c r="Y140" s="131"/>
      <c r="Z140" s="131"/>
      <c r="AA140" s="131"/>
      <c r="AB140" s="131"/>
      <c r="AC140" s="131"/>
      <c r="AD140" s="131"/>
      <c r="AE140" s="131"/>
      <c r="AF140" s="131"/>
      <c r="AG140" s="131"/>
      <c r="AH140" s="131"/>
      <c r="AI140" s="131"/>
      <c r="AJ140" s="131"/>
      <c r="AK140" s="131"/>
      <c r="AL140" s="131"/>
      <c r="AM140" s="131"/>
      <c r="AN140" s="131"/>
      <c r="AO140" s="131"/>
      <c r="AP140" s="131"/>
      <c r="AQ140" s="131"/>
      <c r="AR140" s="131"/>
      <c r="BF140" s="65"/>
      <c r="BG140" s="65"/>
      <c r="BH140" s="65"/>
      <c r="BI140" s="65"/>
      <c r="BJ140" s="65"/>
      <c r="BK140" s="65"/>
      <c r="BL140" s="65"/>
      <c r="BM140" s="65"/>
      <c r="BN140" s="65"/>
      <c r="BO140" s="65"/>
      <c r="BP140" s="65"/>
      <c r="BQ140" s="65"/>
      <c r="BR140" s="65"/>
      <c r="BS140" s="65"/>
    </row>
    <row r="141" spans="1:71" s="64" customFormat="1" outlineLevel="1">
      <c r="A141" s="65"/>
      <c r="B141" s="93" t="s">
        <v>1035</v>
      </c>
      <c r="C141" s="89" t="s">
        <v>1036</v>
      </c>
      <c r="D141" s="510" t="s">
        <v>1282</v>
      </c>
      <c r="E141" s="512" t="str">
        <f>EDID!E101</f>
        <v>73</v>
      </c>
      <c r="F141" s="92"/>
      <c r="G141"/>
      <c r="H141"/>
      <c r="I141"/>
      <c r="J141"/>
      <c r="K141"/>
      <c r="L141"/>
      <c r="M141"/>
      <c r="N141"/>
      <c r="O141"/>
      <c r="P141"/>
      <c r="Q141"/>
      <c r="R141"/>
      <c r="S141"/>
      <c r="T141"/>
      <c r="U141"/>
      <c r="V141"/>
      <c r="W141"/>
      <c r="X141" s="131"/>
      <c r="Y141" s="131"/>
      <c r="Z141" s="131"/>
      <c r="AA141" s="131"/>
      <c r="AB141" s="131"/>
      <c r="AC141" s="131"/>
      <c r="AD141" s="131"/>
      <c r="AE141" s="131"/>
      <c r="AF141" s="131"/>
      <c r="AG141" s="131"/>
      <c r="AH141" s="131"/>
      <c r="AI141" s="131"/>
      <c r="AJ141" s="131"/>
      <c r="AK141" s="131"/>
      <c r="AL141" s="131"/>
      <c r="AM141" s="131"/>
      <c r="AN141" s="131"/>
      <c r="AO141" s="131"/>
      <c r="AP141" s="131"/>
      <c r="AQ141" s="131"/>
      <c r="AR141" s="131"/>
      <c r="BF141" s="65"/>
      <c r="BG141" s="65"/>
      <c r="BH141" s="65"/>
      <c r="BI141" s="65"/>
      <c r="BJ141" s="65"/>
      <c r="BK141" s="65"/>
      <c r="BL141" s="65"/>
      <c r="BM141" s="65"/>
      <c r="BN141" s="65"/>
      <c r="BO141" s="65"/>
      <c r="BP141" s="65"/>
      <c r="BQ141" s="65"/>
      <c r="BR141" s="65"/>
      <c r="BS141" s="65"/>
    </row>
    <row r="142" spans="1:71" s="64" customFormat="1" outlineLevel="1">
      <c r="A142" s="65"/>
      <c r="B142" s="93" t="s">
        <v>1035</v>
      </c>
      <c r="C142" s="89" t="s">
        <v>1036</v>
      </c>
      <c r="D142" s="510" t="s">
        <v>1284</v>
      </c>
      <c r="E142" s="512" t="str">
        <f>EDID!E102</f>
        <v>68</v>
      </c>
      <c r="F142" s="92"/>
      <c r="G142"/>
      <c r="H142"/>
      <c r="I142"/>
      <c r="J142"/>
      <c r="K142"/>
      <c r="L142"/>
      <c r="M142"/>
      <c r="N142"/>
      <c r="O142"/>
      <c r="P142"/>
      <c r="Q142"/>
      <c r="R142"/>
      <c r="S142"/>
      <c r="T142"/>
      <c r="U142"/>
      <c r="V142"/>
      <c r="W142"/>
      <c r="X142" s="131"/>
      <c r="Y142" s="131"/>
      <c r="Z142" s="131"/>
      <c r="AA142" s="131"/>
      <c r="AB142" s="131"/>
      <c r="AC142" s="131"/>
      <c r="AD142" s="131"/>
      <c r="AE142" s="131"/>
      <c r="AF142" s="131"/>
      <c r="AG142" s="131"/>
      <c r="AH142" s="131"/>
      <c r="AI142" s="131"/>
      <c r="AJ142" s="131"/>
      <c r="AK142" s="131"/>
      <c r="AL142" s="131"/>
      <c r="AM142" s="131"/>
      <c r="AN142" s="131"/>
      <c r="AO142" s="131"/>
      <c r="AP142" s="131"/>
      <c r="AQ142" s="131"/>
      <c r="AR142" s="131"/>
      <c r="BF142" s="65"/>
      <c r="BG142" s="65"/>
      <c r="BH142" s="65"/>
      <c r="BI142" s="65"/>
      <c r="BJ142" s="65"/>
      <c r="BK142" s="65"/>
      <c r="BL142" s="65"/>
      <c r="BM142" s="65"/>
      <c r="BN142" s="65"/>
      <c r="BO142" s="65"/>
      <c r="BP142" s="65"/>
      <c r="BQ142" s="65"/>
      <c r="BR142" s="65"/>
      <c r="BS142" s="65"/>
    </row>
    <row r="143" spans="1:71" s="64" customFormat="1" outlineLevel="1">
      <c r="A143" s="65"/>
      <c r="B143" s="93" t="s">
        <v>1035</v>
      </c>
      <c r="C143" s="89" t="s">
        <v>1036</v>
      </c>
      <c r="D143" s="510" t="s">
        <v>1287</v>
      </c>
      <c r="E143" s="512" t="str">
        <f>EDID!E103</f>
        <v>69</v>
      </c>
      <c r="F143" s="92"/>
      <c r="G143"/>
      <c r="H143"/>
      <c r="I143"/>
      <c r="J143"/>
      <c r="K143"/>
      <c r="L143"/>
      <c r="M143"/>
      <c r="N143"/>
      <c r="O143"/>
      <c r="P143"/>
      <c r="Q143"/>
      <c r="R143"/>
      <c r="S143"/>
      <c r="T143"/>
      <c r="U143"/>
      <c r="V143"/>
      <c r="W143"/>
      <c r="X143" s="131"/>
      <c r="Y143" s="131"/>
      <c r="Z143" s="131"/>
      <c r="AA143" s="131"/>
      <c r="AB143" s="131"/>
      <c r="AC143" s="131"/>
      <c r="AD143" s="131"/>
      <c r="AE143" s="131"/>
      <c r="AF143" s="131"/>
      <c r="AG143" s="131"/>
      <c r="AH143" s="131"/>
      <c r="AI143" s="131"/>
      <c r="AJ143" s="131"/>
      <c r="AK143" s="131"/>
      <c r="AL143" s="131"/>
      <c r="AM143" s="131"/>
      <c r="AN143" s="131"/>
      <c r="AO143" s="131"/>
      <c r="AP143" s="131"/>
      <c r="AQ143" s="131"/>
      <c r="AR143" s="131"/>
      <c r="BF143" s="65"/>
      <c r="BG143" s="65"/>
      <c r="BH143" s="65"/>
      <c r="BI143" s="65"/>
      <c r="BJ143" s="65"/>
      <c r="BK143" s="65"/>
      <c r="BL143" s="65"/>
      <c r="BM143" s="65"/>
      <c r="BN143" s="65"/>
      <c r="BO143" s="65"/>
      <c r="BP143" s="65"/>
      <c r="BQ143" s="65"/>
      <c r="BR143" s="65"/>
      <c r="BS143" s="65"/>
    </row>
    <row r="144" spans="1:71" s="64" customFormat="1" outlineLevel="1">
      <c r="A144" s="65"/>
      <c r="B144" s="93" t="s">
        <v>1035</v>
      </c>
      <c r="C144" s="89" t="s">
        <v>1036</v>
      </c>
      <c r="D144" s="510" t="s">
        <v>1289</v>
      </c>
      <c r="E144" s="512" t="str">
        <f>EDID!E104</f>
        <v>62</v>
      </c>
      <c r="F144" s="92"/>
      <c r="G144"/>
      <c r="H144"/>
      <c r="I144"/>
      <c r="J144"/>
      <c r="K144"/>
      <c r="L144"/>
      <c r="M144"/>
      <c r="N144"/>
      <c r="O144"/>
      <c r="P144"/>
      <c r="Q144"/>
      <c r="R144"/>
      <c r="S144"/>
      <c r="T144"/>
      <c r="U144"/>
      <c r="V144"/>
      <c r="W144"/>
      <c r="X144" s="131"/>
      <c r="Y144" s="131"/>
      <c r="Z144" s="131"/>
      <c r="AA144" s="131"/>
      <c r="AB144" s="131"/>
      <c r="AC144" s="131"/>
      <c r="AD144" s="131"/>
      <c r="AE144" s="131"/>
      <c r="AF144" s="131"/>
      <c r="AG144" s="131"/>
      <c r="AH144" s="131"/>
      <c r="AI144" s="131"/>
      <c r="AJ144" s="131"/>
      <c r="AK144" s="131"/>
      <c r="AL144" s="131"/>
      <c r="AM144" s="131"/>
      <c r="AN144" s="131"/>
      <c r="AO144" s="131"/>
      <c r="AP144" s="131"/>
      <c r="AQ144" s="131"/>
      <c r="AR144" s="131"/>
      <c r="BF144" s="65"/>
      <c r="BG144" s="65"/>
      <c r="BH144" s="65"/>
      <c r="BI144" s="65"/>
      <c r="BJ144" s="65"/>
      <c r="BK144" s="65"/>
      <c r="BL144" s="65"/>
      <c r="BM144" s="65"/>
      <c r="BN144" s="65"/>
      <c r="BO144" s="65"/>
      <c r="BP144" s="65"/>
      <c r="BQ144" s="65"/>
      <c r="BR144" s="65"/>
      <c r="BS144" s="65"/>
    </row>
    <row r="145" spans="1:71" s="64" customFormat="1" outlineLevel="1">
      <c r="A145" s="65"/>
      <c r="B145" s="93" t="s">
        <v>1035</v>
      </c>
      <c r="C145" s="89" t="s">
        <v>1036</v>
      </c>
      <c r="D145" s="510" t="s">
        <v>1292</v>
      </c>
      <c r="E145" s="512" t="str">
        <f>EDID!E105</f>
        <v>61</v>
      </c>
      <c r="F145" s="92"/>
      <c r="G145"/>
      <c r="H145"/>
      <c r="I145"/>
      <c r="J145"/>
      <c r="K145"/>
      <c r="L145"/>
      <c r="M145"/>
      <c r="N145"/>
      <c r="O145"/>
      <c r="P145"/>
      <c r="Q145"/>
      <c r="R145"/>
      <c r="S145"/>
      <c r="T145"/>
      <c r="U145"/>
      <c r="V145"/>
      <c r="W145"/>
      <c r="X145" s="131"/>
      <c r="Y145" s="131"/>
      <c r="Z145" s="131"/>
      <c r="AA145" s="131"/>
      <c r="AB145" s="131"/>
      <c r="AC145" s="131"/>
      <c r="AD145" s="131"/>
      <c r="AE145" s="131"/>
      <c r="AF145" s="131"/>
      <c r="AG145" s="131"/>
      <c r="AH145" s="131"/>
      <c r="AI145" s="131"/>
      <c r="AJ145" s="131"/>
      <c r="AK145" s="131"/>
      <c r="AL145" s="131"/>
      <c r="AM145" s="131"/>
      <c r="AN145" s="131"/>
      <c r="AO145" s="131"/>
      <c r="AP145" s="131"/>
      <c r="AQ145" s="131"/>
      <c r="AR145" s="131"/>
      <c r="BF145" s="65"/>
      <c r="BG145" s="65"/>
      <c r="BH145" s="65"/>
      <c r="BI145" s="65"/>
      <c r="BJ145" s="65"/>
      <c r="BK145" s="65"/>
      <c r="BL145" s="65"/>
      <c r="BM145" s="65"/>
      <c r="BN145" s="65"/>
      <c r="BO145" s="65"/>
      <c r="BP145" s="65"/>
      <c r="BQ145" s="65"/>
      <c r="BR145" s="65"/>
      <c r="BS145" s="65"/>
    </row>
    <row r="146" spans="1:71" s="64" customFormat="1" outlineLevel="1">
      <c r="A146" s="65"/>
      <c r="B146" s="93" t="s">
        <v>1035</v>
      </c>
      <c r="C146" s="89" t="s">
        <v>1036</v>
      </c>
      <c r="D146" s="510" t="s">
        <v>1295</v>
      </c>
      <c r="E146" s="512" t="str">
        <f>EDID!E106</f>
        <v>2D</v>
      </c>
      <c r="F146" s="92"/>
      <c r="G146"/>
      <c r="H146"/>
      <c r="I146"/>
      <c r="J146"/>
      <c r="K146"/>
      <c r="L146"/>
      <c r="M146"/>
      <c r="N146"/>
      <c r="O146"/>
      <c r="P146"/>
      <c r="Q146"/>
      <c r="R146"/>
      <c r="S146"/>
      <c r="T146"/>
      <c r="U146"/>
      <c r="V146"/>
      <c r="W146"/>
      <c r="X146" s="131"/>
      <c r="Y146" s="131"/>
      <c r="Z146" s="131"/>
      <c r="AA146" s="131"/>
      <c r="AB146" s="131"/>
      <c r="AC146" s="131"/>
      <c r="AD146" s="131"/>
      <c r="AE146" s="131"/>
      <c r="AF146" s="131"/>
      <c r="AG146" s="131"/>
      <c r="AH146" s="131"/>
      <c r="AI146" s="131"/>
      <c r="AJ146" s="131"/>
      <c r="AK146" s="131"/>
      <c r="AL146" s="131"/>
      <c r="AM146" s="131"/>
      <c r="AN146" s="131"/>
      <c r="AO146" s="131"/>
      <c r="AP146" s="131"/>
      <c r="AQ146" s="131"/>
      <c r="AR146" s="131"/>
      <c r="BF146" s="65"/>
      <c r="BG146" s="65"/>
      <c r="BH146" s="65"/>
      <c r="BI146" s="65"/>
      <c r="BJ146" s="65"/>
      <c r="BK146" s="65"/>
      <c r="BL146" s="65"/>
      <c r="BM146" s="65"/>
      <c r="BN146" s="65"/>
      <c r="BO146" s="65"/>
      <c r="BP146" s="65"/>
      <c r="BQ146" s="65"/>
      <c r="BR146" s="65"/>
      <c r="BS146" s="65"/>
    </row>
    <row r="147" spans="1:71" s="64" customFormat="1" outlineLevel="1">
      <c r="A147" s="65"/>
      <c r="B147" s="93" t="s">
        <v>1035</v>
      </c>
      <c r="C147" s="89" t="s">
        <v>1036</v>
      </c>
      <c r="D147" s="510" t="s">
        <v>1298</v>
      </c>
      <c r="E147" s="512" t="str">
        <f>EDID!E107</f>
        <v>55</v>
      </c>
      <c r="F147" s="92"/>
      <c r="G147"/>
      <c r="H147"/>
      <c r="I147"/>
      <c r="J147"/>
      <c r="K147"/>
      <c r="L147"/>
      <c r="M147"/>
      <c r="N147"/>
      <c r="O147"/>
      <c r="P147"/>
      <c r="Q147"/>
      <c r="R147"/>
      <c r="S147"/>
      <c r="T147"/>
      <c r="U147"/>
      <c r="V147"/>
      <c r="W147"/>
      <c r="X147" s="131"/>
      <c r="Y147" s="131"/>
      <c r="Z147" s="131"/>
      <c r="AA147" s="131"/>
      <c r="AB147" s="131"/>
      <c r="AC147" s="131"/>
      <c r="AD147" s="131"/>
      <c r="AE147" s="131"/>
      <c r="AF147" s="131"/>
      <c r="AG147" s="131"/>
      <c r="AH147" s="131"/>
      <c r="AI147" s="131"/>
      <c r="AJ147" s="131"/>
      <c r="AK147" s="131"/>
      <c r="AL147" s="131"/>
      <c r="AM147" s="131"/>
      <c r="AN147" s="131"/>
      <c r="AO147" s="131"/>
      <c r="AP147" s="131"/>
      <c r="AQ147" s="131"/>
      <c r="AR147" s="131"/>
      <c r="BF147" s="65"/>
      <c r="BG147" s="65"/>
      <c r="BH147" s="65"/>
      <c r="BI147" s="65"/>
      <c r="BJ147" s="65"/>
      <c r="BK147" s="65"/>
      <c r="BL147" s="65"/>
      <c r="BM147" s="65"/>
      <c r="BN147" s="65"/>
      <c r="BO147" s="65"/>
      <c r="BP147" s="65"/>
      <c r="BQ147" s="65"/>
      <c r="BR147" s="65"/>
      <c r="BS147" s="65"/>
    </row>
    <row r="148" spans="1:71" s="64" customFormat="1" outlineLevel="1">
      <c r="A148" s="65"/>
      <c r="B148" s="93" t="s">
        <v>1035</v>
      </c>
      <c r="C148" s="89" t="s">
        <v>1036</v>
      </c>
      <c r="D148" s="510" t="s">
        <v>1300</v>
      </c>
      <c r="E148" s="512" t="str">
        <f>EDID!E108</f>
        <v>48</v>
      </c>
      <c r="F148" s="92"/>
      <c r="G148"/>
      <c r="H148"/>
      <c r="I148"/>
      <c r="J148"/>
      <c r="K148"/>
      <c r="L148"/>
      <c r="M148"/>
      <c r="N148"/>
      <c r="O148"/>
      <c r="P148"/>
      <c r="Q148"/>
      <c r="R148"/>
      <c r="S148"/>
      <c r="T148"/>
      <c r="U148"/>
      <c r="V148"/>
      <c r="W148"/>
      <c r="X148" s="131"/>
      <c r="Y148" s="131"/>
      <c r="Z148" s="131"/>
      <c r="AA148" s="131"/>
      <c r="AB148" s="131"/>
      <c r="AC148" s="131"/>
      <c r="AD148" s="131"/>
      <c r="AE148" s="131"/>
      <c r="AF148" s="131"/>
      <c r="AG148" s="131"/>
      <c r="AH148" s="131"/>
      <c r="AI148" s="131"/>
      <c r="AJ148" s="131"/>
      <c r="AK148" s="131"/>
      <c r="AL148" s="131"/>
      <c r="AM148" s="131"/>
      <c r="AN148" s="131"/>
      <c r="AO148" s="131"/>
      <c r="AP148" s="131"/>
      <c r="AQ148" s="131"/>
      <c r="AR148" s="131"/>
      <c r="BF148" s="65"/>
      <c r="BG148" s="65"/>
      <c r="BH148" s="65"/>
      <c r="BI148" s="65"/>
      <c r="BJ148" s="65"/>
      <c r="BK148" s="65"/>
      <c r="BL148" s="65"/>
      <c r="BM148" s="65"/>
      <c r="BN148" s="65"/>
      <c r="BO148" s="65"/>
      <c r="BP148" s="65"/>
      <c r="BQ148" s="65"/>
      <c r="BR148" s="65"/>
      <c r="BS148" s="65"/>
    </row>
    <row r="149" spans="1:71" s="64" customFormat="1" outlineLevel="1">
      <c r="A149" s="65"/>
      <c r="B149" s="93" t="s">
        <v>1035</v>
      </c>
      <c r="C149" s="89" t="s">
        <v>1036</v>
      </c>
      <c r="D149" s="510" t="s">
        <v>1303</v>
      </c>
      <c r="E149" s="512" t="str">
        <f>EDID!E109</f>
        <v>32</v>
      </c>
      <c r="F149" s="92"/>
      <c r="G149"/>
      <c r="H149"/>
      <c r="I149"/>
      <c r="J149"/>
      <c r="K149"/>
      <c r="L149"/>
      <c r="M149"/>
      <c r="N149"/>
      <c r="O149"/>
      <c r="P149"/>
      <c r="Q149"/>
      <c r="R149"/>
      <c r="S149"/>
      <c r="T149"/>
      <c r="U149"/>
      <c r="V149"/>
      <c r="W149"/>
      <c r="X149" s="131"/>
      <c r="Y149" s="131"/>
      <c r="Z149" s="131"/>
      <c r="AA149" s="131"/>
      <c r="AB149" s="131"/>
      <c r="AC149" s="131"/>
      <c r="AD149" s="131"/>
      <c r="AE149" s="131"/>
      <c r="AF149" s="131"/>
      <c r="AG149" s="131"/>
      <c r="AH149" s="131"/>
      <c r="AI149" s="131"/>
      <c r="AJ149" s="131"/>
      <c r="AK149" s="131"/>
      <c r="AL149" s="131"/>
      <c r="AM149" s="131"/>
      <c r="AN149" s="131"/>
      <c r="AO149" s="131"/>
      <c r="AP149" s="131"/>
      <c r="AQ149" s="131"/>
      <c r="AR149" s="131"/>
      <c r="BF149" s="65"/>
      <c r="BG149" s="65"/>
      <c r="BH149" s="65"/>
      <c r="BI149" s="65"/>
      <c r="BJ149" s="65"/>
      <c r="BK149" s="65"/>
      <c r="BL149" s="65"/>
      <c r="BM149" s="65"/>
      <c r="BN149" s="65"/>
      <c r="BO149" s="65"/>
      <c r="BP149" s="65"/>
      <c r="BQ149" s="65"/>
      <c r="BR149" s="65"/>
      <c r="BS149" s="65"/>
    </row>
    <row r="150" spans="1:71" s="64" customFormat="1" outlineLevel="1">
      <c r="A150" s="65"/>
      <c r="B150" s="93" t="s">
        <v>1035</v>
      </c>
      <c r="C150" s="89" t="s">
        <v>1036</v>
      </c>
      <c r="D150" s="510" t="s">
        <v>1306</v>
      </c>
      <c r="E150" s="512" t="str">
        <f>EDID!E110</f>
        <v>44</v>
      </c>
      <c r="F150" s="92"/>
      <c r="G150"/>
      <c r="H150"/>
      <c r="I150"/>
      <c r="J150"/>
      <c r="K150"/>
      <c r="L150"/>
      <c r="M150"/>
      <c r="N150"/>
      <c r="O150"/>
      <c r="P150"/>
      <c r="Q150"/>
      <c r="R150"/>
      <c r="S150"/>
      <c r="T150"/>
      <c r="U150"/>
      <c r="V150"/>
      <c r="W150"/>
      <c r="X150" s="131"/>
      <c r="Y150" s="131"/>
      <c r="Z150" s="131"/>
      <c r="AA150" s="131"/>
      <c r="AB150" s="131"/>
      <c r="AC150" s="131"/>
      <c r="AD150" s="131"/>
      <c r="AE150" s="131"/>
      <c r="AF150" s="131"/>
      <c r="AG150" s="131"/>
      <c r="AH150" s="131"/>
      <c r="AI150" s="131"/>
      <c r="AJ150" s="131"/>
      <c r="AK150" s="131"/>
      <c r="AL150" s="131"/>
      <c r="AM150" s="131"/>
      <c r="AN150" s="131"/>
      <c r="AO150" s="131"/>
      <c r="AP150" s="131"/>
      <c r="AQ150" s="131"/>
      <c r="AR150" s="131"/>
      <c r="BF150" s="65"/>
      <c r="BG150" s="65"/>
      <c r="BH150" s="65"/>
      <c r="BI150" s="65"/>
      <c r="BJ150" s="65"/>
      <c r="BK150" s="65"/>
      <c r="BL150" s="65"/>
      <c r="BM150" s="65"/>
      <c r="BN150" s="65"/>
      <c r="BO150" s="65"/>
      <c r="BP150" s="65"/>
      <c r="BQ150" s="65"/>
      <c r="BR150" s="65"/>
      <c r="BS150" s="65"/>
    </row>
    <row r="151" spans="1:71" s="64" customFormat="1" outlineLevel="1">
      <c r="A151" s="65"/>
      <c r="B151" s="93" t="s">
        <v>1035</v>
      </c>
      <c r="C151" s="89" t="s">
        <v>1036</v>
      </c>
      <c r="D151" s="510" t="s">
        <v>1308</v>
      </c>
      <c r="E151" s="512" t="str">
        <f>EDID!E111</f>
        <v>0A</v>
      </c>
      <c r="F151" s="94"/>
      <c r="G151"/>
      <c r="H151"/>
      <c r="I151"/>
      <c r="J151"/>
      <c r="K151"/>
      <c r="L151"/>
      <c r="M151"/>
      <c r="N151"/>
      <c r="O151"/>
      <c r="P151"/>
      <c r="Q151"/>
      <c r="R151"/>
      <c r="S151"/>
      <c r="T151"/>
      <c r="U151"/>
      <c r="V151"/>
      <c r="W151"/>
      <c r="X151" s="131"/>
      <c r="Y151" s="131"/>
      <c r="Z151" s="131"/>
      <c r="AA151" s="131"/>
      <c r="AB151" s="131"/>
      <c r="AC151" s="131"/>
      <c r="AD151" s="131"/>
      <c r="AE151" s="131"/>
      <c r="AF151" s="131"/>
      <c r="AG151" s="131"/>
      <c r="AH151" s="131"/>
      <c r="AI151" s="131"/>
      <c r="AJ151" s="131"/>
      <c r="AK151" s="131"/>
      <c r="AL151" s="131"/>
      <c r="AM151" s="131"/>
      <c r="AN151" s="131"/>
      <c r="AO151" s="131"/>
      <c r="AP151" s="131"/>
      <c r="AQ151" s="131"/>
      <c r="AR151" s="131"/>
      <c r="BF151" s="65"/>
      <c r="BG151" s="65"/>
      <c r="BH151" s="65"/>
      <c r="BI151" s="65"/>
      <c r="BJ151" s="65"/>
      <c r="BK151" s="65"/>
      <c r="BL151" s="65"/>
      <c r="BM151" s="65"/>
      <c r="BN151" s="65"/>
      <c r="BO151" s="65"/>
      <c r="BP151" s="65"/>
      <c r="BQ151" s="65"/>
      <c r="BR151" s="65"/>
      <c r="BS151" s="65"/>
    </row>
    <row r="152" spans="1:71" s="64" customFormat="1" outlineLevel="1">
      <c r="A152" s="65"/>
      <c r="B152" s="93" t="s">
        <v>1035</v>
      </c>
      <c r="C152" s="89" t="s">
        <v>1036</v>
      </c>
      <c r="D152" s="510" t="s">
        <v>1318</v>
      </c>
      <c r="E152" s="512" t="str">
        <f>EDID!E112</f>
        <v>00</v>
      </c>
      <c r="F152" s="188"/>
      <c r="G152"/>
      <c r="H152"/>
      <c r="I152"/>
      <c r="J152"/>
      <c r="K152"/>
      <c r="L152"/>
      <c r="M152"/>
      <c r="N152"/>
      <c r="O152"/>
      <c r="P152"/>
      <c r="Q152"/>
      <c r="R152"/>
      <c r="S152"/>
      <c r="T152"/>
      <c r="U152"/>
      <c r="V152"/>
      <c r="W152"/>
      <c r="X152" s="131"/>
      <c r="Y152" s="131"/>
      <c r="Z152" s="131"/>
      <c r="AA152" s="131"/>
      <c r="AB152" s="131"/>
      <c r="AC152" s="131"/>
      <c r="AD152" s="131"/>
      <c r="AE152" s="131"/>
      <c r="AF152" s="131"/>
      <c r="AG152" s="131"/>
      <c r="AH152" s="131"/>
      <c r="AI152" s="131"/>
      <c r="AJ152" s="131"/>
      <c r="AK152" s="131"/>
      <c r="AL152" s="131"/>
      <c r="AM152" s="131"/>
      <c r="AN152" s="131"/>
      <c r="AO152" s="131"/>
      <c r="AP152" s="131"/>
      <c r="AQ152" s="131"/>
      <c r="AR152" s="131"/>
      <c r="BF152" s="65"/>
      <c r="BG152" s="65"/>
      <c r="BH152" s="65"/>
      <c r="BI152" s="65"/>
      <c r="BJ152" s="65"/>
      <c r="BK152" s="65"/>
      <c r="BL152" s="65"/>
      <c r="BM152" s="65"/>
      <c r="BN152" s="65"/>
      <c r="BO152" s="65"/>
      <c r="BP152" s="65"/>
      <c r="BQ152" s="65"/>
      <c r="BR152" s="65"/>
      <c r="BS152" s="65"/>
    </row>
    <row r="153" spans="1:71" s="64" customFormat="1" outlineLevel="1">
      <c r="A153" s="65"/>
      <c r="B153" s="93" t="s">
        <v>1035</v>
      </c>
      <c r="C153" s="89" t="s">
        <v>1036</v>
      </c>
      <c r="D153" s="510" t="s">
        <v>1322</v>
      </c>
      <c r="E153" s="512" t="str">
        <f>EDID!E113</f>
        <v>00</v>
      </c>
      <c r="F153" s="188"/>
      <c r="G153"/>
      <c r="H153"/>
      <c r="I153"/>
      <c r="J153"/>
      <c r="K153"/>
      <c r="L153"/>
      <c r="M153"/>
      <c r="N153"/>
      <c r="O153"/>
      <c r="P153"/>
      <c r="Q153"/>
      <c r="R153"/>
      <c r="S153"/>
      <c r="T153"/>
      <c r="U153"/>
      <c r="V153"/>
      <c r="W153"/>
      <c r="X153" s="131"/>
      <c r="Y153" s="131"/>
      <c r="Z153" s="131"/>
      <c r="AA153" s="131"/>
      <c r="AB153" s="131"/>
      <c r="AC153" s="131"/>
      <c r="AD153" s="131"/>
      <c r="AE153" s="131"/>
      <c r="AF153" s="131"/>
      <c r="AG153" s="131"/>
      <c r="AH153" s="131"/>
      <c r="AI153" s="131"/>
      <c r="AJ153" s="131"/>
      <c r="AK153" s="131"/>
      <c r="AL153" s="131"/>
      <c r="AM153" s="131"/>
      <c r="AN153" s="131"/>
      <c r="AO153" s="131"/>
      <c r="AP153" s="131"/>
      <c r="AQ153" s="131"/>
      <c r="AR153" s="131"/>
      <c r="BF153" s="65"/>
      <c r="BG153" s="65"/>
      <c r="BH153" s="65"/>
      <c r="BI153" s="65"/>
      <c r="BJ153" s="65"/>
      <c r="BK153" s="65"/>
      <c r="BL153" s="65"/>
      <c r="BM153" s="65"/>
      <c r="BN153" s="65"/>
      <c r="BO153" s="65"/>
      <c r="BP153" s="65"/>
      <c r="BQ153" s="65"/>
      <c r="BR153" s="65"/>
      <c r="BS153" s="65"/>
    </row>
    <row r="154" spans="1:71" s="64" customFormat="1" outlineLevel="1">
      <c r="A154" s="65"/>
      <c r="B154" s="93" t="s">
        <v>1035</v>
      </c>
      <c r="C154" s="89" t="s">
        <v>1036</v>
      </c>
      <c r="D154" s="510" t="s">
        <v>1323</v>
      </c>
      <c r="E154" s="512" t="str">
        <f>EDID!E114</f>
        <v>00</v>
      </c>
      <c r="F154" s="188"/>
      <c r="G154"/>
      <c r="H154"/>
      <c r="I154"/>
      <c r="J154"/>
      <c r="K154"/>
      <c r="L154"/>
      <c r="M154"/>
      <c r="N154"/>
      <c r="O154"/>
      <c r="P154"/>
      <c r="Q154"/>
      <c r="R154"/>
      <c r="S154"/>
      <c r="T154"/>
      <c r="U154"/>
      <c r="V154"/>
      <c r="W154"/>
      <c r="X154" s="131"/>
      <c r="Y154" s="131"/>
      <c r="Z154" s="131"/>
      <c r="AA154" s="131"/>
      <c r="AB154" s="131"/>
      <c r="AC154" s="131"/>
      <c r="AD154" s="131"/>
      <c r="AE154" s="131"/>
      <c r="AF154" s="131"/>
      <c r="AG154" s="131"/>
      <c r="AH154" s="131"/>
      <c r="AI154" s="131"/>
      <c r="AJ154" s="131"/>
      <c r="AK154" s="131"/>
      <c r="AL154" s="131"/>
      <c r="AM154" s="131"/>
      <c r="AN154" s="131"/>
      <c r="AO154" s="131"/>
      <c r="AP154" s="131"/>
      <c r="AQ154" s="131"/>
      <c r="AR154" s="131"/>
      <c r="BF154" s="65"/>
      <c r="BG154" s="65"/>
      <c r="BH154" s="65"/>
      <c r="BI154" s="65"/>
      <c r="BJ154" s="65"/>
      <c r="BK154" s="65"/>
      <c r="BL154" s="65"/>
      <c r="BM154" s="65"/>
      <c r="BN154" s="65"/>
      <c r="BO154" s="65"/>
      <c r="BP154" s="65"/>
      <c r="BQ154" s="65"/>
      <c r="BR154" s="65"/>
      <c r="BS154" s="65"/>
    </row>
    <row r="155" spans="1:71" s="64" customFormat="1" outlineLevel="1">
      <c r="A155" s="65"/>
      <c r="B155" s="93" t="s">
        <v>1035</v>
      </c>
      <c r="C155" s="89" t="s">
        <v>1036</v>
      </c>
      <c r="D155" s="510" t="s">
        <v>1325</v>
      </c>
      <c r="E155" s="512" t="str">
        <f>EDID!E115</f>
        <v>FD</v>
      </c>
      <c r="F155" s="188"/>
      <c r="G155"/>
      <c r="H155"/>
      <c r="I155"/>
      <c r="J155"/>
      <c r="K155"/>
      <c r="L155"/>
      <c r="M155"/>
      <c r="N155"/>
      <c r="O155"/>
      <c r="P155"/>
      <c r="Q155"/>
      <c r="R155"/>
      <c r="S155"/>
      <c r="T155"/>
      <c r="U155"/>
      <c r="V155"/>
      <c r="W155"/>
      <c r="X155" s="131"/>
      <c r="Y155" s="131"/>
      <c r="Z155" s="131"/>
      <c r="AA155" s="131"/>
      <c r="AB155" s="131"/>
      <c r="AC155" s="131"/>
      <c r="AD155" s="131"/>
      <c r="AE155" s="131"/>
      <c r="AF155" s="131"/>
      <c r="AG155" s="131"/>
      <c r="AH155" s="131"/>
      <c r="AI155" s="131"/>
      <c r="AJ155" s="131"/>
      <c r="AK155" s="131"/>
      <c r="AL155" s="131"/>
      <c r="AM155" s="131"/>
      <c r="AN155" s="131"/>
      <c r="AO155" s="131"/>
      <c r="AP155" s="131"/>
      <c r="AQ155" s="131"/>
      <c r="AR155" s="131"/>
      <c r="BF155" s="65"/>
      <c r="BG155" s="65"/>
      <c r="BH155" s="65"/>
      <c r="BI155" s="65"/>
      <c r="BJ155" s="65"/>
      <c r="BK155" s="65"/>
      <c r="BL155" s="65"/>
      <c r="BM155" s="65"/>
      <c r="BN155" s="65"/>
      <c r="BO155" s="65"/>
      <c r="BP155" s="65"/>
      <c r="BQ155" s="65"/>
      <c r="BR155" s="65"/>
      <c r="BS155" s="65"/>
    </row>
    <row r="156" spans="1:71" s="64" customFormat="1" outlineLevel="1">
      <c r="A156" s="65"/>
      <c r="B156" s="93" t="s">
        <v>1035</v>
      </c>
      <c r="C156" s="89" t="s">
        <v>1036</v>
      </c>
      <c r="D156" s="510" t="s">
        <v>1328</v>
      </c>
      <c r="E156" s="512" t="str">
        <f>EDID!E116</f>
        <v>00</v>
      </c>
      <c r="F156" s="188"/>
      <c r="G156"/>
      <c r="H156"/>
      <c r="I156"/>
      <c r="J156"/>
      <c r="K156"/>
      <c r="L156"/>
      <c r="M156"/>
      <c r="N156"/>
      <c r="O156"/>
      <c r="P156"/>
      <c r="Q156"/>
      <c r="R156"/>
      <c r="S156"/>
      <c r="T156"/>
      <c r="U156"/>
      <c r="V156"/>
      <c r="W156"/>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BF156" s="65"/>
      <c r="BG156" s="65"/>
      <c r="BH156" s="65"/>
      <c r="BI156" s="65"/>
      <c r="BJ156" s="65"/>
      <c r="BK156" s="65"/>
      <c r="BL156" s="65"/>
      <c r="BM156" s="65"/>
      <c r="BN156" s="65"/>
      <c r="BO156" s="65"/>
      <c r="BP156" s="65"/>
      <c r="BQ156" s="65"/>
      <c r="BR156" s="65"/>
      <c r="BS156" s="65"/>
    </row>
    <row r="157" spans="1:71" s="64" customFormat="1" outlineLevel="1">
      <c r="A157" s="65"/>
      <c r="B157" s="93" t="s">
        <v>1035</v>
      </c>
      <c r="C157" s="89" t="s">
        <v>1036</v>
      </c>
      <c r="D157" s="510" t="s">
        <v>1329</v>
      </c>
      <c r="E157" s="512" t="str">
        <f>EDID!E117</f>
        <v>14</v>
      </c>
      <c r="F157" s="188"/>
      <c r="G157"/>
      <c r="H157"/>
      <c r="I157"/>
      <c r="J157"/>
      <c r="K157"/>
      <c r="L157"/>
      <c r="M157"/>
      <c r="N157"/>
      <c r="O157"/>
      <c r="P157"/>
      <c r="Q157"/>
      <c r="R157"/>
      <c r="S157"/>
      <c r="T157"/>
      <c r="U157"/>
      <c r="V157"/>
      <c r="W157"/>
      <c r="X157" s="131"/>
      <c r="Y157" s="131"/>
      <c r="Z157" s="131"/>
      <c r="AA157" s="131"/>
      <c r="AB157" s="131"/>
      <c r="AC157" s="131"/>
      <c r="AD157" s="131"/>
      <c r="AE157" s="131"/>
      <c r="AF157" s="131"/>
      <c r="AG157" s="131"/>
      <c r="AH157" s="131"/>
      <c r="AI157" s="131"/>
      <c r="AJ157" s="131"/>
      <c r="AK157" s="131"/>
      <c r="AL157" s="131"/>
      <c r="AM157" s="131"/>
      <c r="AN157" s="131"/>
      <c r="AO157" s="131"/>
      <c r="AP157" s="131"/>
      <c r="AQ157" s="131"/>
      <c r="AR157" s="131"/>
      <c r="BF157" s="65"/>
      <c r="BG157" s="65"/>
      <c r="BH157" s="65"/>
      <c r="BI157" s="65"/>
      <c r="BJ157" s="65"/>
      <c r="BK157" s="65"/>
      <c r="BL157" s="65"/>
      <c r="BM157" s="65"/>
      <c r="BN157" s="65"/>
      <c r="BO157" s="65"/>
      <c r="BP157" s="65"/>
      <c r="BQ157" s="65"/>
      <c r="BR157" s="65"/>
      <c r="BS157" s="65"/>
    </row>
    <row r="158" spans="1:71" s="64" customFormat="1" outlineLevel="1">
      <c r="A158" s="65"/>
      <c r="B158" s="93" t="s">
        <v>1035</v>
      </c>
      <c r="C158" s="89" t="s">
        <v>1036</v>
      </c>
      <c r="D158" s="510" t="s">
        <v>1332</v>
      </c>
      <c r="E158" s="512" t="str">
        <f>EDID!E118</f>
        <v>78</v>
      </c>
      <c r="F158" s="188"/>
      <c r="G158"/>
      <c r="H158"/>
      <c r="I158"/>
      <c r="J158"/>
      <c r="K158"/>
      <c r="L158"/>
      <c r="M158"/>
      <c r="N158"/>
      <c r="O158"/>
      <c r="P158"/>
      <c r="Q158"/>
      <c r="R158"/>
      <c r="S158"/>
      <c r="T158"/>
      <c r="U158"/>
      <c r="V158"/>
      <c r="W158"/>
      <c r="X158" s="131"/>
      <c r="Y158" s="131"/>
      <c r="Z158" s="131"/>
      <c r="AA158" s="131"/>
      <c r="AB158" s="131"/>
      <c r="AC158" s="131"/>
      <c r="AD158" s="131"/>
      <c r="AE158" s="131"/>
      <c r="AF158" s="131"/>
      <c r="AG158" s="131"/>
      <c r="AH158" s="131"/>
      <c r="AI158" s="131"/>
      <c r="AJ158" s="131"/>
      <c r="AK158" s="131"/>
      <c r="AL158" s="131"/>
      <c r="AM158" s="131"/>
      <c r="AN158" s="131"/>
      <c r="AO158" s="131"/>
      <c r="AP158" s="131"/>
      <c r="AQ158" s="131"/>
      <c r="AR158" s="131"/>
      <c r="BF158" s="65"/>
      <c r="BG158" s="65"/>
      <c r="BH158" s="65"/>
      <c r="BI158" s="65"/>
      <c r="BJ158" s="65"/>
      <c r="BK158" s="65"/>
      <c r="BL158" s="65"/>
      <c r="BM158" s="65"/>
      <c r="BN158" s="65"/>
      <c r="BO158" s="65"/>
      <c r="BP158" s="65"/>
      <c r="BQ158" s="65"/>
      <c r="BR158" s="65"/>
      <c r="BS158" s="65"/>
    </row>
    <row r="159" spans="1:71" s="64" customFormat="1" outlineLevel="1">
      <c r="A159" s="65"/>
      <c r="B159" s="93" t="s">
        <v>1035</v>
      </c>
      <c r="C159" s="89" t="s">
        <v>1036</v>
      </c>
      <c r="D159" s="510" t="s">
        <v>1335</v>
      </c>
      <c r="E159" s="512" t="str">
        <f>EDID!E119</f>
        <v>01</v>
      </c>
      <c r="F159" s="188"/>
      <c r="G159"/>
      <c r="H159"/>
      <c r="I159"/>
      <c r="J159"/>
      <c r="K159"/>
      <c r="L159"/>
      <c r="M159"/>
      <c r="N159"/>
      <c r="O159"/>
      <c r="P159"/>
      <c r="Q159"/>
      <c r="R159"/>
      <c r="S159"/>
      <c r="T159"/>
      <c r="U159"/>
      <c r="V159"/>
      <c r="W159"/>
      <c r="X159" s="131"/>
      <c r="Y159" s="131"/>
      <c r="Z159" s="131"/>
      <c r="AA159" s="131"/>
      <c r="AB159" s="131"/>
      <c r="AC159" s="131"/>
      <c r="AD159" s="131"/>
      <c r="AE159" s="131"/>
      <c r="AF159" s="131"/>
      <c r="AG159" s="131"/>
      <c r="AH159" s="131"/>
      <c r="AI159" s="131"/>
      <c r="AJ159" s="131"/>
      <c r="AK159" s="131"/>
      <c r="AL159" s="131"/>
      <c r="AM159" s="131"/>
      <c r="AN159" s="131"/>
      <c r="AO159" s="131"/>
      <c r="AP159" s="131"/>
      <c r="AQ159" s="131"/>
      <c r="AR159" s="131"/>
      <c r="BF159" s="65"/>
      <c r="BG159" s="65"/>
      <c r="BH159" s="65"/>
      <c r="BI159" s="65"/>
      <c r="BJ159" s="65"/>
      <c r="BK159" s="65"/>
      <c r="BL159" s="65"/>
      <c r="BM159" s="65"/>
      <c r="BN159" s="65"/>
      <c r="BO159" s="65"/>
      <c r="BP159" s="65"/>
      <c r="BQ159" s="65"/>
      <c r="BR159" s="65"/>
      <c r="BS159" s="65"/>
    </row>
    <row r="160" spans="1:71" s="64" customFormat="1" outlineLevel="1">
      <c r="A160" s="65"/>
      <c r="B160" s="93" t="s">
        <v>1035</v>
      </c>
      <c r="C160" s="89" t="s">
        <v>1036</v>
      </c>
      <c r="D160" s="510" t="s">
        <v>1338</v>
      </c>
      <c r="E160" s="512" t="str">
        <f>EDID!E120</f>
        <v>FF</v>
      </c>
      <c r="F160" s="188"/>
      <c r="G160"/>
      <c r="H160"/>
      <c r="I160"/>
      <c r="J160"/>
      <c r="K160"/>
      <c r="L160"/>
      <c r="M160"/>
      <c r="N160"/>
      <c r="O160"/>
      <c r="P160"/>
      <c r="Q160"/>
      <c r="R160"/>
      <c r="S160"/>
      <c r="T160"/>
      <c r="U160"/>
      <c r="V160"/>
      <c r="W160"/>
      <c r="X160" s="131"/>
      <c r="Y160" s="131"/>
      <c r="Z160" s="131"/>
      <c r="AA160" s="131"/>
      <c r="AB160" s="131"/>
      <c r="AC160" s="131"/>
      <c r="AD160" s="131"/>
      <c r="AE160" s="131"/>
      <c r="AF160" s="131"/>
      <c r="AG160" s="131"/>
      <c r="AH160" s="131"/>
      <c r="AI160" s="131"/>
      <c r="AJ160" s="131"/>
      <c r="AK160" s="131"/>
      <c r="AL160" s="131"/>
      <c r="AM160" s="131"/>
      <c r="AN160" s="131"/>
      <c r="AO160" s="131"/>
      <c r="AP160" s="131"/>
      <c r="AQ160" s="131"/>
      <c r="AR160" s="131"/>
      <c r="BF160" s="65"/>
      <c r="BG160" s="65"/>
      <c r="BH160" s="65"/>
      <c r="BI160" s="65"/>
      <c r="BJ160" s="65"/>
      <c r="BK160" s="65"/>
      <c r="BL160" s="65"/>
      <c r="BM160" s="65"/>
      <c r="BN160" s="65"/>
      <c r="BO160" s="65"/>
      <c r="BP160" s="65"/>
      <c r="BQ160" s="65"/>
      <c r="BR160" s="65"/>
      <c r="BS160" s="65"/>
    </row>
    <row r="161" spans="1:71" s="64" customFormat="1" outlineLevel="1">
      <c r="A161" s="65"/>
      <c r="B161" s="93" t="s">
        <v>1035</v>
      </c>
      <c r="C161" s="89" t="s">
        <v>1036</v>
      </c>
      <c r="D161" s="510" t="s">
        <v>1341</v>
      </c>
      <c r="E161" s="512" t="str">
        <f>EDID!E121</f>
        <v>1D</v>
      </c>
      <c r="F161" s="188"/>
      <c r="G161"/>
      <c r="H161"/>
      <c r="I161"/>
      <c r="J161"/>
      <c r="K161"/>
      <c r="L161"/>
      <c r="M161"/>
      <c r="N161"/>
      <c r="O161"/>
      <c r="P161"/>
      <c r="Q161"/>
      <c r="R161"/>
      <c r="S161"/>
      <c r="T161"/>
      <c r="U161"/>
      <c r="V161"/>
      <c r="W161"/>
      <c r="X161" s="131"/>
      <c r="Y161" s="131"/>
      <c r="Z161" s="131"/>
      <c r="AA161" s="131"/>
      <c r="AB161" s="131"/>
      <c r="AC161" s="131"/>
      <c r="AD161" s="131"/>
      <c r="AE161" s="131"/>
      <c r="AF161" s="131"/>
      <c r="AG161" s="131"/>
      <c r="AH161" s="131"/>
      <c r="AI161" s="131"/>
      <c r="AJ161" s="131"/>
      <c r="AK161" s="131"/>
      <c r="AL161" s="131"/>
      <c r="AM161" s="131"/>
      <c r="AN161" s="131"/>
      <c r="AO161" s="131"/>
      <c r="AP161" s="131"/>
      <c r="AQ161" s="131"/>
      <c r="AR161" s="131"/>
      <c r="BF161" s="65"/>
      <c r="BG161" s="65"/>
      <c r="BH161" s="65"/>
      <c r="BI161" s="65"/>
      <c r="BJ161" s="65"/>
      <c r="BK161" s="65"/>
      <c r="BL161" s="65"/>
      <c r="BM161" s="65"/>
      <c r="BN161" s="65"/>
      <c r="BO161" s="65"/>
      <c r="BP161" s="65"/>
      <c r="BQ161" s="65"/>
      <c r="BR161" s="65"/>
      <c r="BS161" s="65"/>
    </row>
    <row r="162" spans="1:71" s="64" customFormat="1" outlineLevel="1">
      <c r="A162" s="65"/>
      <c r="B162" s="93" t="s">
        <v>1035</v>
      </c>
      <c r="C162" s="89" t="s">
        <v>1036</v>
      </c>
      <c r="D162" s="510" t="s">
        <v>1344</v>
      </c>
      <c r="E162" s="512" t="str">
        <f>EDID!E122</f>
        <v>00</v>
      </c>
      <c r="F162" s="188"/>
      <c r="G162"/>
      <c r="H162"/>
      <c r="I162"/>
      <c r="J162"/>
      <c r="K162"/>
      <c r="L162"/>
      <c r="M162"/>
      <c r="N162"/>
      <c r="O162"/>
      <c r="P162"/>
      <c r="Q162"/>
      <c r="R162"/>
      <c r="S162"/>
      <c r="T162"/>
      <c r="U162"/>
      <c r="V162"/>
      <c r="W162"/>
      <c r="X162" s="131"/>
      <c r="Y162" s="131"/>
      <c r="Z162" s="131"/>
      <c r="AA162" s="131"/>
      <c r="AB162" s="131"/>
      <c r="AC162" s="131"/>
      <c r="AD162" s="131"/>
      <c r="AE162" s="131"/>
      <c r="AF162" s="131"/>
      <c r="AG162" s="131"/>
      <c r="AH162" s="131"/>
      <c r="AI162" s="131"/>
      <c r="AJ162" s="131"/>
      <c r="AK162" s="131"/>
      <c r="AL162" s="131"/>
      <c r="AM162" s="131"/>
      <c r="AN162" s="131"/>
      <c r="AO162" s="131"/>
      <c r="AP162" s="131"/>
      <c r="AQ162" s="131"/>
      <c r="AR162" s="131"/>
      <c r="BF162" s="65"/>
      <c r="BG162" s="65"/>
      <c r="BH162" s="65"/>
      <c r="BI162" s="65"/>
      <c r="BJ162" s="65"/>
      <c r="BK162" s="65"/>
      <c r="BL162" s="65"/>
      <c r="BM162" s="65"/>
      <c r="BN162" s="65"/>
      <c r="BO162" s="65"/>
      <c r="BP162" s="65"/>
      <c r="BQ162" s="65"/>
      <c r="BR162" s="65"/>
      <c r="BS162" s="65"/>
    </row>
    <row r="163" spans="1:71" s="64" customFormat="1" outlineLevel="1">
      <c r="A163" s="65"/>
      <c r="B163" s="93" t="s">
        <v>1035</v>
      </c>
      <c r="C163" s="89" t="s">
        <v>1036</v>
      </c>
      <c r="D163" s="510" t="s">
        <v>1346</v>
      </c>
      <c r="E163" s="512" t="str">
        <f>EDID!E123</f>
        <v>0A</v>
      </c>
      <c r="F163" s="188"/>
      <c r="G163"/>
      <c r="H163"/>
      <c r="I163"/>
      <c r="J163"/>
      <c r="K163"/>
      <c r="L163"/>
      <c r="M163"/>
      <c r="N163"/>
      <c r="O163"/>
      <c r="P163"/>
      <c r="Q163"/>
      <c r="R163"/>
      <c r="S163"/>
      <c r="T163"/>
      <c r="U163"/>
      <c r="V163"/>
      <c r="W163"/>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BF163" s="65"/>
      <c r="BG163" s="65"/>
      <c r="BH163" s="65"/>
      <c r="BI163" s="65"/>
      <c r="BJ163" s="65"/>
      <c r="BK163" s="65"/>
      <c r="BL163" s="65"/>
      <c r="BM163" s="65"/>
      <c r="BN163" s="65"/>
      <c r="BO163" s="65"/>
      <c r="BP163" s="65"/>
      <c r="BQ163" s="65"/>
      <c r="BR163" s="65"/>
      <c r="BS163" s="65"/>
    </row>
    <row r="164" spans="1:71" s="64" customFormat="1" outlineLevel="1">
      <c r="A164" s="65"/>
      <c r="B164" s="93" t="s">
        <v>1035</v>
      </c>
      <c r="C164" s="89" t="s">
        <v>1036</v>
      </c>
      <c r="D164" s="510" t="s">
        <v>1349</v>
      </c>
      <c r="E164" s="512" t="str">
        <f>EDID!E124</f>
        <v>20</v>
      </c>
      <c r="F164" s="188"/>
      <c r="G164"/>
      <c r="H164"/>
      <c r="I164"/>
      <c r="J164"/>
      <c r="K164"/>
      <c r="L164"/>
      <c r="M164"/>
      <c r="N164"/>
      <c r="O164"/>
      <c r="P164"/>
      <c r="Q164"/>
      <c r="R164"/>
      <c r="S164"/>
      <c r="T164"/>
      <c r="U164"/>
      <c r="V164"/>
      <c r="W164"/>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BF164" s="65"/>
      <c r="BG164" s="65"/>
      <c r="BH164" s="65"/>
      <c r="BI164" s="65"/>
      <c r="BJ164" s="65"/>
      <c r="BK164" s="65"/>
      <c r="BL164" s="65"/>
      <c r="BM164" s="65"/>
      <c r="BN164" s="65"/>
      <c r="BO164" s="65"/>
      <c r="BP164" s="65"/>
      <c r="BQ164" s="65"/>
      <c r="BR164" s="65"/>
      <c r="BS164" s="65"/>
    </row>
    <row r="165" spans="1:71" s="64" customFormat="1" outlineLevel="1">
      <c r="A165" s="65"/>
      <c r="B165" s="93" t="s">
        <v>1035</v>
      </c>
      <c r="C165" s="89" t="s">
        <v>1036</v>
      </c>
      <c r="D165" s="510" t="s">
        <v>1351</v>
      </c>
      <c r="E165" s="512" t="str">
        <f>EDID!E125</f>
        <v>20</v>
      </c>
      <c r="F165" s="188"/>
      <c r="G165"/>
      <c r="H165"/>
      <c r="I165"/>
      <c r="J165"/>
      <c r="K165"/>
      <c r="L165"/>
      <c r="M165"/>
      <c r="N165"/>
      <c r="O165"/>
      <c r="P165"/>
      <c r="Q165"/>
      <c r="R165"/>
      <c r="S165"/>
      <c r="T165"/>
      <c r="U165"/>
      <c r="V165"/>
      <c r="W165"/>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BF165" s="65"/>
      <c r="BG165" s="65"/>
      <c r="BH165" s="65"/>
      <c r="BI165" s="65"/>
      <c r="BJ165" s="65"/>
      <c r="BK165" s="65"/>
      <c r="BL165" s="65"/>
      <c r="BM165" s="65"/>
      <c r="BN165" s="65"/>
      <c r="BO165" s="65"/>
      <c r="BP165" s="65"/>
      <c r="BQ165" s="65"/>
      <c r="BR165" s="65"/>
      <c r="BS165" s="65"/>
    </row>
    <row r="166" spans="1:71" s="64" customFormat="1" outlineLevel="1">
      <c r="A166" s="65"/>
      <c r="B166" s="93" t="s">
        <v>1035</v>
      </c>
      <c r="C166" s="89" t="s">
        <v>1036</v>
      </c>
      <c r="D166" s="510" t="s">
        <v>1352</v>
      </c>
      <c r="E166" s="512" t="str">
        <f>EDID!E126</f>
        <v>20</v>
      </c>
      <c r="F166" s="188"/>
      <c r="G166"/>
      <c r="H166"/>
      <c r="I166"/>
      <c r="J166"/>
      <c r="K166"/>
      <c r="L166"/>
      <c r="M166"/>
      <c r="N166"/>
      <c r="O166"/>
      <c r="P166"/>
      <c r="Q166"/>
      <c r="R166"/>
      <c r="S166"/>
      <c r="T166"/>
      <c r="U166"/>
      <c r="V166"/>
      <c r="W166"/>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BF166" s="65"/>
      <c r="BG166" s="65"/>
      <c r="BH166" s="65"/>
      <c r="BI166" s="65"/>
      <c r="BJ166" s="65"/>
      <c r="BK166" s="65"/>
      <c r="BL166" s="65"/>
      <c r="BM166" s="65"/>
      <c r="BN166" s="65"/>
      <c r="BO166" s="65"/>
      <c r="BP166" s="65"/>
      <c r="BQ166" s="65"/>
      <c r="BR166" s="65"/>
      <c r="BS166" s="65"/>
    </row>
    <row r="167" spans="1:71" s="64" customFormat="1" outlineLevel="1">
      <c r="A167" s="65"/>
      <c r="B167" s="93" t="s">
        <v>1035</v>
      </c>
      <c r="C167" s="89" t="s">
        <v>1036</v>
      </c>
      <c r="D167" s="510" t="s">
        <v>1353</v>
      </c>
      <c r="E167" s="512" t="str">
        <f>EDID!E127</f>
        <v>20</v>
      </c>
      <c r="F167" s="188"/>
      <c r="G167"/>
      <c r="H167"/>
      <c r="I167"/>
      <c r="J167"/>
      <c r="K167"/>
      <c r="L167"/>
      <c r="M167"/>
      <c r="N167"/>
      <c r="O167"/>
      <c r="P167"/>
      <c r="Q167"/>
      <c r="R167"/>
      <c r="S167"/>
      <c r="T167"/>
      <c r="U167"/>
      <c r="V167"/>
      <c r="W167"/>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BF167" s="65"/>
      <c r="BG167" s="65"/>
      <c r="BH167" s="65"/>
      <c r="BI167" s="65"/>
      <c r="BJ167" s="65"/>
      <c r="BK167" s="65"/>
      <c r="BL167" s="65"/>
      <c r="BM167" s="65"/>
      <c r="BN167" s="65"/>
      <c r="BO167" s="65"/>
      <c r="BP167" s="65"/>
      <c r="BQ167" s="65"/>
      <c r="BR167" s="65"/>
      <c r="BS167" s="65"/>
    </row>
    <row r="168" spans="1:71" s="64" customFormat="1" outlineLevel="1">
      <c r="A168" s="65"/>
      <c r="B168" s="93" t="s">
        <v>1035</v>
      </c>
      <c r="C168" s="89" t="s">
        <v>1036</v>
      </c>
      <c r="D168" s="510" t="s">
        <v>1354</v>
      </c>
      <c r="E168" s="512" t="str">
        <f>EDID!E128</f>
        <v>20</v>
      </c>
      <c r="F168" s="188"/>
      <c r="G168"/>
      <c r="H168"/>
      <c r="I168"/>
      <c r="J168"/>
      <c r="K168"/>
      <c r="L168"/>
      <c r="M168"/>
      <c r="N168"/>
      <c r="O168"/>
      <c r="P168"/>
      <c r="Q168"/>
      <c r="R168"/>
      <c r="S168"/>
      <c r="T168"/>
      <c r="U168"/>
      <c r="V168"/>
      <c r="W168"/>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BF168" s="65"/>
      <c r="BG168" s="65"/>
      <c r="BH168" s="65"/>
      <c r="BI168" s="65"/>
      <c r="BJ168" s="65"/>
      <c r="BK168" s="65"/>
      <c r="BL168" s="65"/>
      <c r="BM168" s="65"/>
      <c r="BN168" s="65"/>
      <c r="BO168" s="65"/>
      <c r="BP168" s="65"/>
      <c r="BQ168" s="65"/>
      <c r="BR168" s="65"/>
      <c r="BS168" s="65"/>
    </row>
    <row r="169" spans="1:71" s="64" customFormat="1" outlineLevel="1">
      <c r="A169" s="65"/>
      <c r="B169" s="93" t="s">
        <v>1035</v>
      </c>
      <c r="C169" s="89" t="s">
        <v>1036</v>
      </c>
      <c r="D169" s="510" t="s">
        <v>1355</v>
      </c>
      <c r="E169" s="512" t="str">
        <f>EDID!E129</f>
        <v>20</v>
      </c>
      <c r="F169" s="188"/>
      <c r="G169"/>
      <c r="H169"/>
      <c r="I169"/>
      <c r="J169"/>
      <c r="K169"/>
      <c r="L169"/>
      <c r="M169"/>
      <c r="N169"/>
      <c r="O169"/>
      <c r="P169"/>
      <c r="Q169"/>
      <c r="R169"/>
      <c r="S169"/>
      <c r="T169"/>
      <c r="U169"/>
      <c r="V169"/>
      <c r="W169"/>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BF169" s="65"/>
      <c r="BG169" s="65"/>
      <c r="BH169" s="65"/>
      <c r="BI169" s="65"/>
      <c r="BJ169" s="65"/>
      <c r="BK169" s="65"/>
      <c r="BL169" s="65"/>
      <c r="BM169" s="65"/>
      <c r="BN169" s="65"/>
      <c r="BO169" s="65"/>
      <c r="BP169" s="65"/>
      <c r="BQ169" s="65"/>
      <c r="BR169" s="65"/>
      <c r="BS169" s="65"/>
    </row>
    <row r="170" spans="1:71" s="64" customFormat="1" outlineLevel="1">
      <c r="A170" s="65"/>
      <c r="B170" s="93" t="s">
        <v>1035</v>
      </c>
      <c r="C170" s="89" t="s">
        <v>1036</v>
      </c>
      <c r="D170" s="510" t="s">
        <v>1356</v>
      </c>
      <c r="E170" s="512" t="str">
        <f>EDID!E130</f>
        <v>01</v>
      </c>
      <c r="F170" s="92"/>
      <c r="G170"/>
      <c r="H170"/>
      <c r="I170"/>
      <c r="J170"/>
      <c r="K170"/>
      <c r="L170"/>
      <c r="M170"/>
      <c r="N170"/>
      <c r="O170"/>
      <c r="P170"/>
      <c r="Q170"/>
      <c r="R170"/>
      <c r="S170"/>
      <c r="T170"/>
      <c r="U170"/>
      <c r="V170"/>
      <c r="W170"/>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BF170" s="65"/>
      <c r="BG170" s="65"/>
      <c r="BH170" s="65"/>
      <c r="BI170" s="65"/>
      <c r="BJ170" s="65"/>
      <c r="BK170" s="65"/>
      <c r="BL170" s="65"/>
      <c r="BM170" s="65"/>
      <c r="BN170" s="65"/>
      <c r="BO170" s="65"/>
      <c r="BP170" s="65"/>
      <c r="BQ170" s="65"/>
      <c r="BR170" s="65"/>
      <c r="BS170" s="65"/>
    </row>
    <row r="171" spans="1:71" s="64" customFormat="1" outlineLevel="1">
      <c r="A171" s="65"/>
      <c r="B171" s="93" t="s">
        <v>1035</v>
      </c>
      <c r="C171" s="89" t="s">
        <v>1036</v>
      </c>
      <c r="D171" s="510" t="s">
        <v>1359</v>
      </c>
      <c r="E171" s="91" t="str">
        <f>EDID!E131</f>
        <v>71</v>
      </c>
      <c r="F171" s="92"/>
      <c r="G171"/>
      <c r="H171"/>
      <c r="I171"/>
      <c r="J171"/>
      <c r="K171"/>
      <c r="L171"/>
      <c r="M171"/>
      <c r="N171"/>
      <c r="O171"/>
      <c r="P171"/>
      <c r="Q171"/>
      <c r="R171"/>
      <c r="S171"/>
      <c r="T171"/>
      <c r="U171"/>
      <c r="V171"/>
      <c r="W17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BF171" s="65"/>
      <c r="BG171" s="65"/>
      <c r="BH171" s="65"/>
      <c r="BI171" s="65"/>
      <c r="BJ171" s="65"/>
      <c r="BK171" s="65"/>
      <c r="BL171" s="65"/>
      <c r="BM171" s="65"/>
      <c r="BN171" s="65"/>
      <c r="BO171" s="65"/>
      <c r="BP171" s="65"/>
      <c r="BQ171" s="65"/>
      <c r="BR171" s="65"/>
      <c r="BS171" s="65"/>
    </row>
    <row r="172" spans="1:71" s="64" customFormat="1" outlineLevel="1">
      <c r="A172" s="65"/>
      <c r="B172" s="93" t="s">
        <v>1035</v>
      </c>
      <c r="C172" s="89" t="s">
        <v>1036</v>
      </c>
      <c r="D172" s="510" t="s">
        <v>1362</v>
      </c>
      <c r="E172" s="512" t="str">
        <f>EDID!E132</f>
        <v>02</v>
      </c>
      <c r="F172" s="92"/>
      <c r="G172"/>
      <c r="H172"/>
      <c r="I172"/>
      <c r="J172"/>
      <c r="K172"/>
      <c r="L172"/>
      <c r="M172"/>
      <c r="N172"/>
      <c r="O172"/>
      <c r="P172"/>
      <c r="Q172"/>
      <c r="R172"/>
      <c r="S172"/>
      <c r="T172"/>
      <c r="U172"/>
      <c r="V172"/>
      <c r="W172"/>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BF172" s="65"/>
      <c r="BG172" s="65"/>
      <c r="BH172" s="65"/>
      <c r="BI172" s="65"/>
      <c r="BJ172" s="65"/>
      <c r="BK172" s="65"/>
      <c r="BL172" s="65"/>
      <c r="BM172" s="65"/>
      <c r="BN172" s="65"/>
      <c r="BO172" s="65"/>
      <c r="BP172" s="65"/>
      <c r="BQ172" s="65"/>
      <c r="BR172" s="65"/>
      <c r="BS172" s="65"/>
    </row>
    <row r="173" spans="1:71" s="64" customFormat="1" outlineLevel="1">
      <c r="A173" s="65"/>
      <c r="B173" s="93" t="s">
        <v>1035</v>
      </c>
      <c r="C173" s="89" t="s">
        <v>1036</v>
      </c>
      <c r="D173" s="510" t="s">
        <v>1366</v>
      </c>
      <c r="E173" s="512" t="str">
        <f>EDID!E133</f>
        <v>03</v>
      </c>
      <c r="F173" s="92"/>
      <c r="G173"/>
      <c r="H173"/>
      <c r="I173"/>
      <c r="J173"/>
      <c r="K173"/>
      <c r="L173"/>
      <c r="M173"/>
      <c r="N173"/>
      <c r="O173"/>
      <c r="P173"/>
      <c r="Q173"/>
      <c r="R173"/>
      <c r="S173"/>
      <c r="T173"/>
      <c r="U173"/>
      <c r="V173"/>
      <c r="W173"/>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BF173" s="65"/>
      <c r="BG173" s="65"/>
      <c r="BH173" s="65"/>
      <c r="BI173" s="65"/>
      <c r="BJ173" s="65"/>
      <c r="BK173" s="65"/>
      <c r="BL173" s="65"/>
      <c r="BM173" s="65"/>
      <c r="BN173" s="65"/>
      <c r="BO173" s="65"/>
      <c r="BP173" s="65"/>
      <c r="BQ173" s="65"/>
      <c r="BR173" s="65"/>
      <c r="BS173" s="65"/>
    </row>
    <row r="174" spans="1:71" s="64" customFormat="1" outlineLevel="1">
      <c r="A174" s="65"/>
      <c r="B174" s="93" t="s">
        <v>1035</v>
      </c>
      <c r="C174" s="89" t="s">
        <v>1036</v>
      </c>
      <c r="D174" s="510" t="s">
        <v>1368</v>
      </c>
      <c r="E174" s="512" t="str">
        <f>EDID!E134</f>
        <v>1A</v>
      </c>
      <c r="F174" s="92"/>
      <c r="G174"/>
      <c r="H174"/>
      <c r="I174"/>
      <c r="J174"/>
      <c r="K174"/>
      <c r="L174"/>
      <c r="M174"/>
      <c r="N174"/>
      <c r="O174"/>
      <c r="P174"/>
      <c r="Q174"/>
      <c r="R174"/>
      <c r="S174"/>
      <c r="T174"/>
      <c r="U174"/>
      <c r="V174"/>
      <c r="W174"/>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BF174" s="65"/>
      <c r="BG174" s="65"/>
      <c r="BH174" s="65"/>
      <c r="BI174" s="65"/>
      <c r="BJ174" s="65"/>
      <c r="BK174" s="65"/>
      <c r="BL174" s="65"/>
      <c r="BM174" s="65"/>
      <c r="BN174" s="65"/>
      <c r="BO174" s="65"/>
      <c r="BP174" s="65"/>
      <c r="BQ174" s="65"/>
      <c r="BR174" s="65"/>
      <c r="BS174" s="65"/>
    </row>
    <row r="175" spans="1:71" s="64" customFormat="1" outlineLevel="1">
      <c r="A175" s="65"/>
      <c r="B175" s="93" t="s">
        <v>1035</v>
      </c>
      <c r="C175" s="89" t="s">
        <v>1036</v>
      </c>
      <c r="D175" s="510" t="s">
        <v>1375</v>
      </c>
      <c r="E175" s="512" t="str">
        <f>EDID!E135</f>
        <v>71</v>
      </c>
      <c r="F175" s="92"/>
      <c r="G175"/>
      <c r="H175"/>
      <c r="I175"/>
      <c r="J175"/>
      <c r="K175"/>
      <c r="L175"/>
      <c r="M175"/>
      <c r="N175"/>
      <c r="O175"/>
      <c r="P175"/>
      <c r="Q175"/>
      <c r="R175"/>
      <c r="S175"/>
      <c r="T175"/>
      <c r="U175"/>
      <c r="V175"/>
      <c r="W175"/>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BF175" s="65"/>
      <c r="BG175" s="65"/>
      <c r="BH175" s="65"/>
      <c r="BI175" s="65"/>
      <c r="BJ175" s="65"/>
      <c r="BK175" s="65"/>
      <c r="BL175" s="65"/>
      <c r="BM175" s="65"/>
      <c r="BN175" s="65"/>
      <c r="BO175" s="65"/>
      <c r="BP175" s="65"/>
      <c r="BQ175" s="65"/>
      <c r="BR175" s="65"/>
      <c r="BS175" s="65"/>
    </row>
    <row r="176" spans="1:71" s="64" customFormat="1" ht="15" customHeight="1" outlineLevel="1">
      <c r="A176" s="65"/>
      <c r="B176" s="93" t="s">
        <v>1035</v>
      </c>
      <c r="C176" s="89" t="s">
        <v>1036</v>
      </c>
      <c r="D176" s="510" t="s">
        <v>1378</v>
      </c>
      <c r="E176" s="512" t="str">
        <f>EDID!E136</f>
        <v>47</v>
      </c>
      <c r="F176" s="92"/>
      <c r="G176"/>
      <c r="H176"/>
      <c r="I176"/>
      <c r="J176"/>
      <c r="K176"/>
      <c r="L176"/>
      <c r="M176"/>
      <c r="N176"/>
      <c r="O176"/>
      <c r="P176"/>
      <c r="Q176"/>
      <c r="R176"/>
      <c r="S176"/>
      <c r="T176"/>
      <c r="U176"/>
      <c r="V176"/>
      <c r="W176"/>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BF176" s="65"/>
      <c r="BG176" s="65"/>
      <c r="BH176" s="65"/>
      <c r="BI176" s="65"/>
      <c r="BJ176" s="65"/>
      <c r="BK176" s="65"/>
      <c r="BL176" s="65"/>
      <c r="BM176" s="65"/>
      <c r="BN176" s="65"/>
      <c r="BO176" s="65"/>
      <c r="BP176" s="65"/>
      <c r="BQ176" s="65"/>
      <c r="BR176" s="65"/>
      <c r="BS176" s="65"/>
    </row>
    <row r="177" spans="1:71" s="64" customFormat="1" outlineLevel="1">
      <c r="A177" s="65"/>
      <c r="B177" s="93" t="s">
        <v>1035</v>
      </c>
      <c r="C177" s="89" t="s">
        <v>1036</v>
      </c>
      <c r="D177" s="510" t="s">
        <v>1385</v>
      </c>
      <c r="E177" s="91" t="str">
        <f>EDID!E137</f>
        <v>C6</v>
      </c>
      <c r="F177" s="92"/>
      <c r="G177"/>
      <c r="H177"/>
      <c r="I177"/>
      <c r="J177"/>
      <c r="K177"/>
      <c r="L177"/>
      <c r="M177"/>
      <c r="N177"/>
      <c r="O177"/>
      <c r="P177"/>
      <c r="Q177"/>
      <c r="R177"/>
      <c r="S177"/>
      <c r="T177"/>
      <c r="U177"/>
      <c r="V177"/>
      <c r="W177"/>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BF177" s="65"/>
      <c r="BG177" s="65"/>
      <c r="BH177" s="65"/>
      <c r="BI177" s="65"/>
      <c r="BJ177" s="65"/>
      <c r="BK177" s="65"/>
      <c r="BL177" s="65"/>
      <c r="BM177" s="65"/>
      <c r="BN177" s="65"/>
      <c r="BO177" s="65"/>
      <c r="BP177" s="65"/>
      <c r="BQ177" s="65"/>
      <c r="BR177" s="65"/>
      <c r="BS177" s="65"/>
    </row>
    <row r="178" spans="1:71" s="64" customFormat="1" outlineLevel="1">
      <c r="A178" s="65"/>
      <c r="B178" s="93" t="s">
        <v>1035</v>
      </c>
      <c r="C178" s="89" t="s">
        <v>1036</v>
      </c>
      <c r="D178" s="510" t="s">
        <v>1387</v>
      </c>
      <c r="E178" s="91" t="str">
        <f>EDID!E138</f>
        <v>46</v>
      </c>
      <c r="F178" s="92"/>
      <c r="G178"/>
      <c r="H178"/>
      <c r="I178"/>
      <c r="J178"/>
      <c r="K178"/>
      <c r="L178"/>
      <c r="M178"/>
      <c r="N178"/>
      <c r="O178"/>
      <c r="P178"/>
      <c r="Q178"/>
      <c r="R178"/>
      <c r="S178"/>
      <c r="T178"/>
      <c r="U178"/>
      <c r="V178"/>
      <c r="W178"/>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BF178" s="65"/>
      <c r="BG178" s="65"/>
      <c r="BH178" s="65"/>
      <c r="BI178" s="65"/>
      <c r="BJ178" s="65"/>
      <c r="BK178" s="65"/>
      <c r="BL178" s="65"/>
      <c r="BM178" s="65"/>
      <c r="BN178" s="65"/>
      <c r="BO178" s="65"/>
      <c r="BP178" s="65"/>
      <c r="BQ178" s="65"/>
      <c r="BR178" s="65"/>
      <c r="BS178" s="65"/>
    </row>
    <row r="179" spans="1:71" s="64" customFormat="1" outlineLevel="1">
      <c r="A179" s="65"/>
      <c r="B179" s="93" t="s">
        <v>1035</v>
      </c>
      <c r="C179" s="89" t="s">
        <v>1036</v>
      </c>
      <c r="D179" s="510" t="s">
        <v>1389</v>
      </c>
      <c r="E179" s="91" t="str">
        <f>EDID!E139</f>
        <v>46</v>
      </c>
      <c r="F179" s="92"/>
      <c r="G179"/>
      <c r="H179"/>
      <c r="I179"/>
      <c r="J179"/>
      <c r="K179"/>
      <c r="L179"/>
      <c r="M179"/>
      <c r="N179"/>
      <c r="O179"/>
      <c r="P179"/>
      <c r="Q179"/>
      <c r="R179"/>
      <c r="S179"/>
      <c r="T179"/>
      <c r="U179"/>
      <c r="V179"/>
      <c r="W179"/>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BF179" s="65"/>
      <c r="BG179" s="65"/>
      <c r="BH179" s="65"/>
      <c r="BI179" s="65"/>
      <c r="BJ179" s="65"/>
      <c r="BK179" s="65"/>
      <c r="BL179" s="65"/>
      <c r="BM179" s="65"/>
      <c r="BN179" s="65"/>
      <c r="BO179" s="65"/>
      <c r="BP179" s="65"/>
      <c r="BQ179" s="65"/>
      <c r="BR179" s="65"/>
      <c r="BS179" s="65"/>
    </row>
    <row r="180" spans="1:71" s="64" customFormat="1" outlineLevel="1">
      <c r="A180" s="65"/>
      <c r="B180" s="93" t="s">
        <v>1035</v>
      </c>
      <c r="C180" s="89" t="s">
        <v>1036</v>
      </c>
      <c r="D180" s="510" t="s">
        <v>1391</v>
      </c>
      <c r="E180" s="91" t="str">
        <f>EDID!E140</f>
        <v>46</v>
      </c>
      <c r="F180" s="92"/>
      <c r="G180"/>
      <c r="H180"/>
      <c r="I180"/>
      <c r="J180"/>
      <c r="K180"/>
      <c r="L180"/>
      <c r="M180"/>
      <c r="N180"/>
      <c r="O180"/>
      <c r="P180"/>
      <c r="Q180"/>
      <c r="R180"/>
      <c r="S180"/>
      <c r="T180"/>
      <c r="U180"/>
      <c r="V180"/>
      <c r="W180"/>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BF180" s="65"/>
      <c r="BG180" s="65"/>
      <c r="BH180" s="65"/>
      <c r="BI180" s="65"/>
      <c r="BJ180" s="65"/>
      <c r="BK180" s="65"/>
      <c r="BL180" s="65"/>
      <c r="BM180" s="65"/>
      <c r="BN180" s="65"/>
      <c r="BO180" s="65"/>
      <c r="BP180" s="65"/>
      <c r="BQ180" s="65"/>
      <c r="BR180" s="65"/>
      <c r="BS180" s="65"/>
    </row>
    <row r="181" spans="1:71" s="64" customFormat="1" outlineLevel="1">
      <c r="A181" s="65"/>
      <c r="B181" s="93" t="s">
        <v>1035</v>
      </c>
      <c r="C181" s="89" t="s">
        <v>1036</v>
      </c>
      <c r="D181" s="510" t="s">
        <v>1394</v>
      </c>
      <c r="E181" s="91" t="str">
        <f>EDID!E141</f>
        <v>46</v>
      </c>
      <c r="F181" s="92"/>
      <c r="G181"/>
      <c r="H181"/>
      <c r="I181"/>
      <c r="J181"/>
      <c r="K181"/>
      <c r="L181"/>
      <c r="M181"/>
      <c r="N181"/>
      <c r="O181"/>
      <c r="P181"/>
      <c r="Q181"/>
      <c r="R181"/>
      <c r="S181"/>
      <c r="T181"/>
      <c r="U181"/>
      <c r="V181"/>
      <c r="W18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BF181" s="65"/>
      <c r="BG181" s="65"/>
      <c r="BH181" s="65"/>
      <c r="BI181" s="65"/>
      <c r="BJ181" s="65"/>
      <c r="BK181" s="65"/>
      <c r="BL181" s="65"/>
      <c r="BM181" s="65"/>
      <c r="BN181" s="65"/>
      <c r="BO181" s="65"/>
      <c r="BP181" s="65"/>
      <c r="BQ181" s="65"/>
      <c r="BR181" s="65"/>
      <c r="BS181" s="65"/>
    </row>
    <row r="182" spans="1:71" s="64" customFormat="1" outlineLevel="1">
      <c r="A182" s="65"/>
      <c r="B182" s="93" t="s">
        <v>1035</v>
      </c>
      <c r="C182" s="89" t="s">
        <v>1036</v>
      </c>
      <c r="D182" s="510" t="s">
        <v>1396</v>
      </c>
      <c r="E182" s="91" t="str">
        <f>EDID!E142</f>
        <v>46</v>
      </c>
      <c r="F182" s="92"/>
      <c r="G182"/>
      <c r="H182"/>
      <c r="I182"/>
      <c r="J182"/>
      <c r="K182"/>
      <c r="L182"/>
      <c r="M182"/>
      <c r="N182"/>
      <c r="O182"/>
      <c r="P182"/>
      <c r="Q182"/>
      <c r="R182"/>
      <c r="S182"/>
      <c r="T182"/>
      <c r="U182"/>
      <c r="V182"/>
      <c r="W182"/>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BF182" s="65"/>
      <c r="BG182" s="65"/>
      <c r="BH182" s="65"/>
      <c r="BI182" s="65"/>
      <c r="BJ182" s="65"/>
      <c r="BK182" s="65"/>
      <c r="BL182" s="65"/>
      <c r="BM182" s="65"/>
      <c r="BN182" s="65"/>
      <c r="BO182" s="65"/>
      <c r="BP182" s="65"/>
      <c r="BQ182" s="65"/>
      <c r="BR182" s="65"/>
      <c r="BS182" s="65"/>
    </row>
    <row r="183" spans="1:71" s="64" customFormat="1" outlineLevel="1">
      <c r="A183" s="65"/>
      <c r="B183" s="93" t="s">
        <v>1035</v>
      </c>
      <c r="C183" s="89" t="s">
        <v>1036</v>
      </c>
      <c r="D183" s="510" t="s">
        <v>1398</v>
      </c>
      <c r="E183" s="91" t="str">
        <f>EDID!E143</f>
        <v>46</v>
      </c>
      <c r="F183" s="92"/>
      <c r="G183"/>
      <c r="H183"/>
      <c r="I183"/>
      <c r="J183"/>
      <c r="K183"/>
      <c r="L183"/>
      <c r="M183"/>
      <c r="N183"/>
      <c r="O183"/>
      <c r="P183"/>
      <c r="Q183"/>
      <c r="R183"/>
      <c r="S183"/>
      <c r="T183"/>
      <c r="U183"/>
      <c r="V183"/>
      <c r="W183"/>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BF183" s="65"/>
      <c r="BG183" s="65"/>
      <c r="BH183" s="65"/>
      <c r="BI183" s="65"/>
      <c r="BJ183" s="65"/>
      <c r="BK183" s="65"/>
      <c r="BL183" s="65"/>
      <c r="BM183" s="65"/>
      <c r="BN183" s="65"/>
      <c r="BO183" s="65"/>
      <c r="BP183" s="65"/>
      <c r="BQ183" s="65"/>
      <c r="BR183" s="65"/>
      <c r="BS183" s="65"/>
    </row>
    <row r="184" spans="1:71" s="64" customFormat="1" outlineLevel="1">
      <c r="A184" s="65"/>
      <c r="B184" s="93" t="s">
        <v>1035</v>
      </c>
      <c r="C184" s="89" t="s">
        <v>1036</v>
      </c>
      <c r="D184" s="510" t="s">
        <v>1401</v>
      </c>
      <c r="E184" s="512" t="str">
        <f>EDID!E144</f>
        <v>23</v>
      </c>
      <c r="F184" s="92"/>
      <c r="G184"/>
      <c r="H184"/>
      <c r="I184"/>
      <c r="J184"/>
      <c r="K184"/>
      <c r="L184"/>
      <c r="M184"/>
      <c r="N184"/>
      <c r="O184"/>
      <c r="P184"/>
      <c r="Q184"/>
      <c r="R184"/>
      <c r="S184"/>
      <c r="T184"/>
      <c r="U184"/>
      <c r="V184"/>
      <c r="W184"/>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BF184" s="65"/>
      <c r="BG184" s="65"/>
      <c r="BH184" s="65"/>
      <c r="BI184" s="65"/>
      <c r="BJ184" s="65"/>
      <c r="BK184" s="65"/>
      <c r="BL184" s="65"/>
      <c r="BM184" s="65"/>
      <c r="BN184" s="65"/>
      <c r="BO184" s="65"/>
      <c r="BP184" s="65"/>
      <c r="BQ184" s="65"/>
      <c r="BR184" s="65"/>
      <c r="BS184" s="65"/>
    </row>
    <row r="185" spans="1:71" s="64" customFormat="1" outlineLevel="1">
      <c r="A185" s="65"/>
      <c r="B185" s="93" t="s">
        <v>1035</v>
      </c>
      <c r="C185" s="89" t="s">
        <v>1036</v>
      </c>
      <c r="D185" s="510" t="s">
        <v>1406</v>
      </c>
      <c r="E185" s="512" t="str">
        <f>EDID!E145</f>
        <v>09</v>
      </c>
      <c r="F185" s="92"/>
      <c r="G185"/>
      <c r="H185"/>
      <c r="I185"/>
      <c r="J185"/>
      <c r="K185"/>
      <c r="L185"/>
      <c r="M185"/>
      <c r="N185"/>
      <c r="O185"/>
      <c r="P185"/>
      <c r="Q185"/>
      <c r="R185"/>
      <c r="S185"/>
      <c r="T185"/>
      <c r="U185"/>
      <c r="V185"/>
      <c r="W185"/>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BF185" s="65"/>
      <c r="BG185" s="65"/>
      <c r="BH185" s="65"/>
      <c r="BI185" s="65"/>
      <c r="BJ185" s="65"/>
      <c r="BK185" s="65"/>
      <c r="BL185" s="65"/>
      <c r="BM185" s="65"/>
      <c r="BN185" s="65"/>
      <c r="BO185" s="65"/>
      <c r="BP185" s="65"/>
      <c r="BQ185" s="65"/>
      <c r="BR185" s="65"/>
      <c r="BS185" s="65"/>
    </row>
    <row r="186" spans="1:71" s="64" customFormat="1" outlineLevel="1">
      <c r="A186" s="65"/>
      <c r="B186" s="93" t="s">
        <v>1035</v>
      </c>
      <c r="C186" s="89" t="s">
        <v>1036</v>
      </c>
      <c r="D186" s="510" t="s">
        <v>1408</v>
      </c>
      <c r="E186" s="512" t="str">
        <f>EDID!E146</f>
        <v>07</v>
      </c>
      <c r="F186" s="92"/>
      <c r="G186"/>
      <c r="H186"/>
      <c r="I186"/>
      <c r="J186"/>
      <c r="K186"/>
      <c r="L186"/>
      <c r="M186"/>
      <c r="N186"/>
      <c r="O186"/>
      <c r="P186"/>
      <c r="Q186"/>
      <c r="R186"/>
      <c r="S186"/>
      <c r="T186"/>
      <c r="U186"/>
      <c r="V186"/>
      <c r="W186"/>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BF186" s="65"/>
      <c r="BG186" s="65"/>
      <c r="BH186" s="65"/>
      <c r="BI186" s="65"/>
      <c r="BJ186" s="65"/>
      <c r="BK186" s="65"/>
      <c r="BL186" s="65"/>
      <c r="BM186" s="65"/>
      <c r="BN186" s="65"/>
      <c r="BO186" s="65"/>
      <c r="BP186" s="65"/>
      <c r="BQ186" s="65"/>
      <c r="BR186" s="65"/>
      <c r="BS186" s="65"/>
    </row>
    <row r="187" spans="1:71" s="64" customFormat="1" outlineLevel="1">
      <c r="A187" s="65"/>
      <c r="B187" s="93" t="s">
        <v>1035</v>
      </c>
      <c r="C187" s="89" t="s">
        <v>1036</v>
      </c>
      <c r="D187" s="510" t="s">
        <v>1411</v>
      </c>
      <c r="E187" s="512" t="str">
        <f>EDID!E147</f>
        <v>01</v>
      </c>
      <c r="F187" s="92"/>
      <c r="G187"/>
      <c r="H187"/>
      <c r="I187"/>
      <c r="J187"/>
      <c r="K187"/>
      <c r="L187"/>
      <c r="M187"/>
      <c r="N187"/>
      <c r="O187"/>
      <c r="P187"/>
      <c r="Q187"/>
      <c r="R187"/>
      <c r="S187"/>
      <c r="T187"/>
      <c r="U187"/>
      <c r="V187"/>
      <c r="W187"/>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BF187" s="65"/>
      <c r="BG187" s="65"/>
      <c r="BH187" s="65"/>
      <c r="BI187" s="65"/>
      <c r="BJ187" s="65"/>
      <c r="BK187" s="65"/>
      <c r="BL187" s="65"/>
      <c r="BM187" s="65"/>
      <c r="BN187" s="65"/>
      <c r="BO187" s="65"/>
      <c r="BP187" s="65"/>
      <c r="BQ187" s="65"/>
      <c r="BR187" s="65"/>
      <c r="BS187" s="65"/>
    </row>
    <row r="188" spans="1:71" s="64" customFormat="1" outlineLevel="1">
      <c r="A188" s="65"/>
      <c r="B188" s="93" t="s">
        <v>1035</v>
      </c>
      <c r="C188" s="89" t="s">
        <v>1036</v>
      </c>
      <c r="D188" s="510" t="s">
        <v>1413</v>
      </c>
      <c r="E188" s="512" t="str">
        <f>EDID!E148</f>
        <v>83</v>
      </c>
      <c r="F188" s="92"/>
      <c r="G188"/>
      <c r="H188"/>
      <c r="I188"/>
      <c r="J188"/>
      <c r="K188"/>
      <c r="L188"/>
      <c r="M188"/>
      <c r="N188"/>
      <c r="O188"/>
      <c r="P188"/>
      <c r="Q188"/>
      <c r="R188"/>
      <c r="S188"/>
      <c r="T188"/>
      <c r="U188"/>
      <c r="V188"/>
      <c r="W188"/>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BF188" s="65"/>
      <c r="BG188" s="65"/>
      <c r="BH188" s="65"/>
      <c r="BI188" s="65"/>
      <c r="BJ188" s="65"/>
      <c r="BK188" s="65"/>
      <c r="BL188" s="65"/>
      <c r="BM188" s="65"/>
      <c r="BN188" s="65"/>
      <c r="BO188" s="65"/>
      <c r="BP188" s="65"/>
      <c r="BQ188" s="65"/>
      <c r="BR188" s="65"/>
      <c r="BS188" s="65"/>
    </row>
    <row r="189" spans="1:71" s="64" customFormat="1" outlineLevel="1">
      <c r="A189" s="65"/>
      <c r="B189" s="93" t="s">
        <v>1035</v>
      </c>
      <c r="C189" s="89" t="s">
        <v>1036</v>
      </c>
      <c r="D189" s="510" t="s">
        <v>1417</v>
      </c>
      <c r="E189" s="512" t="str">
        <f>EDID!E149</f>
        <v>01</v>
      </c>
      <c r="F189" s="92"/>
      <c r="G189"/>
      <c r="H189"/>
      <c r="I189"/>
      <c r="J189"/>
      <c r="K189"/>
      <c r="L189"/>
      <c r="M189"/>
      <c r="N189"/>
      <c r="O189"/>
      <c r="P189"/>
      <c r="Q189"/>
      <c r="R189"/>
      <c r="S189"/>
      <c r="T189"/>
      <c r="U189"/>
      <c r="V189"/>
      <c r="W189"/>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BF189" s="65"/>
      <c r="BG189" s="65"/>
      <c r="BH189" s="65"/>
      <c r="BI189" s="65"/>
      <c r="BJ189" s="65"/>
      <c r="BK189" s="65"/>
      <c r="BL189" s="65"/>
      <c r="BM189" s="65"/>
      <c r="BN189" s="65"/>
      <c r="BO189" s="65"/>
      <c r="BP189" s="65"/>
      <c r="BQ189" s="65"/>
      <c r="BR189" s="65"/>
      <c r="BS189" s="65"/>
    </row>
    <row r="190" spans="1:71" s="64" customFormat="1" outlineLevel="1">
      <c r="A190" s="65"/>
      <c r="B190" s="93" t="s">
        <v>1035</v>
      </c>
      <c r="C190" s="89" t="s">
        <v>1036</v>
      </c>
      <c r="D190" s="510" t="s">
        <v>1419</v>
      </c>
      <c r="E190" s="512" t="str">
        <f>EDID!E150</f>
        <v>00</v>
      </c>
      <c r="F190" s="92"/>
      <c r="G190"/>
      <c r="H190"/>
      <c r="I190"/>
      <c r="J190"/>
      <c r="K190"/>
      <c r="L190"/>
      <c r="M190"/>
      <c r="N190"/>
      <c r="O190"/>
      <c r="P190"/>
      <c r="Q190"/>
      <c r="R190"/>
      <c r="S190"/>
      <c r="T190"/>
      <c r="U190"/>
      <c r="V190"/>
      <c r="W190"/>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BF190" s="65"/>
      <c r="BG190" s="65"/>
      <c r="BH190" s="65"/>
      <c r="BI190" s="65"/>
      <c r="BJ190" s="65"/>
      <c r="BK190" s="65"/>
      <c r="BL190" s="65"/>
      <c r="BM190" s="65"/>
      <c r="BN190" s="65"/>
      <c r="BO190" s="65"/>
      <c r="BP190" s="65"/>
      <c r="BQ190" s="65"/>
      <c r="BR190" s="65"/>
      <c r="BS190" s="65"/>
    </row>
    <row r="191" spans="1:71" s="64" customFormat="1" outlineLevel="1">
      <c r="A191" s="65"/>
      <c r="B191" s="93" t="s">
        <v>1035</v>
      </c>
      <c r="C191" s="89" t="s">
        <v>1036</v>
      </c>
      <c r="D191" s="510" t="s">
        <v>1421</v>
      </c>
      <c r="E191" s="512" t="str">
        <f>EDID!E151</f>
        <v>00</v>
      </c>
      <c r="F191" s="92"/>
      <c r="G191"/>
      <c r="H191"/>
      <c r="I191"/>
      <c r="J191"/>
      <c r="K191"/>
      <c r="L191"/>
      <c r="M191"/>
      <c r="N191"/>
      <c r="O191"/>
      <c r="P191"/>
      <c r="Q191"/>
      <c r="R191"/>
      <c r="S191"/>
      <c r="T191"/>
      <c r="U191"/>
      <c r="V191"/>
      <c r="W191"/>
      <c r="X191" s="131"/>
      <c r="Y191" s="131"/>
      <c r="Z191" s="131"/>
      <c r="AA191" s="131"/>
      <c r="AB191" s="131"/>
      <c r="AC191" s="131"/>
      <c r="AD191" s="131"/>
      <c r="AE191" s="131"/>
      <c r="AF191" s="131"/>
      <c r="AG191" s="131"/>
      <c r="AH191" s="131"/>
      <c r="AI191" s="131"/>
      <c r="AJ191" s="131"/>
      <c r="AK191" s="131"/>
      <c r="AL191" s="131"/>
      <c r="AM191" s="131"/>
      <c r="AN191" s="131"/>
      <c r="AO191" s="131"/>
      <c r="AP191" s="131"/>
      <c r="AQ191" s="131"/>
      <c r="AR191" s="131"/>
      <c r="BF191" s="65"/>
      <c r="BG191" s="65"/>
      <c r="BH191" s="65"/>
      <c r="BI191" s="65"/>
      <c r="BJ191" s="65"/>
      <c r="BK191" s="65"/>
      <c r="BL191" s="65"/>
      <c r="BM191" s="65"/>
      <c r="BN191" s="65"/>
      <c r="BO191" s="65"/>
      <c r="BP191" s="65"/>
      <c r="BQ191" s="65"/>
      <c r="BR191" s="65"/>
      <c r="BS191" s="65"/>
    </row>
    <row r="192" spans="1:71" s="64" customFormat="1" outlineLevel="1">
      <c r="A192" s="65"/>
      <c r="B192" s="93" t="s">
        <v>1035</v>
      </c>
      <c r="C192" s="89" t="s">
        <v>1036</v>
      </c>
      <c r="D192" s="510" t="s">
        <v>1422</v>
      </c>
      <c r="E192" s="512" t="str">
        <f>EDID!E152</f>
        <v>65</v>
      </c>
      <c r="F192" s="92"/>
      <c r="G192"/>
      <c r="H192"/>
      <c r="I192"/>
      <c r="J192"/>
      <c r="K192"/>
      <c r="L192"/>
      <c r="M192"/>
      <c r="N192"/>
      <c r="O192"/>
      <c r="P192"/>
      <c r="Q192"/>
      <c r="R192"/>
      <c r="S192"/>
      <c r="T192"/>
      <c r="U192"/>
      <c r="V192"/>
      <c r="W192"/>
      <c r="X192" s="131"/>
      <c r="Y192" s="131"/>
      <c r="Z192" s="131"/>
      <c r="AA192" s="131"/>
      <c r="AB192" s="131"/>
      <c r="AC192" s="131"/>
      <c r="AD192" s="131"/>
      <c r="AE192" s="131"/>
      <c r="AF192" s="131"/>
      <c r="AG192" s="131"/>
      <c r="AH192" s="131"/>
      <c r="AI192" s="131"/>
      <c r="AJ192" s="131"/>
      <c r="AK192" s="131"/>
      <c r="AL192" s="131"/>
      <c r="AM192" s="131"/>
      <c r="AN192" s="131"/>
      <c r="AO192" s="131"/>
      <c r="AP192" s="131"/>
      <c r="AQ192" s="131"/>
      <c r="AR192" s="131"/>
      <c r="BF192" s="65"/>
      <c r="BG192" s="65"/>
      <c r="BH192" s="65"/>
      <c r="BI192" s="65"/>
      <c r="BJ192" s="65"/>
      <c r="BK192" s="65"/>
      <c r="BL192" s="65"/>
      <c r="BM192" s="65"/>
      <c r="BN192" s="65"/>
      <c r="BO192" s="65"/>
      <c r="BP192" s="65"/>
      <c r="BQ192" s="65"/>
      <c r="BR192" s="65"/>
      <c r="BS192" s="65"/>
    </row>
    <row r="193" spans="1:71" s="64" customFormat="1" outlineLevel="1">
      <c r="A193" s="65"/>
      <c r="B193" s="93" t="s">
        <v>1035</v>
      </c>
      <c r="C193" s="89" t="s">
        <v>1036</v>
      </c>
      <c r="D193" s="510" t="s">
        <v>1426</v>
      </c>
      <c r="E193" s="512" t="str">
        <f>EDID!E153</f>
        <v>03</v>
      </c>
      <c r="F193" s="92"/>
      <c r="G193"/>
      <c r="H193"/>
      <c r="I193"/>
      <c r="J193"/>
      <c r="K193"/>
      <c r="L193"/>
      <c r="M193"/>
      <c r="N193"/>
      <c r="O193"/>
      <c r="P193"/>
      <c r="Q193"/>
      <c r="R193"/>
      <c r="S193"/>
      <c r="T193"/>
      <c r="U193"/>
      <c r="V193"/>
      <c r="W193"/>
      <c r="X193" s="131"/>
      <c r="Y193" s="131"/>
      <c r="Z193" s="131"/>
      <c r="AA193" s="131"/>
      <c r="AB193" s="131"/>
      <c r="AC193" s="131"/>
      <c r="AD193" s="131"/>
      <c r="AE193" s="131"/>
      <c r="AF193" s="131"/>
      <c r="AG193" s="131"/>
      <c r="AH193" s="131"/>
      <c r="AI193" s="131"/>
      <c r="AJ193" s="131"/>
      <c r="AK193" s="131"/>
      <c r="AL193" s="131"/>
      <c r="AM193" s="131"/>
      <c r="AN193" s="131"/>
      <c r="AO193" s="131"/>
      <c r="AP193" s="131"/>
      <c r="AQ193" s="131"/>
      <c r="AR193" s="131"/>
      <c r="BF193" s="65"/>
      <c r="BG193" s="65"/>
      <c r="BH193" s="65"/>
      <c r="BI193" s="65"/>
      <c r="BJ193" s="65"/>
      <c r="BK193" s="65"/>
      <c r="BL193" s="65"/>
      <c r="BM193" s="65"/>
      <c r="BN193" s="65"/>
      <c r="BO193" s="65"/>
      <c r="BP193" s="65"/>
      <c r="BQ193" s="65"/>
      <c r="BR193" s="65"/>
      <c r="BS193" s="65"/>
    </row>
    <row r="194" spans="1:71" s="64" customFormat="1" ht="15" customHeight="1" outlineLevel="1">
      <c r="A194" s="65"/>
      <c r="B194" s="93" t="s">
        <v>1035</v>
      </c>
      <c r="C194" s="89" t="s">
        <v>1036</v>
      </c>
      <c r="D194" s="510" t="s">
        <v>1427</v>
      </c>
      <c r="E194" s="512" t="str">
        <f>EDID!E154</f>
        <v>0C</v>
      </c>
      <c r="F194" s="92"/>
      <c r="G194"/>
      <c r="H194"/>
      <c r="I194"/>
      <c r="J194"/>
      <c r="K194"/>
      <c r="L194"/>
      <c r="M194"/>
      <c r="N194"/>
      <c r="O194"/>
      <c r="P194"/>
      <c r="Q194"/>
      <c r="R194"/>
      <c r="S194"/>
      <c r="T194"/>
      <c r="U194"/>
      <c r="V194"/>
      <c r="W194"/>
      <c r="X194" s="131"/>
      <c r="Y194" s="131"/>
      <c r="Z194" s="131"/>
      <c r="AA194" s="131"/>
      <c r="AB194" s="131"/>
      <c r="AC194" s="131"/>
      <c r="AD194" s="131"/>
      <c r="AE194" s="131"/>
      <c r="AF194" s="131"/>
      <c r="AG194" s="131"/>
      <c r="AH194" s="131"/>
      <c r="AI194" s="131"/>
      <c r="AJ194" s="131"/>
      <c r="AK194" s="131"/>
      <c r="AL194" s="131"/>
      <c r="AM194" s="131"/>
      <c r="AN194" s="131"/>
      <c r="AO194" s="131"/>
      <c r="AP194" s="131"/>
      <c r="AQ194" s="131"/>
      <c r="AR194" s="131"/>
      <c r="BF194" s="65"/>
      <c r="BG194" s="65"/>
      <c r="BH194" s="65"/>
      <c r="BI194" s="65"/>
      <c r="BJ194" s="65"/>
      <c r="BK194" s="65"/>
      <c r="BL194" s="65"/>
      <c r="BM194" s="65"/>
      <c r="BN194" s="65"/>
      <c r="BO194" s="65"/>
      <c r="BP194" s="65"/>
      <c r="BQ194" s="65"/>
      <c r="BR194" s="65"/>
      <c r="BS194" s="65"/>
    </row>
    <row r="195" spans="1:71" s="64" customFormat="1" outlineLevel="1">
      <c r="A195" s="65"/>
      <c r="B195" s="93" t="s">
        <v>1035</v>
      </c>
      <c r="C195" s="89" t="s">
        <v>1036</v>
      </c>
      <c r="D195" s="510" t="s">
        <v>1429</v>
      </c>
      <c r="E195" s="512" t="str">
        <f>EDID!E155</f>
        <v>00</v>
      </c>
      <c r="F195" s="92"/>
      <c r="G195"/>
      <c r="H195"/>
      <c r="I195"/>
      <c r="J195"/>
      <c r="K195"/>
      <c r="L195"/>
      <c r="M195"/>
      <c r="N195"/>
      <c r="O195"/>
      <c r="P195"/>
      <c r="Q195"/>
      <c r="R195"/>
      <c r="S195"/>
      <c r="T195"/>
      <c r="U195"/>
      <c r="V195"/>
      <c r="W195"/>
      <c r="X195" s="131"/>
      <c r="Y195" s="131"/>
      <c r="Z195" s="131"/>
      <c r="AA195" s="131"/>
      <c r="AB195" s="131"/>
      <c r="AC195" s="131"/>
      <c r="AD195" s="131"/>
      <c r="AE195" s="131"/>
      <c r="AF195" s="131"/>
      <c r="AG195" s="131"/>
      <c r="AH195" s="131"/>
      <c r="AI195" s="131"/>
      <c r="AJ195" s="131"/>
      <c r="AK195" s="131"/>
      <c r="AL195" s="131"/>
      <c r="AM195" s="131"/>
      <c r="AN195" s="131"/>
      <c r="AO195" s="131"/>
      <c r="AP195" s="131"/>
      <c r="AQ195" s="131"/>
      <c r="AR195" s="131"/>
      <c r="BF195" s="65"/>
      <c r="BG195" s="65"/>
      <c r="BH195" s="65"/>
      <c r="BI195" s="65"/>
      <c r="BJ195" s="65"/>
      <c r="BK195" s="65"/>
      <c r="BL195" s="65"/>
      <c r="BM195" s="65"/>
      <c r="BN195" s="65"/>
      <c r="BO195" s="65"/>
      <c r="BP195" s="65"/>
      <c r="BQ195" s="65"/>
      <c r="BR195" s="65"/>
      <c r="BS195" s="65"/>
    </row>
    <row r="196" spans="1:71" s="64" customFormat="1" outlineLevel="1">
      <c r="A196" s="65"/>
      <c r="B196" s="93" t="s">
        <v>1035</v>
      </c>
      <c r="C196" s="89" t="s">
        <v>1036</v>
      </c>
      <c r="D196" s="510" t="s">
        <v>1430</v>
      </c>
      <c r="E196" s="512" t="str">
        <f>EDID!E156</f>
        <v>10</v>
      </c>
      <c r="F196" s="92"/>
      <c r="G196"/>
      <c r="H196"/>
      <c r="I196"/>
      <c r="J196"/>
      <c r="K196"/>
      <c r="L196"/>
      <c r="M196"/>
      <c r="N196"/>
      <c r="O196"/>
      <c r="P196"/>
      <c r="Q196"/>
      <c r="R196"/>
      <c r="S196"/>
      <c r="T196"/>
      <c r="U196"/>
      <c r="V196"/>
      <c r="W196"/>
      <c r="X196" s="131"/>
      <c r="Y196" s="131"/>
      <c r="Z196" s="131"/>
      <c r="AA196" s="131"/>
      <c r="AB196" s="131"/>
      <c r="AC196" s="131"/>
      <c r="AD196" s="131"/>
      <c r="AE196" s="131"/>
      <c r="AF196" s="131"/>
      <c r="AG196" s="131"/>
      <c r="AH196" s="131"/>
      <c r="AI196" s="131"/>
      <c r="AJ196" s="131"/>
      <c r="AK196" s="131"/>
      <c r="AL196" s="131"/>
      <c r="AM196" s="131"/>
      <c r="AN196" s="131"/>
      <c r="AO196" s="131"/>
      <c r="AP196" s="131"/>
      <c r="AQ196" s="131"/>
      <c r="AR196" s="131"/>
      <c r="BF196" s="65"/>
      <c r="BG196" s="65"/>
      <c r="BH196" s="65"/>
      <c r="BI196" s="65"/>
      <c r="BJ196" s="65"/>
      <c r="BK196" s="65"/>
      <c r="BL196" s="65"/>
      <c r="BM196" s="65"/>
      <c r="BN196" s="65"/>
      <c r="BO196" s="65"/>
      <c r="BP196" s="65"/>
      <c r="BQ196" s="65"/>
      <c r="BR196" s="65"/>
      <c r="BS196" s="65"/>
    </row>
    <row r="197" spans="1:71" s="64" customFormat="1" outlineLevel="1">
      <c r="A197" s="65"/>
      <c r="B197" s="93" t="s">
        <v>1035</v>
      </c>
      <c r="C197" s="89" t="s">
        <v>1036</v>
      </c>
      <c r="D197" s="510" t="s">
        <v>1432</v>
      </c>
      <c r="E197" s="512" t="str">
        <f>EDID!E157</f>
        <v>00</v>
      </c>
      <c r="F197" s="92"/>
      <c r="G197"/>
      <c r="H197"/>
      <c r="I197"/>
      <c r="J197"/>
      <c r="K197"/>
      <c r="L197"/>
      <c r="M197"/>
      <c r="N197"/>
      <c r="O197"/>
      <c r="P197"/>
      <c r="Q197"/>
      <c r="R197"/>
      <c r="S197"/>
      <c r="T197"/>
      <c r="U197"/>
      <c r="V197"/>
      <c r="W197"/>
      <c r="X197" s="131"/>
      <c r="Y197" s="131"/>
      <c r="Z197" s="131"/>
      <c r="AA197" s="131"/>
      <c r="AB197" s="131"/>
      <c r="AC197" s="131"/>
      <c r="AD197" s="131"/>
      <c r="AE197" s="131"/>
      <c r="AF197" s="131"/>
      <c r="AG197" s="131"/>
      <c r="AH197" s="131"/>
      <c r="AI197" s="131"/>
      <c r="AJ197" s="131"/>
      <c r="AK197" s="131"/>
      <c r="AL197" s="131"/>
      <c r="AM197" s="131"/>
      <c r="AN197" s="131"/>
      <c r="AO197" s="131"/>
      <c r="AP197" s="131"/>
      <c r="AQ197" s="131"/>
      <c r="AR197" s="131"/>
      <c r="BF197" s="65"/>
      <c r="BG197" s="65"/>
      <c r="BH197" s="65"/>
      <c r="BI197" s="65"/>
      <c r="BJ197" s="65"/>
      <c r="BK197" s="65"/>
      <c r="BL197" s="65"/>
      <c r="BM197" s="65"/>
      <c r="BN197" s="65"/>
      <c r="BO197" s="65"/>
      <c r="BP197" s="65"/>
      <c r="BQ197" s="65"/>
      <c r="BR197" s="65"/>
      <c r="BS197" s="65"/>
    </row>
    <row r="198" spans="1:71" s="64" customFormat="1" outlineLevel="1">
      <c r="A198" s="65"/>
      <c r="B198" s="93" t="s">
        <v>1035</v>
      </c>
      <c r="C198" s="89" t="s">
        <v>1036</v>
      </c>
      <c r="D198" s="510" t="s">
        <v>1433</v>
      </c>
      <c r="E198" s="91" t="str">
        <f>EDID!E158</f>
        <v>28</v>
      </c>
      <c r="F198" s="92"/>
      <c r="G198"/>
      <c r="H198"/>
      <c r="I198"/>
      <c r="J198"/>
      <c r="K198"/>
      <c r="L198"/>
      <c r="M198"/>
      <c r="N198"/>
      <c r="O198"/>
      <c r="P198"/>
      <c r="Q198"/>
      <c r="R198"/>
      <c r="S198"/>
      <c r="T198"/>
      <c r="U198"/>
      <c r="V198"/>
      <c r="W198"/>
      <c r="X198" s="131"/>
      <c r="Y198" s="131"/>
      <c r="Z198" s="131"/>
      <c r="AA198" s="131"/>
      <c r="AB198" s="131"/>
      <c r="AC198" s="131"/>
      <c r="AD198" s="131"/>
      <c r="AE198" s="131"/>
      <c r="AF198" s="131"/>
      <c r="AG198" s="131"/>
      <c r="AH198" s="131"/>
      <c r="AI198" s="131"/>
      <c r="AJ198" s="131"/>
      <c r="AK198" s="131"/>
      <c r="AL198" s="131"/>
      <c r="AM198" s="131"/>
      <c r="AN198" s="131"/>
      <c r="AO198" s="131"/>
      <c r="AP198" s="131"/>
      <c r="AQ198" s="131"/>
      <c r="AR198" s="131"/>
      <c r="BF198" s="65"/>
      <c r="BG198" s="65"/>
      <c r="BH198" s="65"/>
      <c r="BI198" s="65"/>
      <c r="BJ198" s="65"/>
      <c r="BK198" s="65"/>
      <c r="BL198" s="65"/>
      <c r="BM198" s="65"/>
      <c r="BN198" s="65"/>
      <c r="BO198" s="65"/>
      <c r="BP198" s="65"/>
      <c r="BQ198" s="65"/>
      <c r="BR198" s="65"/>
      <c r="BS198" s="65"/>
    </row>
    <row r="199" spans="1:71" s="64" customFormat="1" outlineLevel="1">
      <c r="A199" s="65"/>
      <c r="B199" s="93" t="s">
        <v>1035</v>
      </c>
      <c r="C199" s="89" t="s">
        <v>1036</v>
      </c>
      <c r="D199" s="510" t="s">
        <v>1436</v>
      </c>
      <c r="E199" s="91" t="str">
        <f>EDID!E159</f>
        <v>3C</v>
      </c>
      <c r="F199" s="92"/>
      <c r="G199"/>
      <c r="H199"/>
      <c r="I199"/>
      <c r="J199"/>
      <c r="K199"/>
      <c r="L199"/>
      <c r="M199"/>
      <c r="N199"/>
      <c r="O199"/>
      <c r="P199"/>
      <c r="Q199"/>
      <c r="R199"/>
      <c r="S199"/>
      <c r="T199"/>
      <c r="U199"/>
      <c r="V199"/>
      <c r="W199"/>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BF199" s="65"/>
      <c r="BG199" s="65"/>
      <c r="BH199" s="65"/>
      <c r="BI199" s="65"/>
      <c r="BJ199" s="65"/>
      <c r="BK199" s="65"/>
      <c r="BL199" s="65"/>
      <c r="BM199" s="65"/>
      <c r="BN199" s="65"/>
      <c r="BO199" s="65"/>
      <c r="BP199" s="65"/>
      <c r="BQ199" s="65"/>
      <c r="BR199" s="65"/>
      <c r="BS199" s="65"/>
    </row>
    <row r="200" spans="1:71" s="64" customFormat="1" outlineLevel="1">
      <c r="A200" s="65"/>
      <c r="B200" s="93" t="s">
        <v>1035</v>
      </c>
      <c r="C200" s="89" t="s">
        <v>1036</v>
      </c>
      <c r="D200" s="510" t="s">
        <v>1437</v>
      </c>
      <c r="E200" s="91" t="str">
        <f>EDID!E160</f>
        <v>38</v>
      </c>
      <c r="F200" s="92"/>
      <c r="G200"/>
      <c r="H200"/>
      <c r="I200"/>
      <c r="J200"/>
      <c r="K200"/>
      <c r="L200"/>
      <c r="M200"/>
      <c r="N200"/>
      <c r="O200"/>
      <c r="P200"/>
      <c r="Q200"/>
      <c r="R200"/>
      <c r="S200"/>
      <c r="T200"/>
      <c r="U200"/>
      <c r="V200"/>
      <c r="W200"/>
      <c r="X200" s="131"/>
      <c r="Y200" s="131"/>
      <c r="Z200" s="131"/>
      <c r="AA200" s="131"/>
      <c r="AB200" s="131"/>
      <c r="AC200" s="131"/>
      <c r="AD200" s="131"/>
      <c r="AE200" s="131"/>
      <c r="AF200" s="131"/>
      <c r="AG200" s="131"/>
      <c r="AH200" s="131"/>
      <c r="AI200" s="131"/>
      <c r="AJ200" s="131"/>
      <c r="AK200" s="131"/>
      <c r="AL200" s="131"/>
      <c r="AM200" s="131"/>
      <c r="AN200" s="131"/>
      <c r="AO200" s="131"/>
      <c r="AP200" s="131"/>
      <c r="AQ200" s="131"/>
      <c r="AR200" s="131"/>
      <c r="BF200" s="65"/>
      <c r="BG200" s="65"/>
      <c r="BH200" s="65"/>
      <c r="BI200" s="65"/>
      <c r="BJ200" s="65"/>
      <c r="BK200" s="65"/>
      <c r="BL200" s="65"/>
      <c r="BM200" s="65"/>
      <c r="BN200" s="65"/>
      <c r="BO200" s="65"/>
      <c r="BP200" s="65"/>
      <c r="BQ200" s="65"/>
      <c r="BR200" s="65"/>
      <c r="BS200" s="65"/>
    </row>
    <row r="201" spans="1:71" s="64" customFormat="1" outlineLevel="1">
      <c r="A201" s="65"/>
      <c r="B201" s="93" t="s">
        <v>1035</v>
      </c>
      <c r="C201" s="89" t="s">
        <v>1036</v>
      </c>
      <c r="D201" s="510" t="s">
        <v>1439</v>
      </c>
      <c r="E201" s="91" t="str">
        <f>EDID!E161</f>
        <v>FA</v>
      </c>
      <c r="F201" s="92"/>
      <c r="G201"/>
      <c r="H201"/>
      <c r="I201"/>
      <c r="J201"/>
      <c r="K201"/>
      <c r="L201"/>
      <c r="M201"/>
      <c r="N201"/>
      <c r="O201"/>
      <c r="P201"/>
      <c r="Q201"/>
      <c r="R201"/>
      <c r="S201"/>
      <c r="T201"/>
      <c r="U201"/>
      <c r="V201"/>
      <c r="W201"/>
      <c r="X201" s="131"/>
      <c r="Y201" s="131"/>
      <c r="Z201" s="131"/>
      <c r="AA201" s="131"/>
      <c r="AB201" s="131"/>
      <c r="AC201" s="131"/>
      <c r="AD201" s="131"/>
      <c r="AE201" s="131"/>
      <c r="AF201" s="131"/>
      <c r="AG201" s="131"/>
      <c r="AH201" s="131"/>
      <c r="AI201" s="131"/>
      <c r="AJ201" s="131"/>
      <c r="AK201" s="131"/>
      <c r="AL201" s="131"/>
      <c r="AM201" s="131"/>
      <c r="AN201" s="131"/>
      <c r="AO201" s="131"/>
      <c r="AP201" s="131"/>
      <c r="AQ201" s="131"/>
      <c r="AR201" s="131"/>
      <c r="BF201" s="65"/>
      <c r="BG201" s="65"/>
      <c r="BH201" s="65"/>
      <c r="BI201" s="65"/>
      <c r="BJ201" s="65"/>
      <c r="BK201" s="65"/>
      <c r="BL201" s="65"/>
      <c r="BM201" s="65"/>
      <c r="BN201" s="65"/>
      <c r="BO201" s="65"/>
      <c r="BP201" s="65"/>
      <c r="BQ201" s="65"/>
      <c r="BR201" s="65"/>
      <c r="BS201" s="65"/>
    </row>
    <row r="202" spans="1:71" s="64" customFormat="1" outlineLevel="1">
      <c r="A202" s="65"/>
      <c r="B202" s="93" t="s">
        <v>1035</v>
      </c>
      <c r="C202" s="89" t="s">
        <v>1036</v>
      </c>
      <c r="D202" s="510" t="s">
        <v>1441</v>
      </c>
      <c r="E202" s="91" t="str">
        <f>EDID!E162</f>
        <v>40</v>
      </c>
      <c r="F202" s="92"/>
      <c r="G202"/>
      <c r="H202"/>
      <c r="I202"/>
      <c r="J202"/>
      <c r="K202"/>
      <c r="L202"/>
      <c r="M202"/>
      <c r="N202"/>
      <c r="O202"/>
      <c r="P202"/>
      <c r="Q202"/>
      <c r="R202"/>
      <c r="S202"/>
      <c r="T202"/>
      <c r="U202"/>
      <c r="V202"/>
      <c r="W202"/>
      <c r="X202" s="131"/>
      <c r="Y202" s="131"/>
      <c r="Z202" s="131"/>
      <c r="AA202" s="131"/>
      <c r="AB202" s="131"/>
      <c r="AC202" s="131"/>
      <c r="AD202" s="131"/>
      <c r="AE202" s="131"/>
      <c r="AF202" s="131"/>
      <c r="AG202" s="131"/>
      <c r="AH202" s="131"/>
      <c r="AI202" s="131"/>
      <c r="AJ202" s="131"/>
      <c r="AK202" s="131"/>
      <c r="AL202" s="131"/>
      <c r="AM202" s="131"/>
      <c r="AN202" s="131"/>
      <c r="AO202" s="131"/>
      <c r="AP202" s="131"/>
      <c r="AQ202" s="131"/>
      <c r="AR202" s="131"/>
      <c r="BF202" s="65"/>
      <c r="BG202" s="65"/>
      <c r="BH202" s="65"/>
      <c r="BI202" s="65"/>
      <c r="BJ202" s="65"/>
      <c r="BK202" s="65"/>
      <c r="BL202" s="65"/>
      <c r="BM202" s="65"/>
      <c r="BN202" s="65"/>
      <c r="BO202" s="65"/>
      <c r="BP202" s="65"/>
      <c r="BQ202" s="65"/>
      <c r="BR202" s="65"/>
      <c r="BS202" s="65"/>
    </row>
    <row r="203" spans="1:71" s="64" customFormat="1" outlineLevel="1">
      <c r="A203" s="65"/>
      <c r="B203" s="93" t="s">
        <v>1035</v>
      </c>
      <c r="C203" s="89" t="s">
        <v>1036</v>
      </c>
      <c r="D203" s="510" t="s">
        <v>1443</v>
      </c>
      <c r="E203" s="91" t="str">
        <f>EDID!E163</f>
        <v>80</v>
      </c>
      <c r="F203" s="92"/>
      <c r="G203"/>
      <c r="H203"/>
      <c r="I203"/>
      <c r="J203"/>
      <c r="K203"/>
      <c r="L203"/>
      <c r="M203"/>
      <c r="N203"/>
      <c r="O203"/>
      <c r="P203"/>
      <c r="Q203"/>
      <c r="R203"/>
      <c r="S203"/>
      <c r="T203"/>
      <c r="U203"/>
      <c r="V203"/>
      <c r="W203"/>
      <c r="X203" s="131"/>
      <c r="Y203" s="131"/>
      <c r="Z203" s="131"/>
      <c r="AA203" s="131"/>
      <c r="AB203" s="131"/>
      <c r="AC203" s="131"/>
      <c r="AD203" s="131"/>
      <c r="AE203" s="131"/>
      <c r="AF203" s="131"/>
      <c r="AG203" s="131"/>
      <c r="AH203" s="131"/>
      <c r="AI203" s="131"/>
      <c r="AJ203" s="131"/>
      <c r="AK203" s="131"/>
      <c r="AL203" s="131"/>
      <c r="AM203" s="131"/>
      <c r="AN203" s="131"/>
      <c r="AO203" s="131"/>
      <c r="AP203" s="131"/>
      <c r="AQ203" s="131"/>
      <c r="AR203" s="131"/>
      <c r="BF203" s="65"/>
      <c r="BG203" s="65"/>
      <c r="BH203" s="65"/>
      <c r="BI203" s="65"/>
      <c r="BJ203" s="65"/>
      <c r="BK203" s="65"/>
      <c r="BL203" s="65"/>
      <c r="BM203" s="65"/>
      <c r="BN203" s="65"/>
      <c r="BO203" s="65"/>
      <c r="BP203" s="65"/>
      <c r="BQ203" s="65"/>
      <c r="BR203" s="65"/>
      <c r="BS203" s="65"/>
    </row>
    <row r="204" spans="1:71" s="64" customFormat="1" outlineLevel="1">
      <c r="A204" s="65"/>
      <c r="B204" s="93" t="s">
        <v>1035</v>
      </c>
      <c r="C204" s="89" t="s">
        <v>1036</v>
      </c>
      <c r="D204" s="510" t="s">
        <v>1445</v>
      </c>
      <c r="E204" s="91" t="str">
        <f>EDID!E164</f>
        <v>0C</v>
      </c>
      <c r="F204" s="92"/>
      <c r="G204"/>
      <c r="H204"/>
      <c r="I204"/>
      <c r="J204"/>
      <c r="K204"/>
      <c r="L204"/>
      <c r="M204"/>
      <c r="N204"/>
      <c r="O204"/>
      <c r="P204"/>
      <c r="Q204"/>
      <c r="R204"/>
      <c r="S204"/>
      <c r="T204"/>
      <c r="U204"/>
      <c r="V204"/>
      <c r="W204"/>
      <c r="X204" s="131"/>
      <c r="Y204" s="131"/>
      <c r="Z204" s="131"/>
      <c r="AA204" s="131"/>
      <c r="AB204" s="131"/>
      <c r="AC204" s="131"/>
      <c r="AD204" s="131"/>
      <c r="AE204" s="131"/>
      <c r="AF204" s="131"/>
      <c r="AG204" s="131"/>
      <c r="AH204" s="131"/>
      <c r="AI204" s="131"/>
      <c r="AJ204" s="131"/>
      <c r="AK204" s="131"/>
      <c r="AL204" s="131"/>
      <c r="AM204" s="131"/>
      <c r="AN204" s="131"/>
      <c r="AO204" s="131"/>
      <c r="AP204" s="131"/>
      <c r="AQ204" s="131"/>
      <c r="AR204" s="131"/>
      <c r="BF204" s="65"/>
      <c r="BG204" s="65"/>
      <c r="BH204" s="65"/>
      <c r="BI204" s="65"/>
      <c r="BJ204" s="65"/>
      <c r="BK204" s="65"/>
      <c r="BL204" s="65"/>
      <c r="BM204" s="65"/>
      <c r="BN204" s="65"/>
      <c r="BO204" s="65"/>
      <c r="BP204" s="65"/>
      <c r="BQ204" s="65"/>
      <c r="BR204" s="65"/>
      <c r="BS204" s="65"/>
    </row>
    <row r="205" spans="1:71" s="64" customFormat="1" outlineLevel="1">
      <c r="A205" s="65"/>
      <c r="B205" s="93" t="s">
        <v>1035</v>
      </c>
      <c r="C205" s="89" t="s">
        <v>1036</v>
      </c>
      <c r="D205" s="510" t="s">
        <v>1447</v>
      </c>
      <c r="E205" s="91" t="str">
        <f>EDID!E165</f>
        <v>70</v>
      </c>
      <c r="F205" s="92"/>
      <c r="G205"/>
      <c r="H205"/>
      <c r="I205"/>
      <c r="J205"/>
      <c r="K205"/>
      <c r="L205"/>
      <c r="M205"/>
      <c r="N205"/>
      <c r="O205"/>
      <c r="P205"/>
      <c r="Q205"/>
      <c r="R205"/>
      <c r="S205"/>
      <c r="T205"/>
      <c r="U205"/>
      <c r="V205"/>
      <c r="W205"/>
      <c r="X205" s="131"/>
      <c r="Y205" s="131"/>
      <c r="Z205" s="131"/>
      <c r="AA205" s="131"/>
      <c r="AB205" s="131"/>
      <c r="AC205" s="131"/>
      <c r="AD205" s="131"/>
      <c r="AE205" s="131"/>
      <c r="AF205" s="131"/>
      <c r="AG205" s="131"/>
      <c r="AH205" s="131"/>
      <c r="AI205" s="131"/>
      <c r="AJ205" s="131"/>
      <c r="AK205" s="131"/>
      <c r="AL205" s="131"/>
      <c r="AM205" s="131"/>
      <c r="AN205" s="131"/>
      <c r="AO205" s="131"/>
      <c r="AP205" s="131"/>
      <c r="AQ205" s="131"/>
      <c r="AR205" s="131"/>
      <c r="BF205" s="65"/>
      <c r="BG205" s="65"/>
      <c r="BH205" s="65"/>
      <c r="BI205" s="65"/>
      <c r="BJ205" s="65"/>
      <c r="BK205" s="65"/>
      <c r="BL205" s="65"/>
      <c r="BM205" s="65"/>
      <c r="BN205" s="65"/>
      <c r="BO205" s="65"/>
      <c r="BP205" s="65"/>
      <c r="BQ205" s="65"/>
      <c r="BR205" s="65"/>
      <c r="BS205" s="65"/>
    </row>
    <row r="206" spans="1:71" s="64" customFormat="1" outlineLevel="1">
      <c r="A206" s="65"/>
      <c r="B206" s="93" t="s">
        <v>1035</v>
      </c>
      <c r="C206" s="89" t="s">
        <v>1036</v>
      </c>
      <c r="D206" s="510" t="s">
        <v>1449</v>
      </c>
      <c r="E206" s="91" t="str">
        <f>EDID!E166</f>
        <v>64</v>
      </c>
      <c r="F206" s="92"/>
      <c r="G206"/>
      <c r="H206"/>
      <c r="I206"/>
      <c r="J206"/>
      <c r="K206"/>
      <c r="L206"/>
      <c r="M206"/>
      <c r="N206"/>
      <c r="O206"/>
      <c r="P206"/>
      <c r="Q206"/>
      <c r="R206"/>
      <c r="S206"/>
      <c r="T206"/>
      <c r="U206"/>
      <c r="V206"/>
      <c r="W206"/>
      <c r="X206" s="131"/>
      <c r="Y206" s="131"/>
      <c r="Z206" s="131"/>
      <c r="AA206" s="131"/>
      <c r="AB206" s="131"/>
      <c r="AC206" s="131"/>
      <c r="AD206" s="131"/>
      <c r="AE206" s="131"/>
      <c r="AF206" s="131"/>
      <c r="AG206" s="131"/>
      <c r="AH206" s="131"/>
      <c r="AI206" s="131"/>
      <c r="AJ206" s="131"/>
      <c r="AK206" s="131"/>
      <c r="AL206" s="131"/>
      <c r="AM206" s="131"/>
      <c r="AN206" s="131"/>
      <c r="AO206" s="131"/>
      <c r="AP206" s="131"/>
      <c r="AQ206" s="131"/>
      <c r="AR206" s="131"/>
      <c r="BF206" s="65"/>
      <c r="BG206" s="65"/>
      <c r="BH206" s="65"/>
      <c r="BI206" s="65"/>
      <c r="BJ206" s="65"/>
      <c r="BK206" s="65"/>
      <c r="BL206" s="65"/>
      <c r="BM206" s="65"/>
      <c r="BN206" s="65"/>
      <c r="BO206" s="65"/>
      <c r="BP206" s="65"/>
      <c r="BQ206" s="65"/>
      <c r="BR206" s="65"/>
      <c r="BS206" s="65"/>
    </row>
    <row r="207" spans="1:71" s="64" customFormat="1" outlineLevel="1">
      <c r="A207" s="65"/>
      <c r="B207" s="93" t="s">
        <v>1035</v>
      </c>
      <c r="C207" s="89" t="s">
        <v>1036</v>
      </c>
      <c r="D207" s="510" t="s">
        <v>1451</v>
      </c>
      <c r="E207" s="91" t="str">
        <f>EDID!E167</f>
        <v>32</v>
      </c>
      <c r="F207" s="92"/>
      <c r="G207"/>
      <c r="H207"/>
      <c r="I207"/>
      <c r="J207"/>
      <c r="K207"/>
      <c r="L207"/>
      <c r="M207"/>
      <c r="N207"/>
      <c r="O207"/>
      <c r="P207"/>
      <c r="Q207"/>
      <c r="R207"/>
      <c r="S207"/>
      <c r="T207"/>
      <c r="U207"/>
      <c r="V207"/>
      <c r="W207"/>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BF207" s="65"/>
      <c r="BG207" s="65"/>
      <c r="BH207" s="65"/>
      <c r="BI207" s="65"/>
      <c r="BJ207" s="65"/>
      <c r="BK207" s="65"/>
      <c r="BL207" s="65"/>
      <c r="BM207" s="65"/>
      <c r="BN207" s="65"/>
      <c r="BO207" s="65"/>
      <c r="BP207" s="65"/>
      <c r="BQ207" s="65"/>
      <c r="BR207" s="65"/>
      <c r="BS207" s="65"/>
    </row>
    <row r="208" spans="1:71" s="64" customFormat="1" outlineLevel="1">
      <c r="A208" s="65"/>
      <c r="B208" s="93" t="s">
        <v>1035</v>
      </c>
      <c r="C208" s="89" t="s">
        <v>1036</v>
      </c>
      <c r="D208" s="510" t="s">
        <v>1453</v>
      </c>
      <c r="E208" s="91" t="str">
        <f>EDID!E168</f>
        <v>44</v>
      </c>
      <c r="F208" s="92"/>
      <c r="G208"/>
      <c r="H208"/>
      <c r="I208"/>
      <c r="J208"/>
      <c r="K208"/>
      <c r="L208"/>
      <c r="M208"/>
      <c r="N208"/>
      <c r="O208"/>
      <c r="P208"/>
      <c r="Q208"/>
      <c r="R208"/>
      <c r="S208"/>
      <c r="T208"/>
      <c r="U208"/>
      <c r="V208"/>
      <c r="W208"/>
      <c r="X208" s="131"/>
      <c r="Y208" s="131"/>
      <c r="Z208" s="131"/>
      <c r="AA208" s="131"/>
      <c r="AB208" s="131"/>
      <c r="AC208" s="131"/>
      <c r="AD208" s="131"/>
      <c r="AE208" s="131"/>
      <c r="AF208" s="131"/>
      <c r="AG208" s="131"/>
      <c r="AH208" s="131"/>
      <c r="AI208" s="131"/>
      <c r="AJ208" s="131"/>
      <c r="AK208" s="131"/>
      <c r="AL208" s="131"/>
      <c r="AM208" s="131"/>
      <c r="AN208" s="131"/>
      <c r="AO208" s="131"/>
      <c r="AP208" s="131"/>
      <c r="AQ208" s="131"/>
      <c r="AR208" s="131"/>
      <c r="BF208" s="65"/>
      <c r="BG208" s="65"/>
      <c r="BH208" s="65"/>
      <c r="BI208" s="65"/>
      <c r="BJ208" s="65"/>
      <c r="BK208" s="65"/>
      <c r="BL208" s="65"/>
      <c r="BM208" s="65"/>
      <c r="BN208" s="65"/>
      <c r="BO208" s="65"/>
      <c r="BP208" s="65"/>
      <c r="BQ208" s="65"/>
      <c r="BR208" s="65"/>
      <c r="BS208" s="65"/>
    </row>
    <row r="209" spans="1:71" s="64" customFormat="1" outlineLevel="1">
      <c r="A209" s="65"/>
      <c r="B209" s="93" t="s">
        <v>1035</v>
      </c>
      <c r="C209" s="89" t="s">
        <v>1036</v>
      </c>
      <c r="D209" s="510" t="s">
        <v>1455</v>
      </c>
      <c r="E209" s="91" t="str">
        <f>EDID!E169</f>
        <v>00</v>
      </c>
      <c r="F209" s="92"/>
      <c r="G209"/>
      <c r="H209"/>
      <c r="I209"/>
      <c r="J209"/>
      <c r="K209"/>
      <c r="L209"/>
      <c r="M209"/>
      <c r="N209"/>
      <c r="O209"/>
      <c r="P209"/>
      <c r="Q209"/>
      <c r="R209"/>
      <c r="S209"/>
      <c r="T209"/>
      <c r="U209"/>
      <c r="V209"/>
      <c r="W209"/>
      <c r="X209" s="131"/>
      <c r="Y209" s="131"/>
      <c r="Z209" s="131"/>
      <c r="AA209" s="131"/>
      <c r="AB209" s="131"/>
      <c r="AC209" s="131"/>
      <c r="AD209" s="131"/>
      <c r="AE209" s="131"/>
      <c r="AF209" s="131"/>
      <c r="AG209" s="131"/>
      <c r="AH209" s="131"/>
      <c r="AI209" s="131"/>
      <c r="AJ209" s="131"/>
      <c r="AK209" s="131"/>
      <c r="AL209" s="131"/>
      <c r="AM209" s="131"/>
      <c r="AN209" s="131"/>
      <c r="AO209" s="131"/>
      <c r="AP209" s="131"/>
      <c r="AQ209" s="131"/>
      <c r="AR209" s="131"/>
      <c r="BF209" s="65"/>
      <c r="BG209" s="65"/>
      <c r="BH209" s="65"/>
      <c r="BI209" s="65"/>
      <c r="BJ209" s="65"/>
      <c r="BK209" s="65"/>
      <c r="BL209" s="65"/>
      <c r="BM209" s="65"/>
      <c r="BN209" s="65"/>
      <c r="BO209" s="65"/>
      <c r="BP209" s="65"/>
      <c r="BQ209" s="65"/>
      <c r="BR209" s="65"/>
      <c r="BS209" s="65"/>
    </row>
    <row r="210" spans="1:71" s="64" customFormat="1" outlineLevel="1">
      <c r="A210" s="65"/>
      <c r="B210" s="93" t="s">
        <v>1035</v>
      </c>
      <c r="C210" s="89" t="s">
        <v>1036</v>
      </c>
      <c r="D210" s="510" t="s">
        <v>1457</v>
      </c>
      <c r="E210" s="91" t="str">
        <f>EDID!E170</f>
        <v>C0</v>
      </c>
      <c r="F210" s="92"/>
      <c r="G210"/>
      <c r="H210"/>
      <c r="I210"/>
      <c r="J210"/>
      <c r="K210"/>
      <c r="L210"/>
      <c r="M210"/>
      <c r="N210"/>
      <c r="O210"/>
      <c r="P210"/>
      <c r="Q210"/>
      <c r="R210"/>
      <c r="S210"/>
      <c r="T210"/>
      <c r="U210"/>
      <c r="V210"/>
      <c r="W210"/>
      <c r="X210" s="131"/>
      <c r="Y210" s="131"/>
      <c r="Z210" s="131"/>
      <c r="AA210" s="131"/>
      <c r="AB210" s="131"/>
      <c r="AC210" s="131"/>
      <c r="AD210" s="131"/>
      <c r="AE210" s="131"/>
      <c r="AF210" s="131"/>
      <c r="AG210" s="131"/>
      <c r="AH210" s="131"/>
      <c r="AI210" s="131"/>
      <c r="AJ210" s="131"/>
      <c r="AK210" s="131"/>
      <c r="AL210" s="131"/>
      <c r="AM210" s="131"/>
      <c r="AN210" s="131"/>
      <c r="AO210" s="131"/>
      <c r="AP210" s="131"/>
      <c r="AQ210" s="131"/>
      <c r="AR210" s="131"/>
      <c r="BF210" s="65"/>
      <c r="BG210" s="65"/>
      <c r="BH210" s="65"/>
      <c r="BI210" s="65"/>
      <c r="BJ210" s="65"/>
      <c r="BK210" s="65"/>
      <c r="BL210" s="65"/>
      <c r="BM210" s="65"/>
      <c r="BN210" s="65"/>
      <c r="BO210" s="65"/>
      <c r="BP210" s="65"/>
      <c r="BQ210" s="65"/>
      <c r="BR210" s="65"/>
      <c r="BS210" s="65"/>
    </row>
    <row r="211" spans="1:71" s="64" customFormat="1" outlineLevel="1">
      <c r="A211" s="65"/>
      <c r="B211" s="93" t="s">
        <v>1035</v>
      </c>
      <c r="C211" s="89" t="s">
        <v>1036</v>
      </c>
      <c r="D211" s="510" t="s">
        <v>1459</v>
      </c>
      <c r="E211" s="91" t="str">
        <f>EDID!E171</f>
        <v>78</v>
      </c>
      <c r="F211" s="92"/>
      <c r="G211"/>
      <c r="H211"/>
      <c r="I211"/>
      <c r="J211"/>
      <c r="K211"/>
      <c r="L211"/>
      <c r="M211"/>
      <c r="N211"/>
      <c r="O211"/>
      <c r="P211"/>
      <c r="Q211"/>
      <c r="R211"/>
      <c r="S211"/>
      <c r="T211"/>
      <c r="U211"/>
      <c r="V211"/>
      <c r="W211"/>
      <c r="X211" s="131"/>
      <c r="Y211" s="131"/>
      <c r="Z211" s="131"/>
      <c r="AA211" s="131"/>
      <c r="AB211" s="131"/>
      <c r="AC211" s="131"/>
      <c r="AD211" s="131"/>
      <c r="AE211" s="131"/>
      <c r="AF211" s="131"/>
      <c r="AG211" s="131"/>
      <c r="AH211" s="131"/>
      <c r="AI211" s="131"/>
      <c r="AJ211" s="131"/>
      <c r="AK211" s="131"/>
      <c r="AL211" s="131"/>
      <c r="AM211" s="131"/>
      <c r="AN211" s="131"/>
      <c r="AO211" s="131"/>
      <c r="AP211" s="131"/>
      <c r="AQ211" s="131"/>
      <c r="AR211" s="131"/>
      <c r="BF211" s="65"/>
      <c r="BG211" s="65"/>
      <c r="BH211" s="65"/>
      <c r="BI211" s="65"/>
      <c r="BJ211" s="65"/>
      <c r="BK211" s="65"/>
      <c r="BL211" s="65"/>
      <c r="BM211" s="65"/>
      <c r="BN211" s="65"/>
      <c r="BO211" s="65"/>
      <c r="BP211" s="65"/>
      <c r="BQ211" s="65"/>
      <c r="BR211" s="65"/>
      <c r="BS211" s="65"/>
    </row>
    <row r="212" spans="1:71" s="64" customFormat="1" outlineLevel="1">
      <c r="A212" s="65"/>
      <c r="B212" s="93" t="s">
        <v>1035</v>
      </c>
      <c r="C212" s="89" t="s">
        <v>1036</v>
      </c>
      <c r="D212" s="510" t="s">
        <v>1461</v>
      </c>
      <c r="E212" s="91" t="str">
        <f>EDID!E172</f>
        <v>00</v>
      </c>
      <c r="F212" s="92"/>
      <c r="G212"/>
      <c r="H212"/>
      <c r="I212"/>
      <c r="J212"/>
      <c r="K212"/>
      <c r="L212"/>
      <c r="M212"/>
      <c r="N212"/>
      <c r="O212"/>
      <c r="P212"/>
      <c r="Q212"/>
      <c r="R212"/>
      <c r="S212"/>
      <c r="T212"/>
      <c r="U212"/>
      <c r="V212"/>
      <c r="W212"/>
      <c r="X212" s="131"/>
      <c r="Y212" s="131"/>
      <c r="Z212" s="131"/>
      <c r="AA212" s="131"/>
      <c r="AB212" s="131"/>
      <c r="AC212" s="131"/>
      <c r="AD212" s="131"/>
      <c r="AE212" s="131"/>
      <c r="AF212" s="131"/>
      <c r="AG212" s="131"/>
      <c r="AH212" s="131"/>
      <c r="AI212" s="131"/>
      <c r="AJ212" s="131"/>
      <c r="AK212" s="131"/>
      <c r="AL212" s="131"/>
      <c r="AM212" s="131"/>
      <c r="AN212" s="131"/>
      <c r="AO212" s="131"/>
      <c r="AP212" s="131"/>
      <c r="AQ212" s="131"/>
      <c r="AR212" s="131"/>
      <c r="BF212" s="65"/>
      <c r="BG212" s="65"/>
      <c r="BH212" s="65"/>
      <c r="BI212" s="65"/>
      <c r="BJ212" s="65"/>
      <c r="BK212" s="65"/>
      <c r="BL212" s="65"/>
      <c r="BM212" s="65"/>
      <c r="BN212" s="65"/>
      <c r="BO212" s="65"/>
      <c r="BP212" s="65"/>
      <c r="BQ212" s="65"/>
      <c r="BR212" s="65"/>
      <c r="BS212" s="65"/>
    </row>
    <row r="213" spans="1:71" s="64" customFormat="1" outlineLevel="1">
      <c r="A213" s="65"/>
      <c r="B213" s="93" t="s">
        <v>1035</v>
      </c>
      <c r="C213" s="89" t="s">
        <v>1036</v>
      </c>
      <c r="D213" s="510" t="s">
        <v>1463</v>
      </c>
      <c r="E213" s="91" t="str">
        <f>EDID!E173</f>
        <v>00</v>
      </c>
      <c r="F213" s="92"/>
      <c r="G213"/>
      <c r="H213"/>
      <c r="I213"/>
      <c r="J213"/>
      <c r="K213"/>
      <c r="L213"/>
      <c r="M213"/>
      <c r="N213"/>
      <c r="O213"/>
      <c r="P213"/>
      <c r="Q213"/>
      <c r="R213"/>
      <c r="S213"/>
      <c r="T213"/>
      <c r="U213"/>
      <c r="V213"/>
      <c r="W213"/>
      <c r="X213" s="131"/>
      <c r="Y213" s="131"/>
      <c r="Z213" s="131"/>
      <c r="AA213" s="131"/>
      <c r="AB213" s="131"/>
      <c r="AC213" s="131"/>
      <c r="AD213" s="131"/>
      <c r="AE213" s="131"/>
      <c r="AF213" s="131"/>
      <c r="AG213" s="131"/>
      <c r="AH213" s="131"/>
      <c r="AI213" s="131"/>
      <c r="AJ213" s="131"/>
      <c r="AK213" s="131"/>
      <c r="AL213" s="131"/>
      <c r="AM213" s="131"/>
      <c r="AN213" s="131"/>
      <c r="AO213" s="131"/>
      <c r="AP213" s="131"/>
      <c r="AQ213" s="131"/>
      <c r="AR213" s="131"/>
      <c r="BF213" s="65"/>
      <c r="BG213" s="65"/>
      <c r="BH213" s="65"/>
      <c r="BI213" s="65"/>
      <c r="BJ213" s="65"/>
      <c r="BK213" s="65"/>
      <c r="BL213" s="65"/>
      <c r="BM213" s="65"/>
      <c r="BN213" s="65"/>
      <c r="BO213" s="65"/>
      <c r="BP213" s="65"/>
      <c r="BQ213" s="65"/>
      <c r="BR213" s="65"/>
      <c r="BS213" s="65"/>
    </row>
    <row r="214" spans="1:71" s="64" customFormat="1" outlineLevel="1">
      <c r="A214" s="65"/>
      <c r="B214" s="93" t="s">
        <v>1035</v>
      </c>
      <c r="C214" s="89" t="s">
        <v>1036</v>
      </c>
      <c r="D214" s="510" t="s">
        <v>1465</v>
      </c>
      <c r="E214" s="91" t="str">
        <f>EDID!E174</f>
        <v>00</v>
      </c>
      <c r="F214" s="92"/>
      <c r="G214"/>
      <c r="H214"/>
      <c r="I214"/>
      <c r="J214"/>
      <c r="K214"/>
      <c r="L214"/>
      <c r="M214"/>
      <c r="N214"/>
      <c r="O214"/>
      <c r="P214"/>
      <c r="Q214"/>
      <c r="R214"/>
      <c r="S214"/>
      <c r="T214"/>
      <c r="U214"/>
      <c r="V214"/>
      <c r="W214"/>
      <c r="X214" s="131"/>
      <c r="Y214" s="131"/>
      <c r="Z214" s="131"/>
      <c r="AA214" s="131"/>
      <c r="AB214" s="131"/>
      <c r="AC214" s="131"/>
      <c r="AD214" s="131"/>
      <c r="AE214" s="131"/>
      <c r="AF214" s="131"/>
      <c r="AG214" s="131"/>
      <c r="AH214" s="131"/>
      <c r="AI214" s="131"/>
      <c r="AJ214" s="131"/>
      <c r="AK214" s="131"/>
      <c r="AL214" s="131"/>
      <c r="AM214" s="131"/>
      <c r="AN214" s="131"/>
      <c r="AO214" s="131"/>
      <c r="AP214" s="131"/>
      <c r="AQ214" s="131"/>
      <c r="AR214" s="131"/>
      <c r="BF214" s="65"/>
      <c r="BG214" s="65"/>
      <c r="BH214" s="65"/>
      <c r="BI214" s="65"/>
      <c r="BJ214" s="65"/>
      <c r="BK214" s="65"/>
      <c r="BL214" s="65"/>
      <c r="BM214" s="65"/>
      <c r="BN214" s="65"/>
      <c r="BO214" s="65"/>
      <c r="BP214" s="65"/>
      <c r="BQ214" s="65"/>
      <c r="BR214" s="65"/>
      <c r="BS214" s="65"/>
    </row>
    <row r="215" spans="1:71" s="64" customFormat="1" outlineLevel="1">
      <c r="A215" s="65"/>
      <c r="B215" s="93" t="s">
        <v>1035</v>
      </c>
      <c r="C215" s="89" t="s">
        <v>1036</v>
      </c>
      <c r="D215" s="510" t="s">
        <v>1467</v>
      </c>
      <c r="E215" s="91" t="str">
        <f>EDID!E175</f>
        <v>18</v>
      </c>
      <c r="F215" s="92"/>
      <c r="G215"/>
      <c r="H215"/>
      <c r="I215"/>
      <c r="J215"/>
      <c r="K215"/>
      <c r="L215"/>
      <c r="M215"/>
      <c r="N215"/>
      <c r="O215"/>
      <c r="P215"/>
      <c r="Q215"/>
      <c r="R215"/>
      <c r="S215"/>
      <c r="T215"/>
      <c r="U215"/>
      <c r="V215"/>
      <c r="W215"/>
      <c r="X215" s="131"/>
      <c r="Y215" s="131"/>
      <c r="Z215" s="131"/>
      <c r="AA215" s="131"/>
      <c r="AB215" s="131"/>
      <c r="AC215" s="131"/>
      <c r="AD215" s="131"/>
      <c r="AE215" s="131"/>
      <c r="AF215" s="131"/>
      <c r="AG215" s="131"/>
      <c r="AH215" s="131"/>
      <c r="AI215" s="131"/>
      <c r="AJ215" s="131"/>
      <c r="AK215" s="131"/>
      <c r="AL215" s="131"/>
      <c r="AM215" s="131"/>
      <c r="AN215" s="131"/>
      <c r="AO215" s="131"/>
      <c r="AP215" s="131"/>
      <c r="AQ215" s="131"/>
      <c r="AR215" s="131"/>
      <c r="BF215" s="65"/>
      <c r="BG215" s="65"/>
      <c r="BH215" s="65"/>
      <c r="BI215" s="65"/>
      <c r="BJ215" s="65"/>
      <c r="BK215" s="65"/>
      <c r="BL215" s="65"/>
      <c r="BM215" s="65"/>
      <c r="BN215" s="65"/>
      <c r="BO215" s="65"/>
      <c r="BP215" s="65"/>
      <c r="BQ215" s="65"/>
      <c r="BR215" s="65"/>
      <c r="BS215" s="65"/>
    </row>
    <row r="216" spans="1:71" s="64" customFormat="1" outlineLevel="1">
      <c r="A216" s="65"/>
      <c r="B216" s="93" t="s">
        <v>1035</v>
      </c>
      <c r="C216" s="89" t="s">
        <v>1036</v>
      </c>
      <c r="D216" s="510" t="s">
        <v>1469</v>
      </c>
      <c r="E216" s="91" t="str">
        <f>EDID!E176</f>
        <v>28</v>
      </c>
      <c r="F216" s="92"/>
      <c r="G216"/>
      <c r="H216"/>
      <c r="I216"/>
      <c r="J216"/>
      <c r="K216"/>
      <c r="L216"/>
      <c r="M216"/>
      <c r="N216"/>
      <c r="O216"/>
      <c r="P216"/>
      <c r="Q216"/>
      <c r="R216"/>
      <c r="S216"/>
      <c r="T216"/>
      <c r="U216"/>
      <c r="V216"/>
      <c r="W216"/>
      <c r="X216" s="131"/>
      <c r="Y216" s="131"/>
      <c r="Z216" s="131"/>
      <c r="AA216" s="131"/>
      <c r="AB216" s="131"/>
      <c r="AC216" s="131"/>
      <c r="AD216" s="131"/>
      <c r="AE216" s="131"/>
      <c r="AF216" s="131"/>
      <c r="AG216" s="131"/>
      <c r="AH216" s="131"/>
      <c r="AI216" s="131"/>
      <c r="AJ216" s="131"/>
      <c r="AK216" s="131"/>
      <c r="AL216" s="131"/>
      <c r="AM216" s="131"/>
      <c r="AN216" s="131"/>
      <c r="AO216" s="131"/>
      <c r="AP216" s="131"/>
      <c r="AQ216" s="131"/>
      <c r="AR216" s="131"/>
      <c r="BF216" s="65"/>
      <c r="BG216" s="65"/>
      <c r="BH216" s="65"/>
      <c r="BI216" s="65"/>
      <c r="BJ216" s="65"/>
      <c r="BK216" s="65"/>
      <c r="BL216" s="65"/>
      <c r="BM216" s="65"/>
      <c r="BN216" s="65"/>
      <c r="BO216" s="65"/>
      <c r="BP216" s="65"/>
      <c r="BQ216" s="65"/>
      <c r="BR216" s="65"/>
      <c r="BS216" s="65"/>
    </row>
    <row r="217" spans="1:71" s="64" customFormat="1" outlineLevel="1">
      <c r="A217" s="65"/>
      <c r="B217" s="93" t="s">
        <v>1035</v>
      </c>
      <c r="C217" s="89" t="s">
        <v>1036</v>
      </c>
      <c r="D217" s="510" t="s">
        <v>1472</v>
      </c>
      <c r="E217" s="91" t="str">
        <f>EDID!E177</f>
        <v>3C</v>
      </c>
      <c r="F217" s="92"/>
      <c r="G217"/>
      <c r="H217"/>
      <c r="I217"/>
      <c r="J217"/>
      <c r="K217"/>
      <c r="L217"/>
      <c r="M217"/>
      <c r="N217"/>
      <c r="O217"/>
      <c r="P217"/>
      <c r="Q217"/>
      <c r="R217"/>
      <c r="S217"/>
      <c r="T217"/>
      <c r="U217"/>
      <c r="V217"/>
      <c r="W217"/>
      <c r="X217" s="131"/>
      <c r="Y217" s="131"/>
      <c r="Z217" s="131"/>
      <c r="AA217" s="131"/>
      <c r="AB217" s="131"/>
      <c r="AC217" s="131"/>
      <c r="AD217" s="131"/>
      <c r="AE217" s="131"/>
      <c r="AF217" s="131"/>
      <c r="AG217" s="131"/>
      <c r="AH217" s="131"/>
      <c r="AI217" s="131"/>
      <c r="AJ217" s="131"/>
      <c r="AK217" s="131"/>
      <c r="AL217" s="131"/>
      <c r="AM217" s="131"/>
      <c r="AN217" s="131"/>
      <c r="AO217" s="131"/>
      <c r="AP217" s="131"/>
      <c r="AQ217" s="131"/>
      <c r="AR217" s="131"/>
      <c r="BF217" s="65"/>
      <c r="BG217" s="65"/>
      <c r="BH217" s="65"/>
      <c r="BI217" s="65"/>
      <c r="BJ217" s="65"/>
      <c r="BK217" s="65"/>
      <c r="BL217" s="65"/>
      <c r="BM217" s="65"/>
      <c r="BN217" s="65"/>
      <c r="BO217" s="65"/>
      <c r="BP217" s="65"/>
      <c r="BQ217" s="65"/>
      <c r="BR217" s="65"/>
      <c r="BS217" s="65"/>
    </row>
    <row r="218" spans="1:71" s="64" customFormat="1" outlineLevel="1">
      <c r="A218" s="65"/>
      <c r="B218" s="93" t="s">
        <v>1035</v>
      </c>
      <c r="C218" s="89" t="s">
        <v>1036</v>
      </c>
      <c r="D218" s="510" t="s">
        <v>1473</v>
      </c>
      <c r="E218" s="91" t="str">
        <f>EDID!E178</f>
        <v>38</v>
      </c>
      <c r="F218" s="92"/>
      <c r="G218"/>
      <c r="H218"/>
      <c r="I218"/>
      <c r="J218"/>
      <c r="K218"/>
      <c r="L218"/>
      <c r="M218"/>
      <c r="N218"/>
      <c r="O218"/>
      <c r="P218"/>
      <c r="Q218"/>
      <c r="R218"/>
      <c r="S218"/>
      <c r="T218"/>
      <c r="U218"/>
      <c r="V218"/>
      <c r="W218"/>
      <c r="X218" s="131"/>
      <c r="Y218" s="131"/>
      <c r="Z218" s="131"/>
      <c r="AA218" s="131"/>
      <c r="AB218" s="131"/>
      <c r="AC218" s="131"/>
      <c r="AD218" s="131"/>
      <c r="AE218" s="131"/>
      <c r="AF218" s="131"/>
      <c r="AG218" s="131"/>
      <c r="AH218" s="131"/>
      <c r="AI218" s="131"/>
      <c r="AJ218" s="131"/>
      <c r="AK218" s="131"/>
      <c r="AL218" s="131"/>
      <c r="AM218" s="131"/>
      <c r="AN218" s="131"/>
      <c r="AO218" s="131"/>
      <c r="AP218" s="131"/>
      <c r="AQ218" s="131"/>
      <c r="AR218" s="131"/>
      <c r="BF218" s="65"/>
      <c r="BG218" s="65"/>
      <c r="BH218" s="65"/>
      <c r="BI218" s="65"/>
      <c r="BJ218" s="65"/>
      <c r="BK218" s="65"/>
      <c r="BL218" s="65"/>
      <c r="BM218" s="65"/>
      <c r="BN218" s="65"/>
      <c r="BO218" s="65"/>
      <c r="BP218" s="65"/>
      <c r="BQ218" s="65"/>
      <c r="BR218" s="65"/>
      <c r="BS218" s="65"/>
    </row>
    <row r="219" spans="1:71" s="64" customFormat="1" outlineLevel="1">
      <c r="A219" s="65"/>
      <c r="B219" s="93" t="s">
        <v>1035</v>
      </c>
      <c r="C219" s="89" t="s">
        <v>1036</v>
      </c>
      <c r="D219" s="510" t="s">
        <v>1475</v>
      </c>
      <c r="E219" s="91" t="str">
        <f>EDID!E179</f>
        <v>FA</v>
      </c>
      <c r="F219" s="92"/>
      <c r="G219"/>
      <c r="H219"/>
      <c r="I219"/>
      <c r="J219"/>
      <c r="K219"/>
      <c r="L219"/>
      <c r="M219"/>
      <c r="N219"/>
      <c r="O219"/>
      <c r="P219"/>
      <c r="Q219"/>
      <c r="R219"/>
      <c r="S219"/>
      <c r="T219"/>
      <c r="U219"/>
      <c r="V219"/>
      <c r="W219"/>
      <c r="X219" s="131"/>
      <c r="Y219" s="131"/>
      <c r="Z219" s="131"/>
      <c r="AA219" s="131"/>
      <c r="AB219" s="131"/>
      <c r="AC219" s="131"/>
      <c r="AD219" s="131"/>
      <c r="AE219" s="131"/>
      <c r="AF219" s="131"/>
      <c r="AG219" s="131"/>
      <c r="AH219" s="131"/>
      <c r="AI219" s="131"/>
      <c r="AJ219" s="131"/>
      <c r="AK219" s="131"/>
      <c r="AL219" s="131"/>
      <c r="AM219" s="131"/>
      <c r="AN219" s="131"/>
      <c r="AO219" s="131"/>
      <c r="AP219" s="131"/>
      <c r="AQ219" s="131"/>
      <c r="AR219" s="131"/>
      <c r="BF219" s="65"/>
      <c r="BG219" s="65"/>
      <c r="BH219" s="65"/>
      <c r="BI219" s="65"/>
      <c r="BJ219" s="65"/>
      <c r="BK219" s="65"/>
      <c r="BL219" s="65"/>
      <c r="BM219" s="65"/>
      <c r="BN219" s="65"/>
      <c r="BO219" s="65"/>
      <c r="BP219" s="65"/>
      <c r="BQ219" s="65"/>
      <c r="BR219" s="65"/>
      <c r="BS219" s="65"/>
    </row>
    <row r="220" spans="1:71" s="64" customFormat="1" outlineLevel="1">
      <c r="A220" s="65"/>
      <c r="B220" s="93" t="s">
        <v>1035</v>
      </c>
      <c r="C220" s="89" t="s">
        <v>1036</v>
      </c>
      <c r="D220" s="510" t="s">
        <v>1477</v>
      </c>
      <c r="E220" s="91" t="str">
        <f>EDID!E180</f>
        <v>40</v>
      </c>
      <c r="F220" s="92"/>
      <c r="G220"/>
      <c r="H220"/>
      <c r="I220"/>
      <c r="J220"/>
      <c r="K220"/>
      <c r="L220"/>
      <c r="M220"/>
      <c r="N220"/>
      <c r="O220"/>
      <c r="P220"/>
      <c r="Q220"/>
      <c r="R220"/>
      <c r="S220"/>
      <c r="T220"/>
      <c r="U220"/>
      <c r="V220"/>
      <c r="W220"/>
      <c r="X220" s="131"/>
      <c r="Y220" s="131"/>
      <c r="Z220" s="131"/>
      <c r="AA220" s="131"/>
      <c r="AB220" s="131"/>
      <c r="AC220" s="131"/>
      <c r="AD220" s="131"/>
      <c r="AE220" s="131"/>
      <c r="AF220" s="131"/>
      <c r="AG220" s="131"/>
      <c r="AH220" s="131"/>
      <c r="AI220" s="131"/>
      <c r="AJ220" s="131"/>
      <c r="AK220" s="131"/>
      <c r="AL220" s="131"/>
      <c r="AM220" s="131"/>
      <c r="AN220" s="131"/>
      <c r="AO220" s="131"/>
      <c r="AP220" s="131"/>
      <c r="AQ220" s="131"/>
      <c r="AR220" s="131"/>
      <c r="BF220" s="65"/>
      <c r="BG220" s="65"/>
      <c r="BH220" s="65"/>
      <c r="BI220" s="65"/>
      <c r="BJ220" s="65"/>
      <c r="BK220" s="65"/>
      <c r="BL220" s="65"/>
      <c r="BM220" s="65"/>
      <c r="BN220" s="65"/>
      <c r="BO220" s="65"/>
      <c r="BP220" s="65"/>
      <c r="BQ220" s="65"/>
      <c r="BR220" s="65"/>
      <c r="BS220" s="65"/>
    </row>
    <row r="221" spans="1:71" s="64" customFormat="1" outlineLevel="1">
      <c r="A221" s="65"/>
      <c r="B221" s="93" t="s">
        <v>1035</v>
      </c>
      <c r="C221" s="89" t="s">
        <v>1036</v>
      </c>
      <c r="D221" s="510" t="s">
        <v>1479</v>
      </c>
      <c r="E221" s="91" t="str">
        <f>EDID!E181</f>
        <v>80</v>
      </c>
      <c r="F221" s="92"/>
      <c r="G221"/>
      <c r="H221"/>
      <c r="I221"/>
      <c r="J221"/>
      <c r="K221"/>
      <c r="L221"/>
      <c r="M221"/>
      <c r="N221"/>
      <c r="O221"/>
      <c r="P221"/>
      <c r="Q221"/>
      <c r="R221"/>
      <c r="S221"/>
      <c r="T221"/>
      <c r="U221"/>
      <c r="V221"/>
      <c r="W221"/>
      <c r="X221" s="131"/>
      <c r="Y221" s="131"/>
      <c r="Z221" s="131"/>
      <c r="AA221" s="131"/>
      <c r="AB221" s="131"/>
      <c r="AC221" s="131"/>
      <c r="AD221" s="131"/>
      <c r="AE221" s="131"/>
      <c r="AF221" s="131"/>
      <c r="AG221" s="131"/>
      <c r="AH221" s="131"/>
      <c r="AI221" s="131"/>
      <c r="AJ221" s="131"/>
      <c r="AK221" s="131"/>
      <c r="AL221" s="131"/>
      <c r="AM221" s="131"/>
      <c r="AN221" s="131"/>
      <c r="AO221" s="131"/>
      <c r="AP221" s="131"/>
      <c r="AQ221" s="131"/>
      <c r="AR221" s="131"/>
      <c r="BF221" s="65"/>
      <c r="BG221" s="65"/>
      <c r="BH221" s="65"/>
      <c r="BI221" s="65"/>
      <c r="BJ221" s="65"/>
      <c r="BK221" s="65"/>
      <c r="BL221" s="65"/>
      <c r="BM221" s="65"/>
      <c r="BN221" s="65"/>
      <c r="BO221" s="65"/>
      <c r="BP221" s="65"/>
      <c r="BQ221" s="65"/>
      <c r="BR221" s="65"/>
      <c r="BS221" s="65"/>
    </row>
    <row r="222" spans="1:71" s="64" customFormat="1" outlineLevel="1">
      <c r="A222" s="65"/>
      <c r="B222" s="93" t="s">
        <v>1035</v>
      </c>
      <c r="C222" s="89" t="s">
        <v>1036</v>
      </c>
      <c r="D222" s="510" t="s">
        <v>1481</v>
      </c>
      <c r="E222" s="91" t="str">
        <f>EDID!E182</f>
        <v>0C</v>
      </c>
      <c r="F222" s="92"/>
      <c r="G222"/>
      <c r="H222"/>
      <c r="I222"/>
      <c r="J222"/>
      <c r="K222"/>
      <c r="L222"/>
      <c r="M222"/>
      <c r="N222"/>
      <c r="O222"/>
      <c r="P222"/>
      <c r="Q222"/>
      <c r="R222"/>
      <c r="S222"/>
      <c r="T222"/>
      <c r="U222"/>
      <c r="V222"/>
      <c r="W222"/>
      <c r="X222" s="131"/>
      <c r="Y222" s="131"/>
      <c r="Z222" s="131"/>
      <c r="AA222" s="131"/>
      <c r="AB222" s="131"/>
      <c r="AC222" s="131"/>
      <c r="AD222" s="131"/>
      <c r="AE222" s="131"/>
      <c r="AF222" s="131"/>
      <c r="AG222" s="131"/>
      <c r="AH222" s="131"/>
      <c r="AI222" s="131"/>
      <c r="AJ222" s="131"/>
      <c r="AK222" s="131"/>
      <c r="AL222" s="131"/>
      <c r="AM222" s="131"/>
      <c r="AN222" s="131"/>
      <c r="AO222" s="131"/>
      <c r="AP222" s="131"/>
      <c r="AQ222" s="131"/>
      <c r="AR222" s="131"/>
      <c r="BF222" s="65"/>
      <c r="BG222" s="65"/>
      <c r="BH222" s="65"/>
      <c r="BI222" s="65"/>
      <c r="BJ222" s="65"/>
      <c r="BK222" s="65"/>
      <c r="BL222" s="65"/>
      <c r="BM222" s="65"/>
      <c r="BN222" s="65"/>
      <c r="BO222" s="65"/>
      <c r="BP222" s="65"/>
      <c r="BQ222" s="65"/>
      <c r="BR222" s="65"/>
      <c r="BS222" s="65"/>
    </row>
    <row r="223" spans="1:71" s="64" customFormat="1" outlineLevel="1">
      <c r="A223" s="65"/>
      <c r="B223" s="93" t="s">
        <v>1035</v>
      </c>
      <c r="C223" s="89" t="s">
        <v>1036</v>
      </c>
      <c r="D223" s="510" t="s">
        <v>1483</v>
      </c>
      <c r="E223" s="91" t="str">
        <f>EDID!E183</f>
        <v>70</v>
      </c>
      <c r="F223" s="92"/>
      <c r="G223"/>
      <c r="H223"/>
      <c r="I223"/>
      <c r="J223"/>
      <c r="K223"/>
      <c r="L223"/>
      <c r="M223"/>
      <c r="N223"/>
      <c r="O223"/>
      <c r="P223"/>
      <c r="Q223"/>
      <c r="R223"/>
      <c r="S223"/>
      <c r="T223"/>
      <c r="U223"/>
      <c r="V223"/>
      <c r="W223"/>
      <c r="X223" s="131"/>
      <c r="Y223" s="131"/>
      <c r="Z223" s="131"/>
      <c r="AA223" s="131"/>
      <c r="AB223" s="131"/>
      <c r="AC223" s="131"/>
      <c r="AD223" s="131"/>
      <c r="AE223" s="131"/>
      <c r="AF223" s="131"/>
      <c r="AG223" s="131"/>
      <c r="AH223" s="131"/>
      <c r="AI223" s="131"/>
      <c r="AJ223" s="131"/>
      <c r="AK223" s="131"/>
      <c r="AL223" s="131"/>
      <c r="AM223" s="131"/>
      <c r="AN223" s="131"/>
      <c r="AO223" s="131"/>
      <c r="AP223" s="131"/>
      <c r="AQ223" s="131"/>
      <c r="AR223" s="131"/>
      <c r="BF223" s="65"/>
      <c r="BG223" s="65"/>
      <c r="BH223" s="65"/>
      <c r="BI223" s="65"/>
      <c r="BJ223" s="65"/>
      <c r="BK223" s="65"/>
      <c r="BL223" s="65"/>
      <c r="BM223" s="65"/>
      <c r="BN223" s="65"/>
      <c r="BO223" s="65"/>
      <c r="BP223" s="65"/>
      <c r="BQ223" s="65"/>
      <c r="BR223" s="65"/>
      <c r="BS223" s="65"/>
    </row>
    <row r="224" spans="1:71" s="64" customFormat="1" outlineLevel="1">
      <c r="A224" s="65"/>
      <c r="B224" s="93" t="s">
        <v>1035</v>
      </c>
      <c r="C224" s="89" t="s">
        <v>1036</v>
      </c>
      <c r="D224" s="510" t="s">
        <v>1485</v>
      </c>
      <c r="E224" s="91" t="str">
        <f>EDID!E184</f>
        <v>64</v>
      </c>
      <c r="F224" s="92"/>
      <c r="G224"/>
      <c r="H224"/>
      <c r="I224"/>
      <c r="J224"/>
      <c r="K224"/>
      <c r="L224"/>
      <c r="M224"/>
      <c r="N224"/>
      <c r="O224"/>
      <c r="P224"/>
      <c r="Q224"/>
      <c r="R224"/>
      <c r="S224"/>
      <c r="T224"/>
      <c r="U224"/>
      <c r="V224"/>
      <c r="W224"/>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BF224" s="65"/>
      <c r="BG224" s="65"/>
      <c r="BH224" s="65"/>
      <c r="BI224" s="65"/>
      <c r="BJ224" s="65"/>
      <c r="BK224" s="65"/>
      <c r="BL224" s="65"/>
      <c r="BM224" s="65"/>
      <c r="BN224" s="65"/>
      <c r="BO224" s="65"/>
      <c r="BP224" s="65"/>
      <c r="BQ224" s="65"/>
      <c r="BR224" s="65"/>
      <c r="BS224" s="65"/>
    </row>
    <row r="225" spans="1:71" s="64" customFormat="1" outlineLevel="1">
      <c r="A225" s="65"/>
      <c r="B225" s="93" t="s">
        <v>1035</v>
      </c>
      <c r="C225" s="89" t="s">
        <v>1036</v>
      </c>
      <c r="D225" s="510" t="s">
        <v>1487</v>
      </c>
      <c r="E225" s="91" t="str">
        <f>EDID!E185</f>
        <v>32</v>
      </c>
      <c r="F225" s="92"/>
      <c r="G225"/>
      <c r="H225"/>
      <c r="I225"/>
      <c r="J225"/>
      <c r="K225"/>
      <c r="L225"/>
      <c r="M225"/>
      <c r="N225"/>
      <c r="O225"/>
      <c r="P225"/>
      <c r="Q225"/>
      <c r="R225"/>
      <c r="S225"/>
      <c r="T225"/>
      <c r="U225"/>
      <c r="V225"/>
      <c r="W225"/>
      <c r="X225" s="131"/>
      <c r="Y225" s="131"/>
      <c r="Z225" s="131"/>
      <c r="AA225" s="131"/>
      <c r="AB225" s="131"/>
      <c r="AC225" s="131"/>
      <c r="AD225" s="131"/>
      <c r="AE225" s="131"/>
      <c r="AF225" s="131"/>
      <c r="AG225" s="131"/>
      <c r="AH225" s="131"/>
      <c r="AI225" s="131"/>
      <c r="AJ225" s="131"/>
      <c r="AK225" s="131"/>
      <c r="AL225" s="131"/>
      <c r="AM225" s="131"/>
      <c r="AN225" s="131"/>
      <c r="AO225" s="131"/>
      <c r="AP225" s="131"/>
      <c r="AQ225" s="131"/>
      <c r="AR225" s="131"/>
      <c r="BF225" s="65"/>
      <c r="BG225" s="65"/>
      <c r="BH225" s="65"/>
      <c r="BI225" s="65"/>
      <c r="BJ225" s="65"/>
      <c r="BK225" s="65"/>
      <c r="BL225" s="65"/>
      <c r="BM225" s="65"/>
      <c r="BN225" s="65"/>
      <c r="BO225" s="65"/>
      <c r="BP225" s="65"/>
      <c r="BQ225" s="65"/>
      <c r="BR225" s="65"/>
      <c r="BS225" s="65"/>
    </row>
    <row r="226" spans="1:71" s="64" customFormat="1" outlineLevel="1">
      <c r="A226" s="65"/>
      <c r="B226" s="93" t="s">
        <v>1035</v>
      </c>
      <c r="C226" s="89" t="s">
        <v>1036</v>
      </c>
      <c r="D226" s="510" t="s">
        <v>1489</v>
      </c>
      <c r="E226" s="91" t="str">
        <f>EDID!E186</f>
        <v>44</v>
      </c>
      <c r="F226" s="92"/>
      <c r="G226"/>
      <c r="H226"/>
      <c r="I226"/>
      <c r="J226"/>
      <c r="K226"/>
      <c r="L226"/>
      <c r="M226"/>
      <c r="N226"/>
      <c r="O226"/>
      <c r="P226"/>
      <c r="Q226"/>
      <c r="R226"/>
      <c r="S226"/>
      <c r="T226"/>
      <c r="U226"/>
      <c r="V226"/>
      <c r="W226"/>
      <c r="X226" s="131"/>
      <c r="Y226" s="131"/>
      <c r="Z226" s="131"/>
      <c r="AA226" s="131"/>
      <c r="AB226" s="131"/>
      <c r="AC226" s="131"/>
      <c r="AD226" s="131"/>
      <c r="AE226" s="131"/>
      <c r="AF226" s="131"/>
      <c r="AG226" s="131"/>
      <c r="AH226" s="131"/>
      <c r="AI226" s="131"/>
      <c r="AJ226" s="131"/>
      <c r="AK226" s="131"/>
      <c r="AL226" s="131"/>
      <c r="AM226" s="131"/>
      <c r="AN226" s="131"/>
      <c r="AO226" s="131"/>
      <c r="AP226" s="131"/>
      <c r="AQ226" s="131"/>
      <c r="AR226" s="131"/>
      <c r="BF226" s="65"/>
      <c r="BG226" s="65"/>
      <c r="BH226" s="65"/>
      <c r="BI226" s="65"/>
      <c r="BJ226" s="65"/>
      <c r="BK226" s="65"/>
      <c r="BL226" s="65"/>
      <c r="BM226" s="65"/>
      <c r="BN226" s="65"/>
      <c r="BO226" s="65"/>
      <c r="BP226" s="65"/>
      <c r="BQ226" s="65"/>
      <c r="BR226" s="65"/>
      <c r="BS226" s="65"/>
    </row>
    <row r="227" spans="1:71" s="64" customFormat="1" outlineLevel="1">
      <c r="A227" s="65"/>
      <c r="B227" s="93" t="s">
        <v>1035</v>
      </c>
      <c r="C227" s="89" t="s">
        <v>1036</v>
      </c>
      <c r="D227" s="510" t="s">
        <v>1491</v>
      </c>
      <c r="E227" s="91" t="str">
        <f>EDID!E187</f>
        <v>00</v>
      </c>
      <c r="F227" s="92"/>
      <c r="G227"/>
      <c r="H227"/>
      <c r="I227"/>
      <c r="J227"/>
      <c r="K227"/>
      <c r="L227"/>
      <c r="M227"/>
      <c r="N227"/>
      <c r="O227"/>
      <c r="P227"/>
      <c r="Q227"/>
      <c r="R227"/>
      <c r="S227"/>
      <c r="T227"/>
      <c r="U227"/>
      <c r="V227"/>
      <c r="W227"/>
      <c r="X227" s="131"/>
      <c r="Y227" s="131"/>
      <c r="Z227" s="131"/>
      <c r="AA227" s="131"/>
      <c r="AB227" s="131"/>
      <c r="AC227" s="131"/>
      <c r="AD227" s="131"/>
      <c r="AE227" s="131"/>
      <c r="AF227" s="131"/>
      <c r="AG227" s="131"/>
      <c r="AH227" s="131"/>
      <c r="AI227" s="131"/>
      <c r="AJ227" s="131"/>
      <c r="AK227" s="131"/>
      <c r="AL227" s="131"/>
      <c r="AM227" s="131"/>
      <c r="AN227" s="131"/>
      <c r="AO227" s="131"/>
      <c r="AP227" s="131"/>
      <c r="AQ227" s="131"/>
      <c r="AR227" s="131"/>
      <c r="BF227" s="65"/>
      <c r="BG227" s="65"/>
      <c r="BH227" s="65"/>
      <c r="BI227" s="65"/>
      <c r="BJ227" s="65"/>
      <c r="BK227" s="65"/>
      <c r="BL227" s="65"/>
      <c r="BM227" s="65"/>
      <c r="BN227" s="65"/>
      <c r="BO227" s="65"/>
      <c r="BP227" s="65"/>
      <c r="BQ227" s="65"/>
      <c r="BR227" s="65"/>
      <c r="BS227" s="65"/>
    </row>
    <row r="228" spans="1:71" s="64" customFormat="1" outlineLevel="1">
      <c r="A228" s="65"/>
      <c r="B228" s="93" t="s">
        <v>1035</v>
      </c>
      <c r="C228" s="89" t="s">
        <v>1036</v>
      </c>
      <c r="D228" s="510" t="s">
        <v>1493</v>
      </c>
      <c r="E228" s="91" t="str">
        <f>EDID!E188</f>
        <v>C0</v>
      </c>
      <c r="F228" s="92"/>
      <c r="G228"/>
      <c r="H228"/>
      <c r="I228"/>
      <c r="J228"/>
      <c r="K228"/>
      <c r="L228"/>
      <c r="M228"/>
      <c r="N228"/>
      <c r="O228"/>
      <c r="P228"/>
      <c r="Q228"/>
      <c r="R228"/>
      <c r="S228"/>
      <c r="T228"/>
      <c r="U228"/>
      <c r="V228"/>
      <c r="W228"/>
      <c r="X228" s="131"/>
      <c r="Y228" s="131"/>
      <c r="Z228" s="131"/>
      <c r="AA228" s="131"/>
      <c r="AB228" s="131"/>
      <c r="AC228" s="131"/>
      <c r="AD228" s="131"/>
      <c r="AE228" s="131"/>
      <c r="AF228" s="131"/>
      <c r="AG228" s="131"/>
      <c r="AH228" s="131"/>
      <c r="AI228" s="131"/>
      <c r="AJ228" s="131"/>
      <c r="AK228" s="131"/>
      <c r="AL228" s="131"/>
      <c r="AM228" s="131"/>
      <c r="AN228" s="131"/>
      <c r="AO228" s="131"/>
      <c r="AP228" s="131"/>
      <c r="AQ228" s="131"/>
      <c r="AR228" s="131"/>
      <c r="BF228" s="65"/>
      <c r="BG228" s="65"/>
      <c r="BH228" s="65"/>
      <c r="BI228" s="65"/>
      <c r="BJ228" s="65"/>
      <c r="BK228" s="65"/>
      <c r="BL228" s="65"/>
      <c r="BM228" s="65"/>
      <c r="BN228" s="65"/>
      <c r="BO228" s="65"/>
      <c r="BP228" s="65"/>
      <c r="BQ228" s="65"/>
      <c r="BR228" s="65"/>
      <c r="BS228" s="65"/>
    </row>
    <row r="229" spans="1:71" s="64" customFormat="1" outlineLevel="1">
      <c r="A229" s="65"/>
      <c r="B229" s="93" t="s">
        <v>1035</v>
      </c>
      <c r="C229" s="89" t="s">
        <v>1036</v>
      </c>
      <c r="D229" s="510" t="s">
        <v>1495</v>
      </c>
      <c r="E229" s="91" t="str">
        <f>EDID!E189</f>
        <v>78</v>
      </c>
      <c r="F229" s="92"/>
      <c r="G229"/>
      <c r="H229"/>
      <c r="I229"/>
      <c r="J229"/>
      <c r="K229"/>
      <c r="L229"/>
      <c r="M229"/>
      <c r="N229"/>
      <c r="O229"/>
      <c r="P229"/>
      <c r="Q229"/>
      <c r="R229"/>
      <c r="S229"/>
      <c r="T229"/>
      <c r="U229"/>
      <c r="V229"/>
      <c r="W229"/>
      <c r="X229" s="131"/>
      <c r="Y229" s="131"/>
      <c r="Z229" s="131"/>
      <c r="AA229" s="131"/>
      <c r="AB229" s="131"/>
      <c r="AC229" s="131"/>
      <c r="AD229" s="131"/>
      <c r="AE229" s="131"/>
      <c r="AF229" s="131"/>
      <c r="AG229" s="131"/>
      <c r="AH229" s="131"/>
      <c r="AI229" s="131"/>
      <c r="AJ229" s="131"/>
      <c r="AK229" s="131"/>
      <c r="AL229" s="131"/>
      <c r="AM229" s="131"/>
      <c r="AN229" s="131"/>
      <c r="AO229" s="131"/>
      <c r="AP229" s="131"/>
      <c r="AQ229" s="131"/>
      <c r="AR229" s="131"/>
      <c r="BF229" s="65"/>
      <c r="BG229" s="65"/>
      <c r="BH229" s="65"/>
      <c r="BI229" s="65"/>
      <c r="BJ229" s="65"/>
      <c r="BK229" s="65"/>
      <c r="BL229" s="65"/>
      <c r="BM229" s="65"/>
      <c r="BN229" s="65"/>
      <c r="BO229" s="65"/>
      <c r="BP229" s="65"/>
      <c r="BQ229" s="65"/>
      <c r="BR229" s="65"/>
      <c r="BS229" s="65"/>
    </row>
    <row r="230" spans="1:71" s="64" customFormat="1" outlineLevel="1">
      <c r="A230" s="65"/>
      <c r="B230" s="93" t="s">
        <v>1035</v>
      </c>
      <c r="C230" s="89" t="s">
        <v>1036</v>
      </c>
      <c r="D230" s="510" t="s">
        <v>1497</v>
      </c>
      <c r="E230" s="91" t="str">
        <f>EDID!E190</f>
        <v>00</v>
      </c>
      <c r="F230" s="92"/>
      <c r="G230"/>
      <c r="H230"/>
      <c r="I230"/>
      <c r="J230"/>
      <c r="K230"/>
      <c r="L230"/>
      <c r="M230"/>
      <c r="N230"/>
      <c r="O230"/>
      <c r="P230"/>
      <c r="Q230"/>
      <c r="R230"/>
      <c r="S230"/>
      <c r="T230"/>
      <c r="U230"/>
      <c r="V230"/>
      <c r="W230"/>
      <c r="X230" s="131"/>
      <c r="Y230" s="131"/>
      <c r="Z230" s="131"/>
      <c r="AA230" s="131"/>
      <c r="AB230" s="131"/>
      <c r="AC230" s="131"/>
      <c r="AD230" s="131"/>
      <c r="AE230" s="131"/>
      <c r="AF230" s="131"/>
      <c r="AG230" s="131"/>
      <c r="AH230" s="131"/>
      <c r="AI230" s="131"/>
      <c r="AJ230" s="131"/>
      <c r="AK230" s="131"/>
      <c r="AL230" s="131"/>
      <c r="AM230" s="131"/>
      <c r="AN230" s="131"/>
      <c r="AO230" s="131"/>
      <c r="AP230" s="131"/>
      <c r="AQ230" s="131"/>
      <c r="AR230" s="131"/>
      <c r="BF230" s="65"/>
      <c r="BG230" s="65"/>
      <c r="BH230" s="65"/>
      <c r="BI230" s="65"/>
      <c r="BJ230" s="65"/>
      <c r="BK230" s="65"/>
      <c r="BL230" s="65"/>
      <c r="BM230" s="65"/>
      <c r="BN230" s="65"/>
      <c r="BO230" s="65"/>
      <c r="BP230" s="65"/>
      <c r="BQ230" s="65"/>
      <c r="BR230" s="65"/>
      <c r="BS230" s="65"/>
    </row>
    <row r="231" spans="1:71" s="64" customFormat="1" outlineLevel="1">
      <c r="A231" s="65"/>
      <c r="B231" s="93" t="s">
        <v>1035</v>
      </c>
      <c r="C231" s="89" t="s">
        <v>1036</v>
      </c>
      <c r="D231" s="510" t="s">
        <v>1499</v>
      </c>
      <c r="E231" s="91" t="str">
        <f>EDID!E191</f>
        <v>00</v>
      </c>
      <c r="F231" s="92"/>
      <c r="G231"/>
      <c r="H231"/>
      <c r="I231"/>
      <c r="J231"/>
      <c r="K231"/>
      <c r="L231"/>
      <c r="M231"/>
      <c r="N231"/>
      <c r="O231"/>
      <c r="P231"/>
      <c r="Q231"/>
      <c r="R231"/>
      <c r="S231"/>
      <c r="T231"/>
      <c r="U231"/>
      <c r="V231"/>
      <c r="W231"/>
      <c r="X231" s="131"/>
      <c r="Y231" s="131"/>
      <c r="Z231" s="131"/>
      <c r="AA231" s="131"/>
      <c r="AB231" s="131"/>
      <c r="AC231" s="131"/>
      <c r="AD231" s="131"/>
      <c r="AE231" s="131"/>
      <c r="AF231" s="131"/>
      <c r="AG231" s="131"/>
      <c r="AH231" s="131"/>
      <c r="AI231" s="131"/>
      <c r="AJ231" s="131"/>
      <c r="AK231" s="131"/>
      <c r="AL231" s="131"/>
      <c r="AM231" s="131"/>
      <c r="AN231" s="131"/>
      <c r="AO231" s="131"/>
      <c r="AP231" s="131"/>
      <c r="AQ231" s="131"/>
      <c r="AR231" s="131"/>
      <c r="BF231" s="65"/>
      <c r="BG231" s="65"/>
      <c r="BH231" s="65"/>
      <c r="BI231" s="65"/>
      <c r="BJ231" s="65"/>
      <c r="BK231" s="65"/>
      <c r="BL231" s="65"/>
      <c r="BM231" s="65"/>
      <c r="BN231" s="65"/>
      <c r="BO231" s="65"/>
      <c r="BP231" s="65"/>
      <c r="BQ231" s="65"/>
      <c r="BR231" s="65"/>
      <c r="BS231" s="65"/>
    </row>
    <row r="232" spans="1:71" s="64" customFormat="1" outlineLevel="1">
      <c r="A232" s="65"/>
      <c r="B232" s="93" t="s">
        <v>1035</v>
      </c>
      <c r="C232" s="89" t="s">
        <v>1036</v>
      </c>
      <c r="D232" s="510" t="s">
        <v>1501</v>
      </c>
      <c r="E232" s="91" t="str">
        <f>EDID!E192</f>
        <v>00</v>
      </c>
      <c r="F232" s="92"/>
      <c r="G232"/>
      <c r="H232"/>
      <c r="I232"/>
      <c r="J232"/>
      <c r="K232"/>
      <c r="L232"/>
      <c r="M232"/>
      <c r="N232"/>
      <c r="O232"/>
      <c r="P232"/>
      <c r="Q232"/>
      <c r="R232"/>
      <c r="S232"/>
      <c r="T232"/>
      <c r="U232"/>
      <c r="V232"/>
      <c r="W232"/>
      <c r="X232" s="131"/>
      <c r="Y232" s="131"/>
      <c r="Z232" s="131"/>
      <c r="AA232" s="131"/>
      <c r="AB232" s="131"/>
      <c r="AC232" s="131"/>
      <c r="AD232" s="131"/>
      <c r="AE232" s="131"/>
      <c r="AF232" s="131"/>
      <c r="AG232" s="131"/>
      <c r="AH232" s="131"/>
      <c r="AI232" s="131"/>
      <c r="AJ232" s="131"/>
      <c r="AK232" s="131"/>
      <c r="AL232" s="131"/>
      <c r="AM232" s="131"/>
      <c r="AN232" s="131"/>
      <c r="AO232" s="131"/>
      <c r="AP232" s="131"/>
      <c r="AQ232" s="131"/>
      <c r="AR232" s="131"/>
      <c r="BF232" s="65"/>
      <c r="BG232" s="65"/>
      <c r="BH232" s="65"/>
      <c r="BI232" s="65"/>
      <c r="BJ232" s="65"/>
      <c r="BK232" s="65"/>
      <c r="BL232" s="65"/>
      <c r="BM232" s="65"/>
      <c r="BN232" s="65"/>
      <c r="BO232" s="65"/>
      <c r="BP232" s="65"/>
      <c r="BQ232" s="65"/>
      <c r="BR232" s="65"/>
      <c r="BS232" s="65"/>
    </row>
    <row r="233" spans="1:71" s="64" customFormat="1" outlineLevel="1">
      <c r="A233" s="65"/>
      <c r="B233" s="93" t="s">
        <v>1035</v>
      </c>
      <c r="C233" s="89" t="s">
        <v>1036</v>
      </c>
      <c r="D233" s="510" t="s">
        <v>1503</v>
      </c>
      <c r="E233" s="91" t="str">
        <f>EDID!E193</f>
        <v>18</v>
      </c>
      <c r="F233" s="92"/>
      <c r="G233"/>
      <c r="H233"/>
      <c r="I233"/>
      <c r="J233"/>
      <c r="K233"/>
      <c r="L233"/>
      <c r="M233"/>
      <c r="N233"/>
      <c r="O233"/>
      <c r="P233"/>
      <c r="Q233"/>
      <c r="R233"/>
      <c r="S233"/>
      <c r="T233"/>
      <c r="U233"/>
      <c r="V233"/>
      <c r="W233"/>
      <c r="X233" s="131"/>
      <c r="Y233" s="131"/>
      <c r="Z233" s="131"/>
      <c r="AA233" s="131"/>
      <c r="AB233" s="131"/>
      <c r="AC233" s="131"/>
      <c r="AD233" s="131"/>
      <c r="AE233" s="131"/>
      <c r="AF233" s="131"/>
      <c r="AG233" s="131"/>
      <c r="AH233" s="131"/>
      <c r="AI233" s="131"/>
      <c r="AJ233" s="131"/>
      <c r="AK233" s="131"/>
      <c r="AL233" s="131"/>
      <c r="AM233" s="131"/>
      <c r="AN233" s="131"/>
      <c r="AO233" s="131"/>
      <c r="AP233" s="131"/>
      <c r="AQ233" s="131"/>
      <c r="AR233" s="131"/>
      <c r="BF233" s="65"/>
      <c r="BG233" s="65"/>
      <c r="BH233" s="65"/>
      <c r="BI233" s="65"/>
      <c r="BJ233" s="65"/>
      <c r="BK233" s="65"/>
      <c r="BL233" s="65"/>
      <c r="BM233" s="65"/>
      <c r="BN233" s="65"/>
      <c r="BO233" s="65"/>
      <c r="BP233" s="65"/>
      <c r="BQ233" s="65"/>
      <c r="BR233" s="65"/>
      <c r="BS233" s="65"/>
    </row>
    <row r="234" spans="1:71" s="64" customFormat="1" outlineLevel="1">
      <c r="A234" s="65"/>
      <c r="B234" s="93" t="s">
        <v>1035</v>
      </c>
      <c r="C234" s="89" t="s">
        <v>1036</v>
      </c>
      <c r="D234" s="510" t="s">
        <v>1505</v>
      </c>
      <c r="E234" s="91" t="str">
        <f>EDID!E194</f>
        <v>28</v>
      </c>
      <c r="F234" s="92"/>
      <c r="G234"/>
      <c r="H234"/>
      <c r="I234"/>
      <c r="J234"/>
      <c r="K234"/>
      <c r="L234"/>
      <c r="M234"/>
      <c r="N234"/>
      <c r="O234"/>
      <c r="P234"/>
      <c r="Q234"/>
      <c r="R234"/>
      <c r="S234"/>
      <c r="T234"/>
      <c r="U234"/>
      <c r="V234"/>
      <c r="W234"/>
      <c r="X234" s="131"/>
      <c r="Y234" s="131"/>
      <c r="Z234" s="131"/>
      <c r="AA234" s="131"/>
      <c r="AB234" s="131"/>
      <c r="AC234" s="131"/>
      <c r="AD234" s="131"/>
      <c r="AE234" s="131"/>
      <c r="AF234" s="131"/>
      <c r="AG234" s="131"/>
      <c r="AH234" s="131"/>
      <c r="AI234" s="131"/>
      <c r="AJ234" s="131"/>
      <c r="AK234" s="131"/>
      <c r="AL234" s="131"/>
      <c r="AM234" s="131"/>
      <c r="AN234" s="131"/>
      <c r="AO234" s="131"/>
      <c r="AP234" s="131"/>
      <c r="AQ234" s="131"/>
      <c r="AR234" s="131"/>
      <c r="BF234" s="65"/>
      <c r="BG234" s="65"/>
      <c r="BH234" s="65"/>
      <c r="BI234" s="65"/>
      <c r="BJ234" s="65"/>
      <c r="BK234" s="65"/>
      <c r="BL234" s="65"/>
      <c r="BM234" s="65"/>
      <c r="BN234" s="65"/>
      <c r="BO234" s="65"/>
      <c r="BP234" s="65"/>
      <c r="BQ234" s="65"/>
      <c r="BR234" s="65"/>
      <c r="BS234" s="65"/>
    </row>
    <row r="235" spans="1:71" s="64" customFormat="1" outlineLevel="1">
      <c r="A235" s="65"/>
      <c r="B235" s="93" t="s">
        <v>1035</v>
      </c>
      <c r="C235" s="89" t="s">
        <v>1036</v>
      </c>
      <c r="D235" s="510" t="s">
        <v>1508</v>
      </c>
      <c r="E235" s="91" t="str">
        <f>EDID!E195</f>
        <v>3C</v>
      </c>
      <c r="F235" s="92"/>
      <c r="G235"/>
      <c r="H235"/>
      <c r="I235"/>
      <c r="J235"/>
      <c r="K235"/>
      <c r="L235"/>
      <c r="M235"/>
      <c r="N235"/>
      <c r="O235"/>
      <c r="P235"/>
      <c r="Q235"/>
      <c r="R235"/>
      <c r="S235"/>
      <c r="T235"/>
      <c r="U235"/>
      <c r="V235"/>
      <c r="W235"/>
      <c r="X235" s="131"/>
      <c r="Y235" s="131"/>
      <c r="Z235" s="131"/>
      <c r="AA235" s="131"/>
      <c r="AB235" s="131"/>
      <c r="AC235" s="131"/>
      <c r="AD235" s="131"/>
      <c r="AE235" s="131"/>
      <c r="AF235" s="131"/>
      <c r="AG235" s="131"/>
      <c r="AH235" s="131"/>
      <c r="AI235" s="131"/>
      <c r="AJ235" s="131"/>
      <c r="AK235" s="131"/>
      <c r="AL235" s="131"/>
      <c r="AM235" s="131"/>
      <c r="AN235" s="131"/>
      <c r="AO235" s="131"/>
      <c r="AP235" s="131"/>
      <c r="AQ235" s="131"/>
      <c r="AR235" s="131"/>
      <c r="BF235" s="65"/>
      <c r="BG235" s="65"/>
      <c r="BH235" s="65"/>
      <c r="BI235" s="65"/>
      <c r="BJ235" s="65"/>
      <c r="BK235" s="65"/>
      <c r="BL235" s="65"/>
      <c r="BM235" s="65"/>
      <c r="BN235" s="65"/>
      <c r="BO235" s="65"/>
      <c r="BP235" s="65"/>
      <c r="BQ235" s="65"/>
      <c r="BR235" s="65"/>
      <c r="BS235" s="65"/>
    </row>
    <row r="236" spans="1:71" s="64" customFormat="1" outlineLevel="1">
      <c r="A236" s="65"/>
      <c r="B236" s="93" t="s">
        <v>1035</v>
      </c>
      <c r="C236" s="89" t="s">
        <v>1036</v>
      </c>
      <c r="D236" s="510" t="s">
        <v>1509</v>
      </c>
      <c r="E236" s="91" t="str">
        <f>EDID!E196</f>
        <v>38</v>
      </c>
      <c r="F236" s="92"/>
      <c r="G236"/>
      <c r="H236"/>
      <c r="I236"/>
      <c r="J236"/>
      <c r="K236"/>
      <c r="L236"/>
      <c r="M236"/>
      <c r="N236"/>
      <c r="O236"/>
      <c r="P236"/>
      <c r="Q236"/>
      <c r="R236"/>
      <c r="S236"/>
      <c r="T236"/>
      <c r="U236"/>
      <c r="V236"/>
      <c r="W236"/>
      <c r="X236" s="131"/>
      <c r="Y236" s="131"/>
      <c r="Z236" s="131"/>
      <c r="AA236" s="131"/>
      <c r="AB236" s="131"/>
      <c r="AC236" s="131"/>
      <c r="AD236" s="131"/>
      <c r="AE236" s="131"/>
      <c r="AF236" s="131"/>
      <c r="AG236" s="131"/>
      <c r="AH236" s="131"/>
      <c r="AI236" s="131"/>
      <c r="AJ236" s="131"/>
      <c r="AK236" s="131"/>
      <c r="AL236" s="131"/>
      <c r="AM236" s="131"/>
      <c r="AN236" s="131"/>
      <c r="AO236" s="131"/>
      <c r="AP236" s="131"/>
      <c r="AQ236" s="131"/>
      <c r="AR236" s="131"/>
      <c r="BF236" s="65"/>
      <c r="BG236" s="65"/>
      <c r="BH236" s="65"/>
      <c r="BI236" s="65"/>
      <c r="BJ236" s="65"/>
      <c r="BK236" s="65"/>
      <c r="BL236" s="65"/>
      <c r="BM236" s="65"/>
      <c r="BN236" s="65"/>
      <c r="BO236" s="65"/>
      <c r="BP236" s="65"/>
      <c r="BQ236" s="65"/>
      <c r="BR236" s="65"/>
      <c r="BS236" s="65"/>
    </row>
    <row r="237" spans="1:71" s="64" customFormat="1" outlineLevel="1">
      <c r="A237" s="65"/>
      <c r="B237" s="93" t="s">
        <v>1035</v>
      </c>
      <c r="C237" s="89" t="s">
        <v>1036</v>
      </c>
      <c r="D237" s="510" t="s">
        <v>1511</v>
      </c>
      <c r="E237" s="91" t="str">
        <f>EDID!E197</f>
        <v>FA</v>
      </c>
      <c r="F237" s="92"/>
      <c r="G237"/>
      <c r="H237"/>
      <c r="I237"/>
      <c r="J237"/>
      <c r="K237"/>
      <c r="L237"/>
      <c r="M237"/>
      <c r="N237"/>
      <c r="O237"/>
      <c r="P237"/>
      <c r="Q237"/>
      <c r="R237"/>
      <c r="S237"/>
      <c r="T237"/>
      <c r="U237"/>
      <c r="V237"/>
      <c r="W237"/>
      <c r="X237" s="131"/>
      <c r="Y237" s="131"/>
      <c r="Z237" s="131"/>
      <c r="AA237" s="131"/>
      <c r="AB237" s="131"/>
      <c r="AC237" s="131"/>
      <c r="AD237" s="131"/>
      <c r="AE237" s="131"/>
      <c r="AF237" s="131"/>
      <c r="AG237" s="131"/>
      <c r="AH237" s="131"/>
      <c r="AI237" s="131"/>
      <c r="AJ237" s="131"/>
      <c r="AK237" s="131"/>
      <c r="AL237" s="131"/>
      <c r="AM237" s="131"/>
      <c r="AN237" s="131"/>
      <c r="AO237" s="131"/>
      <c r="AP237" s="131"/>
      <c r="AQ237" s="131"/>
      <c r="AR237" s="131"/>
      <c r="BF237" s="65"/>
      <c r="BG237" s="65"/>
      <c r="BH237" s="65"/>
      <c r="BI237" s="65"/>
      <c r="BJ237" s="65"/>
      <c r="BK237" s="65"/>
      <c r="BL237" s="65"/>
      <c r="BM237" s="65"/>
      <c r="BN237" s="65"/>
      <c r="BO237" s="65"/>
      <c r="BP237" s="65"/>
      <c r="BQ237" s="65"/>
      <c r="BR237" s="65"/>
      <c r="BS237" s="65"/>
    </row>
    <row r="238" spans="1:71" s="64" customFormat="1" outlineLevel="1">
      <c r="A238" s="65"/>
      <c r="B238" s="93" t="s">
        <v>1035</v>
      </c>
      <c r="C238" s="89" t="s">
        <v>1036</v>
      </c>
      <c r="D238" s="510" t="s">
        <v>1513</v>
      </c>
      <c r="E238" s="91" t="str">
        <f>EDID!E198</f>
        <v>40</v>
      </c>
      <c r="F238" s="92"/>
      <c r="G238"/>
      <c r="H238"/>
      <c r="I238"/>
      <c r="J238"/>
      <c r="K238"/>
      <c r="L238"/>
      <c r="M238"/>
      <c r="N238"/>
      <c r="O238"/>
      <c r="P238"/>
      <c r="Q238"/>
      <c r="R238"/>
      <c r="S238"/>
      <c r="T238"/>
      <c r="U238"/>
      <c r="V238"/>
      <c r="W238"/>
      <c r="X238" s="131"/>
      <c r="Y238" s="131"/>
      <c r="Z238" s="131"/>
      <c r="AA238" s="131"/>
      <c r="AB238" s="131"/>
      <c r="AC238" s="131"/>
      <c r="AD238" s="131"/>
      <c r="AE238" s="131"/>
      <c r="AF238" s="131"/>
      <c r="AG238" s="131"/>
      <c r="AH238" s="131"/>
      <c r="AI238" s="131"/>
      <c r="AJ238" s="131"/>
      <c r="AK238" s="131"/>
      <c r="AL238" s="131"/>
      <c r="AM238" s="131"/>
      <c r="AN238" s="131"/>
      <c r="AO238" s="131"/>
      <c r="AP238" s="131"/>
      <c r="AQ238" s="131"/>
      <c r="AR238" s="131"/>
      <c r="BF238" s="65"/>
      <c r="BG238" s="65"/>
      <c r="BH238" s="65"/>
      <c r="BI238" s="65"/>
      <c r="BJ238" s="65"/>
      <c r="BK238" s="65"/>
      <c r="BL238" s="65"/>
      <c r="BM238" s="65"/>
      <c r="BN238" s="65"/>
      <c r="BO238" s="65"/>
      <c r="BP238" s="65"/>
      <c r="BQ238" s="65"/>
      <c r="BR238" s="65"/>
      <c r="BS238" s="65"/>
    </row>
    <row r="239" spans="1:71" s="64" customFormat="1" outlineLevel="1">
      <c r="A239" s="65"/>
      <c r="B239" s="93" t="s">
        <v>1035</v>
      </c>
      <c r="C239" s="89" t="s">
        <v>1036</v>
      </c>
      <c r="D239" s="510" t="s">
        <v>1515</v>
      </c>
      <c r="E239" s="91" t="str">
        <f>EDID!E199</f>
        <v>80</v>
      </c>
      <c r="F239" s="92"/>
      <c r="G239"/>
      <c r="H239"/>
      <c r="I239"/>
      <c r="J239"/>
      <c r="K239"/>
      <c r="L239"/>
      <c r="M239"/>
      <c r="N239"/>
      <c r="O239"/>
      <c r="P239"/>
      <c r="Q239"/>
      <c r="R239"/>
      <c r="S239"/>
      <c r="T239"/>
      <c r="U239"/>
      <c r="V239"/>
      <c r="W239"/>
      <c r="X239" s="131"/>
      <c r="Y239" s="131"/>
      <c r="Z239" s="131"/>
      <c r="AA239" s="131"/>
      <c r="AB239" s="131"/>
      <c r="AC239" s="131"/>
      <c r="AD239" s="131"/>
      <c r="AE239" s="131"/>
      <c r="AF239" s="131"/>
      <c r="AG239" s="131"/>
      <c r="AH239" s="131"/>
      <c r="AI239" s="131"/>
      <c r="AJ239" s="131"/>
      <c r="AK239" s="131"/>
      <c r="AL239" s="131"/>
      <c r="AM239" s="131"/>
      <c r="AN239" s="131"/>
      <c r="AO239" s="131"/>
      <c r="AP239" s="131"/>
      <c r="AQ239" s="131"/>
      <c r="AR239" s="131"/>
      <c r="BF239" s="65"/>
      <c r="BG239" s="65"/>
      <c r="BH239" s="65"/>
      <c r="BI239" s="65"/>
      <c r="BJ239" s="65"/>
      <c r="BK239" s="65"/>
      <c r="BL239" s="65"/>
      <c r="BM239" s="65"/>
      <c r="BN239" s="65"/>
      <c r="BO239" s="65"/>
      <c r="BP239" s="65"/>
      <c r="BQ239" s="65"/>
      <c r="BR239" s="65"/>
      <c r="BS239" s="65"/>
    </row>
    <row r="240" spans="1:71" s="64" customFormat="1" outlineLevel="1">
      <c r="A240" s="65"/>
      <c r="B240" s="93" t="s">
        <v>1035</v>
      </c>
      <c r="C240" s="89" t="s">
        <v>1036</v>
      </c>
      <c r="D240" s="510" t="s">
        <v>1517</v>
      </c>
      <c r="E240" s="91" t="str">
        <f>EDID!E200</f>
        <v>0C</v>
      </c>
      <c r="F240" s="92"/>
      <c r="G240"/>
      <c r="H240"/>
      <c r="I240"/>
      <c r="J240"/>
      <c r="K240"/>
      <c r="L240"/>
      <c r="M240"/>
      <c r="N240"/>
      <c r="O240"/>
      <c r="P240"/>
      <c r="Q240"/>
      <c r="R240"/>
      <c r="S240"/>
      <c r="T240"/>
      <c r="U240"/>
      <c r="V240"/>
      <c r="W240"/>
      <c r="X240" s="131"/>
      <c r="Y240" s="131"/>
      <c r="Z240" s="131"/>
      <c r="AA240" s="131"/>
      <c r="AB240" s="131"/>
      <c r="AC240" s="131"/>
      <c r="AD240" s="131"/>
      <c r="AE240" s="131"/>
      <c r="AF240" s="131"/>
      <c r="AG240" s="131"/>
      <c r="AH240" s="131"/>
      <c r="AI240" s="131"/>
      <c r="AJ240" s="131"/>
      <c r="AK240" s="131"/>
      <c r="AL240" s="131"/>
      <c r="AM240" s="131"/>
      <c r="AN240" s="131"/>
      <c r="AO240" s="131"/>
      <c r="AP240" s="131"/>
      <c r="AQ240" s="131"/>
      <c r="AR240" s="131"/>
      <c r="BF240" s="65"/>
      <c r="BG240" s="65"/>
      <c r="BH240" s="65"/>
      <c r="BI240" s="65"/>
      <c r="BJ240" s="65"/>
      <c r="BK240" s="65"/>
      <c r="BL240" s="65"/>
      <c r="BM240" s="65"/>
      <c r="BN240" s="65"/>
      <c r="BO240" s="65"/>
      <c r="BP240" s="65"/>
      <c r="BQ240" s="65"/>
      <c r="BR240" s="65"/>
      <c r="BS240" s="65"/>
    </row>
    <row r="241" spans="1:71" s="64" customFormat="1" outlineLevel="1">
      <c r="A241" s="65"/>
      <c r="B241" s="93" t="s">
        <v>1035</v>
      </c>
      <c r="C241" s="89" t="s">
        <v>1036</v>
      </c>
      <c r="D241" s="510" t="s">
        <v>1519</v>
      </c>
      <c r="E241" s="91" t="str">
        <f>EDID!E201</f>
        <v>70</v>
      </c>
      <c r="F241" s="92"/>
      <c r="G241"/>
      <c r="H241"/>
      <c r="I241"/>
      <c r="J241"/>
      <c r="K241"/>
      <c r="L241"/>
      <c r="M241"/>
      <c r="N241"/>
      <c r="O241"/>
      <c r="P241"/>
      <c r="Q241"/>
      <c r="R241"/>
      <c r="S241"/>
      <c r="T241"/>
      <c r="U241"/>
      <c r="V241"/>
      <c r="W24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BF241" s="65"/>
      <c r="BG241" s="65"/>
      <c r="BH241" s="65"/>
      <c r="BI241" s="65"/>
      <c r="BJ241" s="65"/>
      <c r="BK241" s="65"/>
      <c r="BL241" s="65"/>
      <c r="BM241" s="65"/>
      <c r="BN241" s="65"/>
      <c r="BO241" s="65"/>
      <c r="BP241" s="65"/>
      <c r="BQ241" s="65"/>
      <c r="BR241" s="65"/>
      <c r="BS241" s="65"/>
    </row>
    <row r="242" spans="1:71" s="64" customFormat="1" outlineLevel="1">
      <c r="A242" s="65"/>
      <c r="B242" s="93" t="s">
        <v>1035</v>
      </c>
      <c r="C242" s="89" t="s">
        <v>1036</v>
      </c>
      <c r="D242" s="510" t="s">
        <v>1521</v>
      </c>
      <c r="E242" s="91" t="str">
        <f>EDID!E202</f>
        <v>64</v>
      </c>
      <c r="F242" s="92"/>
      <c r="G242"/>
      <c r="H242"/>
      <c r="I242"/>
      <c r="J242"/>
      <c r="K242"/>
      <c r="L242"/>
      <c r="M242"/>
      <c r="N242"/>
      <c r="O242"/>
      <c r="P242"/>
      <c r="Q242"/>
      <c r="R242"/>
      <c r="S242"/>
      <c r="T242"/>
      <c r="U242"/>
      <c r="V242"/>
      <c r="W242"/>
      <c r="X242" s="131"/>
      <c r="Y242" s="131"/>
      <c r="Z242" s="131"/>
      <c r="AA242" s="131"/>
      <c r="AB242" s="131"/>
      <c r="AC242" s="131"/>
      <c r="AD242" s="131"/>
      <c r="AE242" s="131"/>
      <c r="AF242" s="131"/>
      <c r="AG242" s="131"/>
      <c r="AH242" s="131"/>
      <c r="AI242" s="131"/>
      <c r="AJ242" s="131"/>
      <c r="AK242" s="131"/>
      <c r="AL242" s="131"/>
      <c r="AM242" s="131"/>
      <c r="AN242" s="131"/>
      <c r="AO242" s="131"/>
      <c r="AP242" s="131"/>
      <c r="AQ242" s="131"/>
      <c r="AR242" s="131"/>
      <c r="BF242" s="65"/>
      <c r="BG242" s="65"/>
      <c r="BH242" s="65"/>
      <c r="BI242" s="65"/>
      <c r="BJ242" s="65"/>
      <c r="BK242" s="65"/>
      <c r="BL242" s="65"/>
      <c r="BM242" s="65"/>
      <c r="BN242" s="65"/>
      <c r="BO242" s="65"/>
      <c r="BP242" s="65"/>
      <c r="BQ242" s="65"/>
      <c r="BR242" s="65"/>
      <c r="BS242" s="65"/>
    </row>
    <row r="243" spans="1:71" s="64" customFormat="1" outlineLevel="1">
      <c r="A243" s="65"/>
      <c r="B243" s="93" t="s">
        <v>1035</v>
      </c>
      <c r="C243" s="89" t="s">
        <v>1036</v>
      </c>
      <c r="D243" s="510" t="s">
        <v>1523</v>
      </c>
      <c r="E243" s="91" t="str">
        <f>EDID!E203</f>
        <v>32</v>
      </c>
      <c r="F243" s="92"/>
      <c r="G243"/>
      <c r="H243"/>
      <c r="I243"/>
      <c r="J243"/>
      <c r="K243"/>
      <c r="L243"/>
      <c r="M243"/>
      <c r="N243"/>
      <c r="O243"/>
      <c r="P243"/>
      <c r="Q243"/>
      <c r="R243"/>
      <c r="S243"/>
      <c r="T243"/>
      <c r="U243"/>
      <c r="V243"/>
      <c r="W243"/>
      <c r="X243" s="131"/>
      <c r="Y243" s="131"/>
      <c r="Z243" s="131"/>
      <c r="AA243" s="131"/>
      <c r="AB243" s="131"/>
      <c r="AC243" s="131"/>
      <c r="AD243" s="131"/>
      <c r="AE243" s="131"/>
      <c r="AF243" s="131"/>
      <c r="AG243" s="131"/>
      <c r="AH243" s="131"/>
      <c r="AI243" s="131"/>
      <c r="AJ243" s="131"/>
      <c r="AK243" s="131"/>
      <c r="AL243" s="131"/>
      <c r="AM243" s="131"/>
      <c r="AN243" s="131"/>
      <c r="AO243" s="131"/>
      <c r="AP243" s="131"/>
      <c r="AQ243" s="131"/>
      <c r="AR243" s="131"/>
      <c r="BF243" s="65"/>
      <c r="BG243" s="65"/>
      <c r="BH243" s="65"/>
      <c r="BI243" s="65"/>
      <c r="BJ243" s="65"/>
      <c r="BK243" s="65"/>
      <c r="BL243" s="65"/>
      <c r="BM243" s="65"/>
      <c r="BN243" s="65"/>
      <c r="BO243" s="65"/>
      <c r="BP243" s="65"/>
      <c r="BQ243" s="65"/>
      <c r="BR243" s="65"/>
      <c r="BS243" s="65"/>
    </row>
    <row r="244" spans="1:71" s="64" customFormat="1" outlineLevel="1">
      <c r="A244" s="65"/>
      <c r="B244" s="93" t="s">
        <v>1035</v>
      </c>
      <c r="C244" s="89" t="s">
        <v>1036</v>
      </c>
      <c r="D244" s="510" t="s">
        <v>1525</v>
      </c>
      <c r="E244" s="91" t="str">
        <f>EDID!E204</f>
        <v>44</v>
      </c>
      <c r="F244" s="92"/>
      <c r="G244"/>
      <c r="H244"/>
      <c r="I244"/>
      <c r="J244"/>
      <c r="K244"/>
      <c r="L244"/>
      <c r="M244"/>
      <c r="N244"/>
      <c r="O244"/>
      <c r="P244"/>
      <c r="Q244"/>
      <c r="R244"/>
      <c r="S244"/>
      <c r="T244"/>
      <c r="U244"/>
      <c r="V244"/>
      <c r="W244"/>
      <c r="X244" s="131"/>
      <c r="Y244" s="131"/>
      <c r="Z244" s="131"/>
      <c r="AA244" s="131"/>
      <c r="AB244" s="131"/>
      <c r="AC244" s="131"/>
      <c r="AD244" s="131"/>
      <c r="AE244" s="131"/>
      <c r="AF244" s="131"/>
      <c r="AG244" s="131"/>
      <c r="AH244" s="131"/>
      <c r="AI244" s="131"/>
      <c r="AJ244" s="131"/>
      <c r="AK244" s="131"/>
      <c r="AL244" s="131"/>
      <c r="AM244" s="131"/>
      <c r="AN244" s="131"/>
      <c r="AO244" s="131"/>
      <c r="AP244" s="131"/>
      <c r="AQ244" s="131"/>
      <c r="AR244" s="131"/>
      <c r="BF244" s="65"/>
      <c r="BG244" s="65"/>
      <c r="BH244" s="65"/>
      <c r="BI244" s="65"/>
      <c r="BJ244" s="65"/>
      <c r="BK244" s="65"/>
      <c r="BL244" s="65"/>
      <c r="BM244" s="65"/>
      <c r="BN244" s="65"/>
      <c r="BO244" s="65"/>
      <c r="BP244" s="65"/>
      <c r="BQ244" s="65"/>
      <c r="BR244" s="65"/>
      <c r="BS244" s="65"/>
    </row>
    <row r="245" spans="1:71" s="64" customFormat="1" outlineLevel="1">
      <c r="A245" s="65"/>
      <c r="B245" s="93" t="s">
        <v>1035</v>
      </c>
      <c r="C245" s="89" t="s">
        <v>1036</v>
      </c>
      <c r="D245" s="510" t="s">
        <v>1527</v>
      </c>
      <c r="E245" s="91" t="str">
        <f>EDID!E205</f>
        <v>00</v>
      </c>
      <c r="F245" s="92"/>
      <c r="G245"/>
      <c r="H245"/>
      <c r="I245"/>
      <c r="J245"/>
      <c r="K245"/>
      <c r="L245"/>
      <c r="M245"/>
      <c r="N245"/>
      <c r="O245"/>
      <c r="P245"/>
      <c r="Q245"/>
      <c r="R245"/>
      <c r="S245"/>
      <c r="T245"/>
      <c r="U245"/>
      <c r="V245"/>
      <c r="W245"/>
      <c r="X245" s="131"/>
      <c r="Y245" s="131"/>
      <c r="Z245" s="131"/>
      <c r="AA245" s="131"/>
      <c r="AB245" s="131"/>
      <c r="AC245" s="131"/>
      <c r="AD245" s="131"/>
      <c r="AE245" s="131"/>
      <c r="AF245" s="131"/>
      <c r="AG245" s="131"/>
      <c r="AH245" s="131"/>
      <c r="AI245" s="131"/>
      <c r="AJ245" s="131"/>
      <c r="AK245" s="131"/>
      <c r="AL245" s="131"/>
      <c r="AM245" s="131"/>
      <c r="AN245" s="131"/>
      <c r="AO245" s="131"/>
      <c r="AP245" s="131"/>
      <c r="AQ245" s="131"/>
      <c r="AR245" s="131"/>
      <c r="BF245" s="65"/>
      <c r="BG245" s="65"/>
      <c r="BH245" s="65"/>
      <c r="BI245" s="65"/>
      <c r="BJ245" s="65"/>
      <c r="BK245" s="65"/>
      <c r="BL245" s="65"/>
      <c r="BM245" s="65"/>
      <c r="BN245" s="65"/>
      <c r="BO245" s="65"/>
      <c r="BP245" s="65"/>
      <c r="BQ245" s="65"/>
      <c r="BR245" s="65"/>
      <c r="BS245" s="65"/>
    </row>
    <row r="246" spans="1:71" s="64" customFormat="1" outlineLevel="1">
      <c r="A246" s="65"/>
      <c r="B246" s="93" t="s">
        <v>1035</v>
      </c>
      <c r="C246" s="89" t="s">
        <v>1036</v>
      </c>
      <c r="D246" s="510" t="s">
        <v>1529</v>
      </c>
      <c r="E246" s="91" t="str">
        <f>EDID!E206</f>
        <v>C0</v>
      </c>
      <c r="F246" s="92"/>
      <c r="G246"/>
      <c r="H246"/>
      <c r="I246"/>
      <c r="J246"/>
      <c r="K246"/>
      <c r="L246"/>
      <c r="M246"/>
      <c r="N246"/>
      <c r="O246"/>
      <c r="P246"/>
      <c r="Q246"/>
      <c r="R246"/>
      <c r="S246"/>
      <c r="T246"/>
      <c r="U246"/>
      <c r="V246"/>
      <c r="W246"/>
      <c r="X246" s="131"/>
      <c r="Y246" s="131"/>
      <c r="Z246" s="131"/>
      <c r="AA246" s="131"/>
      <c r="AB246" s="131"/>
      <c r="AC246" s="131"/>
      <c r="AD246" s="131"/>
      <c r="AE246" s="131"/>
      <c r="AF246" s="131"/>
      <c r="AG246" s="131"/>
      <c r="AH246" s="131"/>
      <c r="AI246" s="131"/>
      <c r="AJ246" s="131"/>
      <c r="AK246" s="131"/>
      <c r="AL246" s="131"/>
      <c r="AM246" s="131"/>
      <c r="AN246" s="131"/>
      <c r="AO246" s="131"/>
      <c r="AP246" s="131"/>
      <c r="AQ246" s="131"/>
      <c r="AR246" s="131"/>
      <c r="BF246" s="65"/>
      <c r="BG246" s="65"/>
      <c r="BH246" s="65"/>
      <c r="BI246" s="65"/>
      <c r="BJ246" s="65"/>
      <c r="BK246" s="65"/>
      <c r="BL246" s="65"/>
      <c r="BM246" s="65"/>
      <c r="BN246" s="65"/>
      <c r="BO246" s="65"/>
      <c r="BP246" s="65"/>
      <c r="BQ246" s="65"/>
      <c r="BR246" s="65"/>
      <c r="BS246" s="65"/>
    </row>
    <row r="247" spans="1:71" s="64" customFormat="1" outlineLevel="1">
      <c r="A247" s="65"/>
      <c r="B247" s="93" t="s">
        <v>1035</v>
      </c>
      <c r="C247" s="89" t="s">
        <v>1036</v>
      </c>
      <c r="D247" s="510" t="s">
        <v>1531</v>
      </c>
      <c r="E247" s="91" t="str">
        <f>EDID!E207</f>
        <v>78</v>
      </c>
      <c r="F247" s="92"/>
      <c r="G247"/>
      <c r="H247"/>
      <c r="I247"/>
      <c r="J247"/>
      <c r="K247"/>
      <c r="L247"/>
      <c r="M247"/>
      <c r="N247"/>
      <c r="O247"/>
      <c r="P247"/>
      <c r="Q247"/>
      <c r="R247"/>
      <c r="S247"/>
      <c r="T247"/>
      <c r="U247"/>
      <c r="V247"/>
      <c r="W247"/>
      <c r="X247" s="131"/>
      <c r="Y247" s="131"/>
      <c r="Z247" s="131"/>
      <c r="AA247" s="131"/>
      <c r="AB247" s="131"/>
      <c r="AC247" s="131"/>
      <c r="AD247" s="131"/>
      <c r="AE247" s="131"/>
      <c r="AF247" s="131"/>
      <c r="AG247" s="131"/>
      <c r="AH247" s="131"/>
      <c r="AI247" s="131"/>
      <c r="AJ247" s="131"/>
      <c r="AK247" s="131"/>
      <c r="AL247" s="131"/>
      <c r="AM247" s="131"/>
      <c r="AN247" s="131"/>
      <c r="AO247" s="131"/>
      <c r="AP247" s="131"/>
      <c r="AQ247" s="131"/>
      <c r="AR247" s="131"/>
      <c r="BF247" s="65"/>
      <c r="BG247" s="65"/>
      <c r="BH247" s="65"/>
      <c r="BI247" s="65"/>
      <c r="BJ247" s="65"/>
      <c r="BK247" s="65"/>
      <c r="BL247" s="65"/>
      <c r="BM247" s="65"/>
      <c r="BN247" s="65"/>
      <c r="BO247" s="65"/>
      <c r="BP247" s="65"/>
      <c r="BQ247" s="65"/>
      <c r="BR247" s="65"/>
      <c r="BS247" s="65"/>
    </row>
    <row r="248" spans="1:71" s="64" customFormat="1" outlineLevel="1">
      <c r="A248" s="65"/>
      <c r="B248" s="93" t="s">
        <v>1035</v>
      </c>
      <c r="C248" s="89" t="s">
        <v>1036</v>
      </c>
      <c r="D248" s="510" t="s">
        <v>1533</v>
      </c>
      <c r="E248" s="91" t="str">
        <f>EDID!E208</f>
        <v>00</v>
      </c>
      <c r="F248" s="92"/>
      <c r="G248"/>
      <c r="H248"/>
      <c r="I248"/>
      <c r="J248"/>
      <c r="K248"/>
      <c r="L248"/>
      <c r="M248"/>
      <c r="N248"/>
      <c r="O248"/>
      <c r="P248"/>
      <c r="Q248"/>
      <c r="R248"/>
      <c r="S248"/>
      <c r="T248"/>
      <c r="U248"/>
      <c r="V248"/>
      <c r="W248"/>
      <c r="X248" s="131"/>
      <c r="Y248" s="131"/>
      <c r="Z248" s="131"/>
      <c r="AA248" s="131"/>
      <c r="AB248" s="131"/>
      <c r="AC248" s="131"/>
      <c r="AD248" s="131"/>
      <c r="AE248" s="131"/>
      <c r="AF248" s="131"/>
      <c r="AG248" s="131"/>
      <c r="AH248" s="131"/>
      <c r="AI248" s="131"/>
      <c r="AJ248" s="131"/>
      <c r="AK248" s="131"/>
      <c r="AL248" s="131"/>
      <c r="AM248" s="131"/>
      <c r="AN248" s="131"/>
      <c r="AO248" s="131"/>
      <c r="AP248" s="131"/>
      <c r="AQ248" s="131"/>
      <c r="AR248" s="131"/>
      <c r="BF248" s="65"/>
      <c r="BG248" s="65"/>
      <c r="BH248" s="65"/>
      <c r="BI248" s="65"/>
      <c r="BJ248" s="65"/>
      <c r="BK248" s="65"/>
      <c r="BL248" s="65"/>
      <c r="BM248" s="65"/>
      <c r="BN248" s="65"/>
      <c r="BO248" s="65"/>
      <c r="BP248" s="65"/>
      <c r="BQ248" s="65"/>
      <c r="BR248" s="65"/>
      <c r="BS248" s="65"/>
    </row>
    <row r="249" spans="1:71" s="64" customFormat="1" outlineLevel="1">
      <c r="A249" s="65"/>
      <c r="B249" s="93" t="s">
        <v>1035</v>
      </c>
      <c r="C249" s="89" t="s">
        <v>1036</v>
      </c>
      <c r="D249" s="510" t="s">
        <v>1535</v>
      </c>
      <c r="E249" s="91" t="str">
        <f>EDID!E209</f>
        <v>00</v>
      </c>
      <c r="F249" s="92"/>
      <c r="G249"/>
      <c r="H249"/>
      <c r="I249"/>
      <c r="J249"/>
      <c r="K249"/>
      <c r="L249"/>
      <c r="M249"/>
      <c r="N249"/>
      <c r="O249"/>
      <c r="P249"/>
      <c r="Q249"/>
      <c r="R249"/>
      <c r="S249"/>
      <c r="T249"/>
      <c r="U249"/>
      <c r="V249"/>
      <c r="W249"/>
      <c r="X249" s="131"/>
      <c r="Y249" s="131"/>
      <c r="Z249" s="131"/>
      <c r="AA249" s="131"/>
      <c r="AB249" s="131"/>
      <c r="AC249" s="131"/>
      <c r="AD249" s="131"/>
      <c r="AE249" s="131"/>
      <c r="AF249" s="131"/>
      <c r="AG249" s="131"/>
      <c r="AH249" s="131"/>
      <c r="AI249" s="131"/>
      <c r="AJ249" s="131"/>
      <c r="AK249" s="131"/>
      <c r="AL249" s="131"/>
      <c r="AM249" s="131"/>
      <c r="AN249" s="131"/>
      <c r="AO249" s="131"/>
      <c r="AP249" s="131"/>
      <c r="AQ249" s="131"/>
      <c r="AR249" s="131"/>
      <c r="BF249" s="65"/>
      <c r="BG249" s="65"/>
      <c r="BH249" s="65"/>
      <c r="BI249" s="65"/>
      <c r="BJ249" s="65"/>
      <c r="BK249" s="65"/>
      <c r="BL249" s="65"/>
      <c r="BM249" s="65"/>
      <c r="BN249" s="65"/>
      <c r="BO249" s="65"/>
      <c r="BP249" s="65"/>
      <c r="BQ249" s="65"/>
      <c r="BR249" s="65"/>
      <c r="BS249" s="65"/>
    </row>
    <row r="250" spans="1:71" s="64" customFormat="1" outlineLevel="1">
      <c r="A250" s="65"/>
      <c r="B250" s="93" t="s">
        <v>1035</v>
      </c>
      <c r="C250" s="89" t="s">
        <v>1036</v>
      </c>
      <c r="D250" s="510" t="s">
        <v>1537</v>
      </c>
      <c r="E250" s="91" t="str">
        <f>EDID!E210</f>
        <v>00</v>
      </c>
      <c r="F250" s="92"/>
      <c r="G250"/>
      <c r="H250"/>
      <c r="I250"/>
      <c r="J250"/>
      <c r="K250"/>
      <c r="L250"/>
      <c r="M250"/>
      <c r="N250"/>
      <c r="O250"/>
      <c r="P250"/>
      <c r="Q250"/>
      <c r="R250"/>
      <c r="S250"/>
      <c r="T250"/>
      <c r="U250"/>
      <c r="V250"/>
      <c r="W250"/>
      <c r="X250" s="131"/>
      <c r="Y250" s="131"/>
      <c r="Z250" s="131"/>
      <c r="AA250" s="131"/>
      <c r="AB250" s="131"/>
      <c r="AC250" s="131"/>
      <c r="AD250" s="131"/>
      <c r="AE250" s="131"/>
      <c r="AF250" s="131"/>
      <c r="AG250" s="131"/>
      <c r="AH250" s="131"/>
      <c r="AI250" s="131"/>
      <c r="AJ250" s="131"/>
      <c r="AK250" s="131"/>
      <c r="AL250" s="131"/>
      <c r="AM250" s="131"/>
      <c r="AN250" s="131"/>
      <c r="AO250" s="131"/>
      <c r="AP250" s="131"/>
      <c r="AQ250" s="131"/>
      <c r="AR250" s="131"/>
      <c r="BF250" s="65"/>
      <c r="BG250" s="65"/>
      <c r="BH250" s="65"/>
      <c r="BI250" s="65"/>
      <c r="BJ250" s="65"/>
      <c r="BK250" s="65"/>
      <c r="BL250" s="65"/>
      <c r="BM250" s="65"/>
      <c r="BN250" s="65"/>
      <c r="BO250" s="65"/>
      <c r="BP250" s="65"/>
      <c r="BQ250" s="65"/>
      <c r="BR250" s="65"/>
      <c r="BS250" s="65"/>
    </row>
    <row r="251" spans="1:71" s="64" customFormat="1" outlineLevel="1">
      <c r="A251" s="65"/>
      <c r="B251" s="93" t="s">
        <v>1035</v>
      </c>
      <c r="C251" s="89" t="s">
        <v>1036</v>
      </c>
      <c r="D251" s="510" t="s">
        <v>1539</v>
      </c>
      <c r="E251" s="91" t="str">
        <f>EDID!E211</f>
        <v>18</v>
      </c>
      <c r="F251" s="92"/>
      <c r="G251"/>
      <c r="H251"/>
      <c r="I251"/>
      <c r="J251"/>
      <c r="K251"/>
      <c r="L251"/>
      <c r="M251"/>
      <c r="N251"/>
      <c r="O251"/>
      <c r="P251"/>
      <c r="Q251"/>
      <c r="R251"/>
      <c r="S251"/>
      <c r="T251"/>
      <c r="U251"/>
      <c r="V251"/>
      <c r="W251"/>
      <c r="X251" s="131"/>
      <c r="Y251" s="131"/>
      <c r="Z251" s="131"/>
      <c r="AA251" s="131"/>
      <c r="AB251" s="131"/>
      <c r="AC251" s="131"/>
      <c r="AD251" s="131"/>
      <c r="AE251" s="131"/>
      <c r="AF251" s="131"/>
      <c r="AG251" s="131"/>
      <c r="AH251" s="131"/>
      <c r="AI251" s="131"/>
      <c r="AJ251" s="131"/>
      <c r="AK251" s="131"/>
      <c r="AL251" s="131"/>
      <c r="AM251" s="131"/>
      <c r="AN251" s="131"/>
      <c r="AO251" s="131"/>
      <c r="AP251" s="131"/>
      <c r="AQ251" s="131"/>
      <c r="AR251" s="131"/>
      <c r="BF251" s="65"/>
      <c r="BG251" s="65"/>
      <c r="BH251" s="65"/>
      <c r="BI251" s="65"/>
      <c r="BJ251" s="65"/>
      <c r="BK251" s="65"/>
      <c r="BL251" s="65"/>
      <c r="BM251" s="65"/>
      <c r="BN251" s="65"/>
      <c r="BO251" s="65"/>
      <c r="BP251" s="65"/>
      <c r="BQ251" s="65"/>
      <c r="BR251" s="65"/>
      <c r="BS251" s="65"/>
    </row>
    <row r="252" spans="1:71" s="64" customFormat="1" outlineLevel="1">
      <c r="A252" s="65"/>
      <c r="B252" s="93" t="s">
        <v>1035</v>
      </c>
      <c r="C252" s="89" t="s">
        <v>1036</v>
      </c>
      <c r="D252" s="510" t="s">
        <v>1541</v>
      </c>
      <c r="E252" s="91" t="str">
        <f>EDID!E212</f>
        <v>28</v>
      </c>
      <c r="F252" s="92"/>
      <c r="G252"/>
      <c r="H252"/>
      <c r="I252"/>
      <c r="J252"/>
      <c r="K252"/>
      <c r="L252"/>
      <c r="M252"/>
      <c r="N252"/>
      <c r="O252"/>
      <c r="P252"/>
      <c r="Q252"/>
      <c r="R252"/>
      <c r="S252"/>
      <c r="T252"/>
      <c r="U252"/>
      <c r="V252"/>
      <c r="W252"/>
      <c r="X252" s="131"/>
      <c r="Y252" s="131"/>
      <c r="Z252" s="131"/>
      <c r="AA252" s="131"/>
      <c r="AB252" s="131"/>
      <c r="AC252" s="131"/>
      <c r="AD252" s="131"/>
      <c r="AE252" s="131"/>
      <c r="AF252" s="131"/>
      <c r="AG252" s="131"/>
      <c r="AH252" s="131"/>
      <c r="AI252" s="131"/>
      <c r="AJ252" s="131"/>
      <c r="AK252" s="131"/>
      <c r="AL252" s="131"/>
      <c r="AM252" s="131"/>
      <c r="AN252" s="131"/>
      <c r="AO252" s="131"/>
      <c r="AP252" s="131"/>
      <c r="AQ252" s="131"/>
      <c r="AR252" s="131"/>
      <c r="BF252" s="65"/>
      <c r="BG252" s="65"/>
      <c r="BH252" s="65"/>
      <c r="BI252" s="65"/>
      <c r="BJ252" s="65"/>
      <c r="BK252" s="65"/>
      <c r="BL252" s="65"/>
      <c r="BM252" s="65"/>
      <c r="BN252" s="65"/>
      <c r="BO252" s="65"/>
      <c r="BP252" s="65"/>
      <c r="BQ252" s="65"/>
      <c r="BR252" s="65"/>
      <c r="BS252" s="65"/>
    </row>
    <row r="253" spans="1:71" s="64" customFormat="1" outlineLevel="1">
      <c r="A253" s="65"/>
      <c r="B253" s="93" t="s">
        <v>1035</v>
      </c>
      <c r="C253" s="89" t="s">
        <v>1036</v>
      </c>
      <c r="D253" s="510" t="s">
        <v>1544</v>
      </c>
      <c r="E253" s="91" t="str">
        <f>EDID!E213</f>
        <v>3C</v>
      </c>
      <c r="F253" s="92"/>
      <c r="G253"/>
      <c r="H253"/>
      <c r="I253"/>
      <c r="J253"/>
      <c r="K253"/>
      <c r="L253"/>
      <c r="M253"/>
      <c r="N253"/>
      <c r="O253"/>
      <c r="P253"/>
      <c r="Q253"/>
      <c r="R253"/>
      <c r="S253"/>
      <c r="T253"/>
      <c r="U253"/>
      <c r="V253"/>
      <c r="W253"/>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BF253" s="65"/>
      <c r="BG253" s="65"/>
      <c r="BH253" s="65"/>
      <c r="BI253" s="65"/>
      <c r="BJ253" s="65"/>
      <c r="BK253" s="65"/>
      <c r="BL253" s="65"/>
      <c r="BM253" s="65"/>
      <c r="BN253" s="65"/>
      <c r="BO253" s="65"/>
      <c r="BP253" s="65"/>
      <c r="BQ253" s="65"/>
      <c r="BR253" s="65"/>
      <c r="BS253" s="65"/>
    </row>
    <row r="254" spans="1:71" s="64" customFormat="1" outlineLevel="1">
      <c r="A254" s="65"/>
      <c r="B254" s="93" t="s">
        <v>1035</v>
      </c>
      <c r="C254" s="89" t="s">
        <v>1036</v>
      </c>
      <c r="D254" s="510" t="s">
        <v>1545</v>
      </c>
      <c r="E254" s="91" t="str">
        <f>EDID!E214</f>
        <v>38</v>
      </c>
      <c r="F254" s="92"/>
      <c r="G254"/>
      <c r="H254"/>
      <c r="I254"/>
      <c r="J254"/>
      <c r="K254"/>
      <c r="L254"/>
      <c r="M254"/>
      <c r="N254"/>
      <c r="O254"/>
      <c r="P254"/>
      <c r="Q254"/>
      <c r="R254"/>
      <c r="S254"/>
      <c r="T254"/>
      <c r="U254"/>
      <c r="V254"/>
      <c r="W254"/>
      <c r="X254" s="131"/>
      <c r="Y254" s="131"/>
      <c r="Z254" s="131"/>
      <c r="AA254" s="131"/>
      <c r="AB254" s="131"/>
      <c r="AC254" s="131"/>
      <c r="AD254" s="131"/>
      <c r="AE254" s="131"/>
      <c r="AF254" s="131"/>
      <c r="AG254" s="131"/>
      <c r="AH254" s="131"/>
      <c r="AI254" s="131"/>
      <c r="AJ254" s="131"/>
      <c r="AK254" s="131"/>
      <c r="AL254" s="131"/>
      <c r="AM254" s="131"/>
      <c r="AN254" s="131"/>
      <c r="AO254" s="131"/>
      <c r="AP254" s="131"/>
      <c r="AQ254" s="131"/>
      <c r="AR254" s="131"/>
      <c r="BF254" s="65"/>
      <c r="BG254" s="65"/>
      <c r="BH254" s="65"/>
      <c r="BI254" s="65"/>
      <c r="BJ254" s="65"/>
      <c r="BK254" s="65"/>
      <c r="BL254" s="65"/>
      <c r="BM254" s="65"/>
      <c r="BN254" s="65"/>
      <c r="BO254" s="65"/>
      <c r="BP254" s="65"/>
      <c r="BQ254" s="65"/>
      <c r="BR254" s="65"/>
      <c r="BS254" s="65"/>
    </row>
    <row r="255" spans="1:71" s="64" customFormat="1" outlineLevel="1">
      <c r="A255" s="65"/>
      <c r="B255" s="93" t="s">
        <v>1035</v>
      </c>
      <c r="C255" s="89" t="s">
        <v>1036</v>
      </c>
      <c r="D255" s="510" t="s">
        <v>1547</v>
      </c>
      <c r="E255" s="91" t="str">
        <f>EDID!E215</f>
        <v>FA</v>
      </c>
      <c r="F255" s="92"/>
      <c r="G255"/>
      <c r="H255"/>
      <c r="I255"/>
      <c r="J255"/>
      <c r="K255"/>
      <c r="L255"/>
      <c r="M255"/>
      <c r="N255"/>
      <c r="O255"/>
      <c r="P255"/>
      <c r="Q255"/>
      <c r="R255"/>
      <c r="S255"/>
      <c r="T255"/>
      <c r="U255"/>
      <c r="V255"/>
      <c r="W255"/>
      <c r="X255" s="131"/>
      <c r="Y255" s="131"/>
      <c r="Z255" s="131"/>
      <c r="AA255" s="131"/>
      <c r="AB255" s="131"/>
      <c r="AC255" s="131"/>
      <c r="AD255" s="131"/>
      <c r="AE255" s="131"/>
      <c r="AF255" s="131"/>
      <c r="AG255" s="131"/>
      <c r="AH255" s="131"/>
      <c r="AI255" s="131"/>
      <c r="AJ255" s="131"/>
      <c r="AK255" s="131"/>
      <c r="AL255" s="131"/>
      <c r="AM255" s="131"/>
      <c r="AN255" s="131"/>
      <c r="AO255" s="131"/>
      <c r="AP255" s="131"/>
      <c r="AQ255" s="131"/>
      <c r="AR255" s="131"/>
      <c r="BF255" s="65"/>
      <c r="BG255" s="65"/>
      <c r="BH255" s="65"/>
      <c r="BI255" s="65"/>
      <c r="BJ255" s="65"/>
      <c r="BK255" s="65"/>
      <c r="BL255" s="65"/>
      <c r="BM255" s="65"/>
      <c r="BN255" s="65"/>
      <c r="BO255" s="65"/>
      <c r="BP255" s="65"/>
      <c r="BQ255" s="65"/>
      <c r="BR255" s="65"/>
      <c r="BS255" s="65"/>
    </row>
    <row r="256" spans="1:71" s="64" customFormat="1" outlineLevel="1">
      <c r="A256" s="65"/>
      <c r="B256" s="93" t="s">
        <v>1035</v>
      </c>
      <c r="C256" s="89" t="s">
        <v>1036</v>
      </c>
      <c r="D256" s="510" t="s">
        <v>1549</v>
      </c>
      <c r="E256" s="91" t="str">
        <f>EDID!E216</f>
        <v>40</v>
      </c>
      <c r="F256" s="92"/>
      <c r="G256"/>
      <c r="H256"/>
      <c r="I256"/>
      <c r="J256"/>
      <c r="K256"/>
      <c r="L256"/>
      <c r="M256"/>
      <c r="N256"/>
      <c r="O256"/>
      <c r="P256"/>
      <c r="Q256"/>
      <c r="R256"/>
      <c r="S256"/>
      <c r="T256"/>
      <c r="U256"/>
      <c r="V256"/>
      <c r="W256"/>
      <c r="X256" s="131"/>
      <c r="Y256" s="131"/>
      <c r="Z256" s="131"/>
      <c r="AA256" s="131"/>
      <c r="AB256" s="131"/>
      <c r="AC256" s="131"/>
      <c r="AD256" s="131"/>
      <c r="AE256" s="131"/>
      <c r="AF256" s="131"/>
      <c r="AG256" s="131"/>
      <c r="AH256" s="131"/>
      <c r="AI256" s="131"/>
      <c r="AJ256" s="131"/>
      <c r="AK256" s="131"/>
      <c r="AL256" s="131"/>
      <c r="AM256" s="131"/>
      <c r="AN256" s="131"/>
      <c r="AO256" s="131"/>
      <c r="AP256" s="131"/>
      <c r="AQ256" s="131"/>
      <c r="AR256" s="131"/>
      <c r="BF256" s="65"/>
      <c r="BG256" s="65"/>
      <c r="BH256" s="65"/>
      <c r="BI256" s="65"/>
      <c r="BJ256" s="65"/>
      <c r="BK256" s="65"/>
      <c r="BL256" s="65"/>
      <c r="BM256" s="65"/>
      <c r="BN256" s="65"/>
      <c r="BO256" s="65"/>
      <c r="BP256" s="65"/>
      <c r="BQ256" s="65"/>
      <c r="BR256" s="65"/>
      <c r="BS256" s="65"/>
    </row>
    <row r="257" spans="1:71" s="64" customFormat="1" outlineLevel="1">
      <c r="A257" s="65"/>
      <c r="B257" s="93" t="s">
        <v>1035</v>
      </c>
      <c r="C257" s="89" t="s">
        <v>1036</v>
      </c>
      <c r="D257" s="510" t="s">
        <v>1551</v>
      </c>
      <c r="E257" s="91" t="str">
        <f>EDID!E217</f>
        <v>80</v>
      </c>
      <c r="F257" s="92"/>
      <c r="G257"/>
      <c r="H257"/>
      <c r="I257"/>
      <c r="J257"/>
      <c r="K257"/>
      <c r="L257"/>
      <c r="M257"/>
      <c r="N257"/>
      <c r="O257"/>
      <c r="P257"/>
      <c r="Q257"/>
      <c r="R257"/>
      <c r="S257"/>
      <c r="T257"/>
      <c r="U257"/>
      <c r="V257"/>
      <c r="W257"/>
      <c r="X257" s="131"/>
      <c r="Y257" s="131"/>
      <c r="Z257" s="131"/>
      <c r="AA257" s="131"/>
      <c r="AB257" s="131"/>
      <c r="AC257" s="131"/>
      <c r="AD257" s="131"/>
      <c r="AE257" s="131"/>
      <c r="AF257" s="131"/>
      <c r="AG257" s="131"/>
      <c r="AH257" s="131"/>
      <c r="AI257" s="131"/>
      <c r="AJ257" s="131"/>
      <c r="AK257" s="131"/>
      <c r="AL257" s="131"/>
      <c r="AM257" s="131"/>
      <c r="AN257" s="131"/>
      <c r="AO257" s="131"/>
      <c r="AP257" s="131"/>
      <c r="AQ257" s="131"/>
      <c r="AR257" s="131"/>
      <c r="BF257" s="65"/>
      <c r="BG257" s="65"/>
      <c r="BH257" s="65"/>
      <c r="BI257" s="65"/>
      <c r="BJ257" s="65"/>
      <c r="BK257" s="65"/>
      <c r="BL257" s="65"/>
      <c r="BM257" s="65"/>
      <c r="BN257" s="65"/>
      <c r="BO257" s="65"/>
      <c r="BP257" s="65"/>
      <c r="BQ257" s="65"/>
      <c r="BR257" s="65"/>
      <c r="BS257" s="65"/>
    </row>
    <row r="258" spans="1:71" s="64" customFormat="1" outlineLevel="1">
      <c r="A258" s="65"/>
      <c r="B258" s="93" t="s">
        <v>1035</v>
      </c>
      <c r="C258" s="89" t="s">
        <v>1036</v>
      </c>
      <c r="D258" s="510" t="s">
        <v>1553</v>
      </c>
      <c r="E258" s="91" t="str">
        <f>EDID!E218</f>
        <v>0C</v>
      </c>
      <c r="F258" s="92"/>
      <c r="G258"/>
      <c r="H258"/>
      <c r="I258"/>
      <c r="J258"/>
      <c r="K258"/>
      <c r="L258"/>
      <c r="M258"/>
      <c r="N258"/>
      <c r="O258"/>
      <c r="P258"/>
      <c r="Q258"/>
      <c r="R258"/>
      <c r="S258"/>
      <c r="T258"/>
      <c r="U258"/>
      <c r="V258"/>
      <c r="W258"/>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BF258" s="65"/>
      <c r="BG258" s="65"/>
      <c r="BH258" s="65"/>
      <c r="BI258" s="65"/>
      <c r="BJ258" s="65"/>
      <c r="BK258" s="65"/>
      <c r="BL258" s="65"/>
      <c r="BM258" s="65"/>
      <c r="BN258" s="65"/>
      <c r="BO258" s="65"/>
      <c r="BP258" s="65"/>
      <c r="BQ258" s="65"/>
      <c r="BR258" s="65"/>
      <c r="BS258" s="65"/>
    </row>
    <row r="259" spans="1:71" s="64" customFormat="1" outlineLevel="1">
      <c r="A259" s="65"/>
      <c r="B259" s="93" t="s">
        <v>1035</v>
      </c>
      <c r="C259" s="89" t="s">
        <v>1036</v>
      </c>
      <c r="D259" s="510" t="s">
        <v>1555</v>
      </c>
      <c r="E259" s="91" t="str">
        <f>EDID!E219</f>
        <v>70</v>
      </c>
      <c r="F259" s="92"/>
      <c r="G259"/>
      <c r="H259"/>
      <c r="I259"/>
      <c r="J259"/>
      <c r="K259"/>
      <c r="L259"/>
      <c r="M259"/>
      <c r="N259"/>
      <c r="O259"/>
      <c r="P259"/>
      <c r="Q259"/>
      <c r="R259"/>
      <c r="S259"/>
      <c r="T259"/>
      <c r="U259"/>
      <c r="V259"/>
      <c r="W259"/>
      <c r="X259" s="131"/>
      <c r="Y259" s="131"/>
      <c r="Z259" s="131"/>
      <c r="AA259" s="131"/>
      <c r="AB259" s="131"/>
      <c r="AC259" s="131"/>
      <c r="AD259" s="131"/>
      <c r="AE259" s="131"/>
      <c r="AF259" s="131"/>
      <c r="AG259" s="131"/>
      <c r="AH259" s="131"/>
      <c r="AI259" s="131"/>
      <c r="AJ259" s="131"/>
      <c r="AK259" s="131"/>
      <c r="AL259" s="131"/>
      <c r="AM259" s="131"/>
      <c r="AN259" s="131"/>
      <c r="AO259" s="131"/>
      <c r="AP259" s="131"/>
      <c r="AQ259" s="131"/>
      <c r="AR259" s="131"/>
      <c r="BF259" s="65"/>
      <c r="BG259" s="65"/>
      <c r="BH259" s="65"/>
      <c r="BI259" s="65"/>
      <c r="BJ259" s="65"/>
      <c r="BK259" s="65"/>
      <c r="BL259" s="65"/>
      <c r="BM259" s="65"/>
      <c r="BN259" s="65"/>
      <c r="BO259" s="65"/>
      <c r="BP259" s="65"/>
      <c r="BQ259" s="65"/>
      <c r="BR259" s="65"/>
      <c r="BS259" s="65"/>
    </row>
    <row r="260" spans="1:71" s="64" customFormat="1" outlineLevel="1">
      <c r="A260" s="65"/>
      <c r="B260" s="93" t="s">
        <v>1035</v>
      </c>
      <c r="C260" s="89" t="s">
        <v>1036</v>
      </c>
      <c r="D260" s="510" t="s">
        <v>1557</v>
      </c>
      <c r="E260" s="91" t="str">
        <f>EDID!E220</f>
        <v>64</v>
      </c>
      <c r="F260" s="92"/>
      <c r="G260"/>
      <c r="H260"/>
      <c r="I260"/>
      <c r="J260"/>
      <c r="K260"/>
      <c r="L260"/>
      <c r="M260"/>
      <c r="N260"/>
      <c r="O260"/>
      <c r="P260"/>
      <c r="Q260"/>
      <c r="R260"/>
      <c r="S260"/>
      <c r="T260"/>
      <c r="U260"/>
      <c r="V260"/>
      <c r="W260"/>
      <c r="X260" s="131"/>
      <c r="Y260" s="131"/>
      <c r="Z260" s="131"/>
      <c r="AA260" s="131"/>
      <c r="AB260" s="131"/>
      <c r="AC260" s="131"/>
      <c r="AD260" s="131"/>
      <c r="AE260" s="131"/>
      <c r="AF260" s="131"/>
      <c r="AG260" s="131"/>
      <c r="AH260" s="131"/>
      <c r="AI260" s="131"/>
      <c r="AJ260" s="131"/>
      <c r="AK260" s="131"/>
      <c r="AL260" s="131"/>
      <c r="AM260" s="131"/>
      <c r="AN260" s="131"/>
      <c r="AO260" s="131"/>
      <c r="AP260" s="131"/>
      <c r="AQ260" s="131"/>
      <c r="AR260" s="131"/>
      <c r="BF260" s="65"/>
      <c r="BG260" s="65"/>
      <c r="BH260" s="65"/>
      <c r="BI260" s="65"/>
      <c r="BJ260" s="65"/>
      <c r="BK260" s="65"/>
      <c r="BL260" s="65"/>
      <c r="BM260" s="65"/>
      <c r="BN260" s="65"/>
      <c r="BO260" s="65"/>
      <c r="BP260" s="65"/>
      <c r="BQ260" s="65"/>
      <c r="BR260" s="65"/>
      <c r="BS260" s="65"/>
    </row>
    <row r="261" spans="1:71" s="64" customFormat="1" outlineLevel="1">
      <c r="A261" s="65"/>
      <c r="B261" s="93" t="s">
        <v>1035</v>
      </c>
      <c r="C261" s="89" t="s">
        <v>1036</v>
      </c>
      <c r="D261" s="510" t="s">
        <v>1559</v>
      </c>
      <c r="E261" s="91" t="str">
        <f>EDID!E221</f>
        <v>32</v>
      </c>
      <c r="F261" s="92"/>
      <c r="G261"/>
      <c r="H261"/>
      <c r="I261"/>
      <c r="J261"/>
      <c r="K261"/>
      <c r="L261"/>
      <c r="M261"/>
      <c r="N261"/>
      <c r="O261"/>
      <c r="P261"/>
      <c r="Q261"/>
      <c r="R261"/>
      <c r="S261"/>
      <c r="T261"/>
      <c r="U261"/>
      <c r="V261"/>
      <c r="W261"/>
      <c r="X261" s="131"/>
      <c r="Y261" s="131"/>
      <c r="Z261" s="131"/>
      <c r="AA261" s="131"/>
      <c r="AB261" s="131"/>
      <c r="AC261" s="131"/>
      <c r="AD261" s="131"/>
      <c r="AE261" s="131"/>
      <c r="AF261" s="131"/>
      <c r="AG261" s="131"/>
      <c r="AH261" s="131"/>
      <c r="AI261" s="131"/>
      <c r="AJ261" s="131"/>
      <c r="AK261" s="131"/>
      <c r="AL261" s="131"/>
      <c r="AM261" s="131"/>
      <c r="AN261" s="131"/>
      <c r="AO261" s="131"/>
      <c r="AP261" s="131"/>
      <c r="AQ261" s="131"/>
      <c r="AR261" s="131"/>
      <c r="BF261" s="65"/>
      <c r="BG261" s="65"/>
      <c r="BH261" s="65"/>
      <c r="BI261" s="65"/>
      <c r="BJ261" s="65"/>
      <c r="BK261" s="65"/>
      <c r="BL261" s="65"/>
      <c r="BM261" s="65"/>
      <c r="BN261" s="65"/>
      <c r="BO261" s="65"/>
      <c r="BP261" s="65"/>
      <c r="BQ261" s="65"/>
      <c r="BR261" s="65"/>
      <c r="BS261" s="65"/>
    </row>
    <row r="262" spans="1:71" s="64" customFormat="1" outlineLevel="1">
      <c r="A262" s="65"/>
      <c r="B262" s="93" t="s">
        <v>1035</v>
      </c>
      <c r="C262" s="89" t="s">
        <v>1036</v>
      </c>
      <c r="D262" s="510" t="s">
        <v>1561</v>
      </c>
      <c r="E262" s="91" t="str">
        <f>EDID!E222</f>
        <v>44</v>
      </c>
      <c r="F262" s="92"/>
      <c r="G262"/>
      <c r="H262"/>
      <c r="I262"/>
      <c r="J262"/>
      <c r="K262"/>
      <c r="L262"/>
      <c r="M262"/>
      <c r="N262"/>
      <c r="O262"/>
      <c r="P262"/>
      <c r="Q262"/>
      <c r="R262"/>
      <c r="S262"/>
      <c r="T262"/>
      <c r="U262"/>
      <c r="V262"/>
      <c r="W262"/>
      <c r="X262" s="131"/>
      <c r="Y262" s="131"/>
      <c r="Z262" s="131"/>
      <c r="AA262" s="131"/>
      <c r="AB262" s="131"/>
      <c r="AC262" s="131"/>
      <c r="AD262" s="131"/>
      <c r="AE262" s="131"/>
      <c r="AF262" s="131"/>
      <c r="AG262" s="131"/>
      <c r="AH262" s="131"/>
      <c r="AI262" s="131"/>
      <c r="AJ262" s="131"/>
      <c r="AK262" s="131"/>
      <c r="AL262" s="131"/>
      <c r="AM262" s="131"/>
      <c r="AN262" s="131"/>
      <c r="AO262" s="131"/>
      <c r="AP262" s="131"/>
      <c r="AQ262" s="131"/>
      <c r="AR262" s="131"/>
      <c r="BF262" s="65"/>
      <c r="BG262" s="65"/>
      <c r="BH262" s="65"/>
      <c r="BI262" s="65"/>
      <c r="BJ262" s="65"/>
      <c r="BK262" s="65"/>
      <c r="BL262" s="65"/>
      <c r="BM262" s="65"/>
      <c r="BN262" s="65"/>
      <c r="BO262" s="65"/>
      <c r="BP262" s="65"/>
      <c r="BQ262" s="65"/>
      <c r="BR262" s="65"/>
      <c r="BS262" s="65"/>
    </row>
    <row r="263" spans="1:71" s="64" customFormat="1" outlineLevel="1">
      <c r="A263" s="65"/>
      <c r="B263" s="93" t="s">
        <v>1035</v>
      </c>
      <c r="C263" s="89" t="s">
        <v>1036</v>
      </c>
      <c r="D263" s="510" t="s">
        <v>1563</v>
      </c>
      <c r="E263" s="91" t="str">
        <f>EDID!E223</f>
        <v>00</v>
      </c>
      <c r="F263" s="92"/>
      <c r="G263"/>
      <c r="H263"/>
      <c r="I263"/>
      <c r="J263"/>
      <c r="K263"/>
      <c r="L263"/>
      <c r="M263"/>
      <c r="N263"/>
      <c r="O263"/>
      <c r="P263"/>
      <c r="Q263"/>
      <c r="R263"/>
      <c r="S263"/>
      <c r="T263"/>
      <c r="U263"/>
      <c r="V263"/>
      <c r="W263"/>
      <c r="X263" s="131"/>
      <c r="Y263" s="131"/>
      <c r="Z263" s="131"/>
      <c r="AA263" s="131"/>
      <c r="AB263" s="131"/>
      <c r="AC263" s="131"/>
      <c r="AD263" s="131"/>
      <c r="AE263" s="131"/>
      <c r="AF263" s="131"/>
      <c r="AG263" s="131"/>
      <c r="AH263" s="131"/>
      <c r="AI263" s="131"/>
      <c r="AJ263" s="131"/>
      <c r="AK263" s="131"/>
      <c r="AL263" s="131"/>
      <c r="AM263" s="131"/>
      <c r="AN263" s="131"/>
      <c r="AO263" s="131"/>
      <c r="AP263" s="131"/>
      <c r="AQ263" s="131"/>
      <c r="AR263" s="131"/>
      <c r="BF263" s="65"/>
      <c r="BG263" s="65"/>
      <c r="BH263" s="65"/>
      <c r="BI263" s="65"/>
      <c r="BJ263" s="65"/>
      <c r="BK263" s="65"/>
      <c r="BL263" s="65"/>
      <c r="BM263" s="65"/>
      <c r="BN263" s="65"/>
      <c r="BO263" s="65"/>
      <c r="BP263" s="65"/>
      <c r="BQ263" s="65"/>
      <c r="BR263" s="65"/>
      <c r="BS263" s="65"/>
    </row>
    <row r="264" spans="1:71" s="64" customFormat="1" outlineLevel="1">
      <c r="A264" s="65"/>
      <c r="B264" s="93" t="s">
        <v>1035</v>
      </c>
      <c r="C264" s="89" t="s">
        <v>1036</v>
      </c>
      <c r="D264" s="510" t="s">
        <v>1565</v>
      </c>
      <c r="E264" s="91" t="str">
        <f>EDID!E224</f>
        <v>C0</v>
      </c>
      <c r="F264" s="92"/>
      <c r="G264"/>
      <c r="H264"/>
      <c r="I264"/>
      <c r="J264"/>
      <c r="K264"/>
      <c r="L264"/>
      <c r="M264"/>
      <c r="N264"/>
      <c r="O264"/>
      <c r="P264"/>
      <c r="Q264"/>
      <c r="R264"/>
      <c r="S264"/>
      <c r="T264"/>
      <c r="U264"/>
      <c r="V264"/>
      <c r="W264"/>
      <c r="X264" s="131"/>
      <c r="Y264" s="131"/>
      <c r="Z264" s="131"/>
      <c r="AA264" s="131"/>
      <c r="AB264" s="131"/>
      <c r="AC264" s="131"/>
      <c r="AD264" s="131"/>
      <c r="AE264" s="131"/>
      <c r="AF264" s="131"/>
      <c r="AG264" s="131"/>
      <c r="AH264" s="131"/>
      <c r="AI264" s="131"/>
      <c r="AJ264" s="131"/>
      <c r="AK264" s="131"/>
      <c r="AL264" s="131"/>
      <c r="AM264" s="131"/>
      <c r="AN264" s="131"/>
      <c r="AO264" s="131"/>
      <c r="AP264" s="131"/>
      <c r="AQ264" s="131"/>
      <c r="AR264" s="131"/>
      <c r="BF264" s="65"/>
      <c r="BG264" s="65"/>
      <c r="BH264" s="65"/>
      <c r="BI264" s="65"/>
      <c r="BJ264" s="65"/>
      <c r="BK264" s="65"/>
      <c r="BL264" s="65"/>
      <c r="BM264" s="65"/>
      <c r="BN264" s="65"/>
      <c r="BO264" s="65"/>
      <c r="BP264" s="65"/>
      <c r="BQ264" s="65"/>
      <c r="BR264" s="65"/>
      <c r="BS264" s="65"/>
    </row>
    <row r="265" spans="1:71" s="64" customFormat="1" outlineLevel="1">
      <c r="A265" s="65"/>
      <c r="B265" s="93" t="s">
        <v>1035</v>
      </c>
      <c r="C265" s="89" t="s">
        <v>1036</v>
      </c>
      <c r="D265" s="510" t="s">
        <v>1567</v>
      </c>
      <c r="E265" s="91" t="str">
        <f>EDID!E225</f>
        <v>78</v>
      </c>
      <c r="F265" s="92"/>
      <c r="G265"/>
      <c r="H265"/>
      <c r="I265"/>
      <c r="J265"/>
      <c r="K265"/>
      <c r="L265"/>
      <c r="M265"/>
      <c r="N265"/>
      <c r="O265"/>
      <c r="P265"/>
      <c r="Q265"/>
      <c r="R265"/>
      <c r="S265"/>
      <c r="T265"/>
      <c r="U265"/>
      <c r="V265"/>
      <c r="W265"/>
      <c r="X265" s="131"/>
      <c r="Y265" s="131"/>
      <c r="Z265" s="131"/>
      <c r="AA265" s="131"/>
      <c r="AB265" s="131"/>
      <c r="AC265" s="131"/>
      <c r="AD265" s="131"/>
      <c r="AE265" s="131"/>
      <c r="AF265" s="131"/>
      <c r="AG265" s="131"/>
      <c r="AH265" s="131"/>
      <c r="AI265" s="131"/>
      <c r="AJ265" s="131"/>
      <c r="AK265" s="131"/>
      <c r="AL265" s="131"/>
      <c r="AM265" s="131"/>
      <c r="AN265" s="131"/>
      <c r="AO265" s="131"/>
      <c r="AP265" s="131"/>
      <c r="AQ265" s="131"/>
      <c r="AR265" s="131"/>
      <c r="BF265" s="65"/>
      <c r="BG265" s="65"/>
      <c r="BH265" s="65"/>
      <c r="BI265" s="65"/>
      <c r="BJ265" s="65"/>
      <c r="BK265" s="65"/>
      <c r="BL265" s="65"/>
      <c r="BM265" s="65"/>
      <c r="BN265" s="65"/>
      <c r="BO265" s="65"/>
      <c r="BP265" s="65"/>
      <c r="BQ265" s="65"/>
      <c r="BR265" s="65"/>
      <c r="BS265" s="65"/>
    </row>
    <row r="266" spans="1:71" s="64" customFormat="1" outlineLevel="1">
      <c r="A266" s="65"/>
      <c r="B266" s="93" t="s">
        <v>1035</v>
      </c>
      <c r="C266" s="89" t="s">
        <v>1036</v>
      </c>
      <c r="D266" s="510" t="s">
        <v>1569</v>
      </c>
      <c r="E266" s="91" t="str">
        <f>EDID!E226</f>
        <v>00</v>
      </c>
      <c r="F266" s="92"/>
      <c r="G266"/>
      <c r="H266"/>
      <c r="I266"/>
      <c r="J266"/>
      <c r="K266"/>
      <c r="L266"/>
      <c r="M266"/>
      <c r="N266"/>
      <c r="O266"/>
      <c r="P266"/>
      <c r="Q266"/>
      <c r="R266"/>
      <c r="S266"/>
      <c r="T266"/>
      <c r="U266"/>
      <c r="V266"/>
      <c r="W266"/>
      <c r="X266" s="131"/>
      <c r="Y266" s="131"/>
      <c r="Z266" s="131"/>
      <c r="AA266" s="131"/>
      <c r="AB266" s="131"/>
      <c r="AC266" s="131"/>
      <c r="AD266" s="131"/>
      <c r="AE266" s="131"/>
      <c r="AF266" s="131"/>
      <c r="AG266" s="131"/>
      <c r="AH266" s="131"/>
      <c r="AI266" s="131"/>
      <c r="AJ266" s="131"/>
      <c r="AK266" s="131"/>
      <c r="AL266" s="131"/>
      <c r="AM266" s="131"/>
      <c r="AN266" s="131"/>
      <c r="AO266" s="131"/>
      <c r="AP266" s="131"/>
      <c r="AQ266" s="131"/>
      <c r="AR266" s="131"/>
      <c r="BF266" s="65"/>
      <c r="BG266" s="65"/>
      <c r="BH266" s="65"/>
      <c r="BI266" s="65"/>
      <c r="BJ266" s="65"/>
      <c r="BK266" s="65"/>
      <c r="BL266" s="65"/>
      <c r="BM266" s="65"/>
      <c r="BN266" s="65"/>
      <c r="BO266" s="65"/>
      <c r="BP266" s="65"/>
      <c r="BQ266" s="65"/>
      <c r="BR266" s="65"/>
      <c r="BS266" s="65"/>
    </row>
    <row r="267" spans="1:71" s="64" customFormat="1" outlineLevel="1">
      <c r="A267" s="65"/>
      <c r="B267" s="93" t="s">
        <v>1035</v>
      </c>
      <c r="C267" s="89" t="s">
        <v>1036</v>
      </c>
      <c r="D267" s="510" t="s">
        <v>1571</v>
      </c>
      <c r="E267" s="91" t="str">
        <f>EDID!E227</f>
        <v>00</v>
      </c>
      <c r="F267" s="92"/>
      <c r="G267"/>
      <c r="H267"/>
      <c r="I267"/>
      <c r="J267"/>
      <c r="K267"/>
      <c r="L267"/>
      <c r="M267"/>
      <c r="N267"/>
      <c r="O267"/>
      <c r="P267"/>
      <c r="Q267"/>
      <c r="R267"/>
      <c r="S267"/>
      <c r="T267"/>
      <c r="U267"/>
      <c r="V267"/>
      <c r="W267"/>
      <c r="X267" s="131"/>
      <c r="Y267" s="131"/>
      <c r="Z267" s="131"/>
      <c r="AA267" s="131"/>
      <c r="AB267" s="131"/>
      <c r="AC267" s="131"/>
      <c r="AD267" s="131"/>
      <c r="AE267" s="131"/>
      <c r="AF267" s="131"/>
      <c r="AG267" s="131"/>
      <c r="AH267" s="131"/>
      <c r="AI267" s="131"/>
      <c r="AJ267" s="131"/>
      <c r="AK267" s="131"/>
      <c r="AL267" s="131"/>
      <c r="AM267" s="131"/>
      <c r="AN267" s="131"/>
      <c r="AO267" s="131"/>
      <c r="AP267" s="131"/>
      <c r="AQ267" s="131"/>
      <c r="AR267" s="131"/>
      <c r="BF267" s="65"/>
      <c r="BG267" s="65"/>
      <c r="BH267" s="65"/>
      <c r="BI267" s="65"/>
      <c r="BJ267" s="65"/>
      <c r="BK267" s="65"/>
      <c r="BL267" s="65"/>
      <c r="BM267" s="65"/>
      <c r="BN267" s="65"/>
      <c r="BO267" s="65"/>
      <c r="BP267" s="65"/>
      <c r="BQ267" s="65"/>
      <c r="BR267" s="65"/>
      <c r="BS267" s="65"/>
    </row>
    <row r="268" spans="1:71" s="64" customFormat="1" outlineLevel="1">
      <c r="A268" s="65"/>
      <c r="B268" s="93" t="s">
        <v>1035</v>
      </c>
      <c r="C268" s="89" t="s">
        <v>1036</v>
      </c>
      <c r="D268" s="510" t="s">
        <v>1573</v>
      </c>
      <c r="E268" s="91" t="str">
        <f>EDID!E228</f>
        <v>00</v>
      </c>
      <c r="F268" s="92"/>
      <c r="G268"/>
      <c r="H268"/>
      <c r="I268"/>
      <c r="J268"/>
      <c r="K268"/>
      <c r="L268"/>
      <c r="M268"/>
      <c r="N268"/>
      <c r="O268"/>
      <c r="P268"/>
      <c r="Q268"/>
      <c r="R268"/>
      <c r="S268"/>
      <c r="T268"/>
      <c r="U268"/>
      <c r="V268"/>
      <c r="W268"/>
      <c r="X268" s="131"/>
      <c r="Y268" s="131"/>
      <c r="Z268" s="131"/>
      <c r="AA268" s="131"/>
      <c r="AB268" s="131"/>
      <c r="AC268" s="131"/>
      <c r="AD268" s="131"/>
      <c r="AE268" s="131"/>
      <c r="AF268" s="131"/>
      <c r="AG268" s="131"/>
      <c r="AH268" s="131"/>
      <c r="AI268" s="131"/>
      <c r="AJ268" s="131"/>
      <c r="AK268" s="131"/>
      <c r="AL268" s="131"/>
      <c r="AM268" s="131"/>
      <c r="AN268" s="131"/>
      <c r="AO268" s="131"/>
      <c r="AP268" s="131"/>
      <c r="AQ268" s="131"/>
      <c r="AR268" s="131"/>
      <c r="BF268" s="65"/>
      <c r="BG268" s="65"/>
      <c r="BH268" s="65"/>
      <c r="BI268" s="65"/>
      <c r="BJ268" s="65"/>
      <c r="BK268" s="65"/>
      <c r="BL268" s="65"/>
      <c r="BM268" s="65"/>
      <c r="BN268" s="65"/>
      <c r="BO268" s="65"/>
      <c r="BP268" s="65"/>
      <c r="BQ268" s="65"/>
      <c r="BR268" s="65"/>
      <c r="BS268" s="65"/>
    </row>
    <row r="269" spans="1:71" s="64" customFormat="1" outlineLevel="1">
      <c r="A269" s="65"/>
      <c r="B269" s="93" t="s">
        <v>1035</v>
      </c>
      <c r="C269" s="89" t="s">
        <v>1036</v>
      </c>
      <c r="D269" s="510" t="s">
        <v>1575</v>
      </c>
      <c r="E269" s="91" t="str">
        <f>EDID!E229</f>
        <v>18</v>
      </c>
      <c r="F269" s="92"/>
      <c r="G269"/>
      <c r="H269"/>
      <c r="I269"/>
      <c r="J269"/>
      <c r="K269"/>
      <c r="L269"/>
      <c r="M269"/>
      <c r="N269"/>
      <c r="O269"/>
      <c r="P269"/>
      <c r="Q269"/>
      <c r="R269"/>
      <c r="S269"/>
      <c r="T269"/>
      <c r="U269"/>
      <c r="V269"/>
      <c r="W269"/>
      <c r="X269" s="131"/>
      <c r="Y269" s="131"/>
      <c r="Z269" s="131"/>
      <c r="AA269" s="131"/>
      <c r="AB269" s="131"/>
      <c r="AC269" s="131"/>
      <c r="AD269" s="131"/>
      <c r="AE269" s="131"/>
      <c r="AF269" s="131"/>
      <c r="AG269" s="131"/>
      <c r="AH269" s="131"/>
      <c r="AI269" s="131"/>
      <c r="AJ269" s="131"/>
      <c r="AK269" s="131"/>
      <c r="AL269" s="131"/>
      <c r="AM269" s="131"/>
      <c r="AN269" s="131"/>
      <c r="AO269" s="131"/>
      <c r="AP269" s="131"/>
      <c r="AQ269" s="131"/>
      <c r="AR269" s="131"/>
      <c r="BF269" s="65"/>
      <c r="BG269" s="65"/>
      <c r="BH269" s="65"/>
      <c r="BI269" s="65"/>
      <c r="BJ269" s="65"/>
      <c r="BK269" s="65"/>
      <c r="BL269" s="65"/>
      <c r="BM269" s="65"/>
      <c r="BN269" s="65"/>
      <c r="BO269" s="65"/>
      <c r="BP269" s="65"/>
      <c r="BQ269" s="65"/>
      <c r="BR269" s="65"/>
      <c r="BS269" s="65"/>
    </row>
    <row r="270" spans="1:71" s="64" customFormat="1" outlineLevel="1">
      <c r="A270" s="65"/>
      <c r="B270" s="93" t="s">
        <v>1035</v>
      </c>
      <c r="C270" s="89" t="s">
        <v>1036</v>
      </c>
      <c r="D270" s="510" t="s">
        <v>1577</v>
      </c>
      <c r="E270" s="512" t="str">
        <f>EDID!E230</f>
        <v>00</v>
      </c>
      <c r="F270" s="92"/>
      <c r="G270"/>
      <c r="H270"/>
      <c r="I270"/>
      <c r="J270"/>
      <c r="K270"/>
      <c r="L270"/>
      <c r="M270"/>
      <c r="N270"/>
      <c r="O270"/>
      <c r="P270"/>
      <c r="Q270"/>
      <c r="R270"/>
      <c r="S270"/>
      <c r="T270"/>
      <c r="U270"/>
      <c r="V270"/>
      <c r="W270"/>
      <c r="X270" s="131"/>
      <c r="Y270" s="131"/>
      <c r="Z270" s="131"/>
      <c r="AA270" s="131"/>
      <c r="AB270" s="131"/>
      <c r="AC270" s="131"/>
      <c r="AD270" s="131"/>
      <c r="AE270" s="131"/>
      <c r="AF270" s="131"/>
      <c r="AG270" s="131"/>
      <c r="AH270" s="131"/>
      <c r="AI270" s="131"/>
      <c r="AJ270" s="131"/>
      <c r="AK270" s="131"/>
      <c r="AL270" s="131"/>
      <c r="AM270" s="131"/>
      <c r="AN270" s="131"/>
      <c r="AO270" s="131"/>
      <c r="AP270" s="131"/>
      <c r="AQ270" s="131"/>
      <c r="AR270" s="131"/>
      <c r="BF270" s="65"/>
      <c r="BG270" s="65"/>
      <c r="BH270" s="65"/>
      <c r="BI270" s="65"/>
      <c r="BJ270" s="65"/>
      <c r="BK270" s="65"/>
      <c r="BL270" s="65"/>
      <c r="BM270" s="65"/>
      <c r="BN270" s="65"/>
      <c r="BO270" s="65"/>
      <c r="BP270" s="65"/>
      <c r="BQ270" s="65"/>
      <c r="BR270" s="65"/>
      <c r="BS270" s="65"/>
    </row>
    <row r="271" spans="1:71" s="64" customFormat="1" outlineLevel="1">
      <c r="A271" s="65"/>
      <c r="B271" s="93" t="s">
        <v>1035</v>
      </c>
      <c r="C271" s="89" t="s">
        <v>1036</v>
      </c>
      <c r="D271" s="510" t="s">
        <v>1580</v>
      </c>
      <c r="E271" s="512" t="str">
        <f>EDID!E231</f>
        <v>00</v>
      </c>
      <c r="F271" s="92"/>
      <c r="G271"/>
      <c r="H271"/>
      <c r="I271"/>
      <c r="J271"/>
      <c r="K271"/>
      <c r="L271"/>
      <c r="M271"/>
      <c r="N271"/>
      <c r="O271"/>
      <c r="P271"/>
      <c r="Q271"/>
      <c r="R271"/>
      <c r="S271"/>
      <c r="T271"/>
      <c r="U271"/>
      <c r="V271"/>
      <c r="W271"/>
      <c r="X271" s="131"/>
      <c r="Y271" s="131"/>
      <c r="Z271" s="131"/>
      <c r="AA271" s="131"/>
      <c r="AB271" s="131"/>
      <c r="AC271" s="131"/>
      <c r="AD271" s="131"/>
      <c r="AE271" s="131"/>
      <c r="AF271" s="131"/>
      <c r="AG271" s="131"/>
      <c r="AH271" s="131"/>
      <c r="AI271" s="131"/>
      <c r="AJ271" s="131"/>
      <c r="AK271" s="131"/>
      <c r="AL271" s="131"/>
      <c r="AM271" s="131"/>
      <c r="AN271" s="131"/>
      <c r="AO271" s="131"/>
      <c r="AP271" s="131"/>
      <c r="AQ271" s="131"/>
      <c r="AR271" s="131"/>
      <c r="BF271" s="65"/>
      <c r="BG271" s="65"/>
      <c r="BH271" s="65"/>
      <c r="BI271" s="65"/>
      <c r="BJ271" s="65"/>
      <c r="BK271" s="65"/>
      <c r="BL271" s="65"/>
      <c r="BM271" s="65"/>
      <c r="BN271" s="65"/>
      <c r="BO271" s="65"/>
      <c r="BP271" s="65"/>
      <c r="BQ271" s="65"/>
      <c r="BR271" s="65"/>
      <c r="BS271" s="65"/>
    </row>
    <row r="272" spans="1:71" s="64" customFormat="1" outlineLevel="1">
      <c r="A272" s="65"/>
      <c r="B272" s="93" t="s">
        <v>1035</v>
      </c>
      <c r="C272" s="89" t="s">
        <v>1036</v>
      </c>
      <c r="D272" s="510" t="s">
        <v>1581</v>
      </c>
      <c r="E272" s="512" t="str">
        <f>EDID!E232</f>
        <v>00</v>
      </c>
      <c r="F272" s="92"/>
      <c r="G272"/>
      <c r="H272"/>
      <c r="I272"/>
      <c r="J272"/>
      <c r="K272"/>
      <c r="L272"/>
      <c r="M272"/>
      <c r="N272"/>
      <c r="O272"/>
      <c r="P272"/>
      <c r="Q272"/>
      <c r="R272"/>
      <c r="S272"/>
      <c r="T272"/>
      <c r="U272"/>
      <c r="V272"/>
      <c r="W272"/>
      <c r="X272" s="131"/>
      <c r="Y272" s="131"/>
      <c r="Z272" s="131"/>
      <c r="AA272" s="131"/>
      <c r="AB272" s="131"/>
      <c r="AC272" s="131"/>
      <c r="AD272" s="131"/>
      <c r="AE272" s="131"/>
      <c r="AF272" s="131"/>
      <c r="AG272" s="131"/>
      <c r="AH272" s="131"/>
      <c r="AI272" s="131"/>
      <c r="AJ272" s="131"/>
      <c r="AK272" s="131"/>
      <c r="AL272" s="131"/>
      <c r="AM272" s="131"/>
      <c r="AN272" s="131"/>
      <c r="AO272" s="131"/>
      <c r="AP272" s="131"/>
      <c r="AQ272" s="131"/>
      <c r="AR272" s="131"/>
      <c r="BF272" s="65"/>
      <c r="BG272" s="65"/>
      <c r="BH272" s="65"/>
      <c r="BI272" s="65"/>
      <c r="BJ272" s="65"/>
      <c r="BK272" s="65"/>
      <c r="BL272" s="65"/>
      <c r="BM272" s="65"/>
      <c r="BN272" s="65"/>
      <c r="BO272" s="65"/>
      <c r="BP272" s="65"/>
      <c r="BQ272" s="65"/>
      <c r="BR272" s="65"/>
      <c r="BS272" s="65"/>
    </row>
    <row r="273" spans="1:71" s="64" customFormat="1" outlineLevel="1">
      <c r="A273" s="65"/>
      <c r="B273" s="93" t="s">
        <v>1035</v>
      </c>
      <c r="C273" s="89" t="s">
        <v>1036</v>
      </c>
      <c r="D273" s="510" t="s">
        <v>1582</v>
      </c>
      <c r="E273" s="512" t="str">
        <f>EDID!E233</f>
        <v>00</v>
      </c>
      <c r="F273" s="92"/>
      <c r="G273"/>
      <c r="H273"/>
      <c r="I273"/>
      <c r="J273"/>
      <c r="K273"/>
      <c r="L273"/>
      <c r="M273"/>
      <c r="N273"/>
      <c r="O273"/>
      <c r="P273"/>
      <c r="Q273"/>
      <c r="R273"/>
      <c r="S273"/>
      <c r="T273"/>
      <c r="U273"/>
      <c r="V273"/>
      <c r="W273"/>
      <c r="X273" s="131"/>
      <c r="Y273" s="131"/>
      <c r="Z273" s="131"/>
      <c r="AA273" s="131"/>
      <c r="AB273" s="131"/>
      <c r="AC273" s="131"/>
      <c r="AD273" s="131"/>
      <c r="AE273" s="131"/>
      <c r="AF273" s="131"/>
      <c r="AG273" s="131"/>
      <c r="AH273" s="131"/>
      <c r="AI273" s="131"/>
      <c r="AJ273" s="131"/>
      <c r="AK273" s="131"/>
      <c r="AL273" s="131"/>
      <c r="AM273" s="131"/>
      <c r="AN273" s="131"/>
      <c r="AO273" s="131"/>
      <c r="AP273" s="131"/>
      <c r="AQ273" s="131"/>
      <c r="AR273" s="131"/>
      <c r="BF273" s="65"/>
      <c r="BG273" s="65"/>
      <c r="BH273" s="65"/>
      <c r="BI273" s="65"/>
      <c r="BJ273" s="65"/>
      <c r="BK273" s="65"/>
      <c r="BL273" s="65"/>
      <c r="BM273" s="65"/>
      <c r="BN273" s="65"/>
      <c r="BO273" s="65"/>
      <c r="BP273" s="65"/>
      <c r="BQ273" s="65"/>
      <c r="BR273" s="65"/>
      <c r="BS273" s="65"/>
    </row>
    <row r="274" spans="1:71" s="64" customFormat="1" outlineLevel="1">
      <c r="A274" s="65"/>
      <c r="B274" s="93" t="s">
        <v>1035</v>
      </c>
      <c r="C274" s="89" t="s">
        <v>1036</v>
      </c>
      <c r="D274" s="510" t="s">
        <v>1583</v>
      </c>
      <c r="E274" s="512" t="str">
        <f>EDID!E234</f>
        <v>00</v>
      </c>
      <c r="F274" s="92"/>
      <c r="G274"/>
      <c r="H274"/>
      <c r="I274"/>
      <c r="J274"/>
      <c r="K274"/>
      <c r="L274"/>
      <c r="M274"/>
      <c r="N274"/>
      <c r="O274"/>
      <c r="P274"/>
      <c r="Q274"/>
      <c r="R274"/>
      <c r="S274"/>
      <c r="T274"/>
      <c r="U274"/>
      <c r="V274"/>
      <c r="W274"/>
      <c r="X274" s="131"/>
      <c r="Y274" s="131"/>
      <c r="Z274" s="131"/>
      <c r="AA274" s="131"/>
      <c r="AB274" s="131"/>
      <c r="AC274" s="131"/>
      <c r="AD274" s="131"/>
      <c r="AE274" s="131"/>
      <c r="AF274" s="131"/>
      <c r="AG274" s="131"/>
      <c r="AH274" s="131"/>
      <c r="AI274" s="131"/>
      <c r="AJ274" s="131"/>
      <c r="AK274" s="131"/>
      <c r="AL274" s="131"/>
      <c r="AM274" s="131"/>
      <c r="AN274" s="131"/>
      <c r="AO274" s="131"/>
      <c r="AP274" s="131"/>
      <c r="AQ274" s="131"/>
      <c r="AR274" s="131"/>
      <c r="BF274" s="65"/>
      <c r="BG274" s="65"/>
      <c r="BH274" s="65"/>
      <c r="BI274" s="65"/>
      <c r="BJ274" s="65"/>
      <c r="BK274" s="65"/>
      <c r="BL274" s="65"/>
      <c r="BM274" s="65"/>
      <c r="BN274" s="65"/>
      <c r="BO274" s="65"/>
      <c r="BP274" s="65"/>
      <c r="BQ274" s="65"/>
      <c r="BR274" s="65"/>
      <c r="BS274" s="65"/>
    </row>
    <row r="275" spans="1:71" s="64" customFormat="1" outlineLevel="1">
      <c r="A275" s="65"/>
      <c r="B275" s="93" t="s">
        <v>1035</v>
      </c>
      <c r="C275" s="89" t="s">
        <v>1036</v>
      </c>
      <c r="D275" s="510" t="s">
        <v>1584</v>
      </c>
      <c r="E275" s="512" t="str">
        <f>EDID!E235</f>
        <v>00</v>
      </c>
      <c r="F275" s="92"/>
      <c r="G275"/>
      <c r="H275"/>
      <c r="I275"/>
      <c r="J275"/>
      <c r="K275"/>
      <c r="L275"/>
      <c r="M275"/>
      <c r="N275"/>
      <c r="O275"/>
      <c r="P275"/>
      <c r="Q275"/>
      <c r="R275"/>
      <c r="S275"/>
      <c r="T275"/>
      <c r="U275"/>
      <c r="V275"/>
      <c r="W275"/>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BF275" s="65"/>
      <c r="BG275" s="65"/>
      <c r="BH275" s="65"/>
      <c r="BI275" s="65"/>
      <c r="BJ275" s="65"/>
      <c r="BK275" s="65"/>
      <c r="BL275" s="65"/>
      <c r="BM275" s="65"/>
      <c r="BN275" s="65"/>
      <c r="BO275" s="65"/>
      <c r="BP275" s="65"/>
      <c r="BQ275" s="65"/>
      <c r="BR275" s="65"/>
      <c r="BS275" s="65"/>
    </row>
    <row r="276" spans="1:71" s="64" customFormat="1" outlineLevel="1">
      <c r="A276" s="65"/>
      <c r="B276" s="93" t="s">
        <v>1035</v>
      </c>
      <c r="C276" s="89" t="s">
        <v>1036</v>
      </c>
      <c r="D276" s="510" t="s">
        <v>1585</v>
      </c>
      <c r="E276" s="512" t="str">
        <f>EDID!E236</f>
        <v>00</v>
      </c>
      <c r="F276" s="92"/>
      <c r="G276"/>
      <c r="H276"/>
      <c r="I276"/>
      <c r="J276"/>
      <c r="K276"/>
      <c r="L276"/>
      <c r="M276"/>
      <c r="N276"/>
      <c r="O276"/>
      <c r="P276"/>
      <c r="Q276"/>
      <c r="R276"/>
      <c r="S276"/>
      <c r="T276"/>
      <c r="U276"/>
      <c r="V276"/>
      <c r="W276"/>
      <c r="X276" s="131"/>
      <c r="Y276" s="131"/>
      <c r="Z276" s="131"/>
      <c r="AA276" s="131"/>
      <c r="AB276" s="131"/>
      <c r="AC276" s="131"/>
      <c r="AD276" s="131"/>
      <c r="AE276" s="131"/>
      <c r="AF276" s="131"/>
      <c r="AG276" s="131"/>
      <c r="AH276" s="131"/>
      <c r="AI276" s="131"/>
      <c r="AJ276" s="131"/>
      <c r="AK276" s="131"/>
      <c r="AL276" s="131"/>
      <c r="AM276" s="131"/>
      <c r="AN276" s="131"/>
      <c r="AO276" s="131"/>
      <c r="AP276" s="131"/>
      <c r="AQ276" s="131"/>
      <c r="AR276" s="131"/>
      <c r="BF276" s="65"/>
      <c r="BG276" s="65"/>
      <c r="BH276" s="65"/>
      <c r="BI276" s="65"/>
      <c r="BJ276" s="65"/>
      <c r="BK276" s="65"/>
      <c r="BL276" s="65"/>
      <c r="BM276" s="65"/>
      <c r="BN276" s="65"/>
      <c r="BO276" s="65"/>
      <c r="BP276" s="65"/>
      <c r="BQ276" s="65"/>
      <c r="BR276" s="65"/>
      <c r="BS276" s="65"/>
    </row>
    <row r="277" spans="1:71" s="64" customFormat="1" outlineLevel="1">
      <c r="A277" s="65"/>
      <c r="B277" s="93" t="s">
        <v>1035</v>
      </c>
      <c r="C277" s="89" t="s">
        <v>1036</v>
      </c>
      <c r="D277" s="510" t="s">
        <v>1586</v>
      </c>
      <c r="E277" s="512" t="str">
        <f>EDID!E237</f>
        <v>00</v>
      </c>
      <c r="F277" s="92"/>
      <c r="G277"/>
      <c r="H277"/>
      <c r="I277"/>
      <c r="J277"/>
      <c r="K277"/>
      <c r="L277"/>
      <c r="M277"/>
      <c r="N277"/>
      <c r="O277"/>
      <c r="P277"/>
      <c r="Q277"/>
      <c r="R277"/>
      <c r="S277"/>
      <c r="T277"/>
      <c r="U277"/>
      <c r="V277"/>
      <c r="W277"/>
      <c r="X277" s="131"/>
      <c r="Y277" s="131"/>
      <c r="Z277" s="131"/>
      <c r="AA277" s="131"/>
      <c r="AB277" s="131"/>
      <c r="AC277" s="131"/>
      <c r="AD277" s="131"/>
      <c r="AE277" s="131"/>
      <c r="AF277" s="131"/>
      <c r="AG277" s="131"/>
      <c r="AH277" s="131"/>
      <c r="AI277" s="131"/>
      <c r="AJ277" s="131"/>
      <c r="AK277" s="131"/>
      <c r="AL277" s="131"/>
      <c r="AM277" s="131"/>
      <c r="AN277" s="131"/>
      <c r="AO277" s="131"/>
      <c r="AP277" s="131"/>
      <c r="AQ277" s="131"/>
      <c r="AR277" s="131"/>
      <c r="BF277" s="65"/>
      <c r="BG277" s="65"/>
      <c r="BH277" s="65"/>
      <c r="BI277" s="65"/>
      <c r="BJ277" s="65"/>
      <c r="BK277" s="65"/>
      <c r="BL277" s="65"/>
      <c r="BM277" s="65"/>
      <c r="BN277" s="65"/>
      <c r="BO277" s="65"/>
      <c r="BP277" s="65"/>
      <c r="BQ277" s="65"/>
      <c r="BR277" s="65"/>
      <c r="BS277" s="65"/>
    </row>
    <row r="278" spans="1:71" s="64" customFormat="1" outlineLevel="1">
      <c r="A278" s="65"/>
      <c r="B278" s="93" t="s">
        <v>1035</v>
      </c>
      <c r="C278" s="89" t="s">
        <v>1036</v>
      </c>
      <c r="D278" s="510" t="s">
        <v>1587</v>
      </c>
      <c r="E278" s="512" t="str">
        <f>EDID!E238</f>
        <v>00</v>
      </c>
      <c r="F278" s="92"/>
      <c r="G278"/>
      <c r="H278"/>
      <c r="I278"/>
      <c r="J278"/>
      <c r="K278"/>
      <c r="L278"/>
      <c r="M278"/>
      <c r="N278"/>
      <c r="O278"/>
      <c r="P278"/>
      <c r="Q278"/>
      <c r="R278"/>
      <c r="S278"/>
      <c r="T278"/>
      <c r="U278"/>
      <c r="V278"/>
      <c r="W278"/>
      <c r="X278" s="131"/>
      <c r="Y278" s="131"/>
      <c r="Z278" s="131"/>
      <c r="AA278" s="131"/>
      <c r="AB278" s="131"/>
      <c r="AC278" s="131"/>
      <c r="AD278" s="131"/>
      <c r="AE278" s="131"/>
      <c r="AF278" s="131"/>
      <c r="AG278" s="131"/>
      <c r="AH278" s="131"/>
      <c r="AI278" s="131"/>
      <c r="AJ278" s="131"/>
      <c r="AK278" s="131"/>
      <c r="AL278" s="131"/>
      <c r="AM278" s="131"/>
      <c r="AN278" s="131"/>
      <c r="AO278" s="131"/>
      <c r="AP278" s="131"/>
      <c r="AQ278" s="131"/>
      <c r="AR278" s="131"/>
      <c r="BF278" s="65"/>
      <c r="BG278" s="65"/>
      <c r="BH278" s="65"/>
      <c r="BI278" s="65"/>
      <c r="BJ278" s="65"/>
      <c r="BK278" s="65"/>
      <c r="BL278" s="65"/>
      <c r="BM278" s="65"/>
      <c r="BN278" s="65"/>
      <c r="BO278" s="65"/>
      <c r="BP278" s="65"/>
      <c r="BQ278" s="65"/>
      <c r="BR278" s="65"/>
      <c r="BS278" s="65"/>
    </row>
    <row r="279" spans="1:71" s="64" customFormat="1" outlineLevel="1">
      <c r="A279" s="65"/>
      <c r="B279" s="93" t="s">
        <v>1035</v>
      </c>
      <c r="C279" s="89" t="s">
        <v>1036</v>
      </c>
      <c r="D279" s="510" t="s">
        <v>1588</v>
      </c>
      <c r="E279" s="512" t="str">
        <f>EDID!E239</f>
        <v>00</v>
      </c>
      <c r="F279" s="92"/>
      <c r="G279"/>
      <c r="H279"/>
      <c r="I279"/>
      <c r="J279"/>
      <c r="K279"/>
      <c r="L279"/>
      <c r="M279"/>
      <c r="N279"/>
      <c r="O279"/>
      <c r="P279"/>
      <c r="Q279"/>
      <c r="R279"/>
      <c r="S279"/>
      <c r="T279"/>
      <c r="U279"/>
      <c r="V279"/>
      <c r="W279"/>
      <c r="X279" s="131"/>
      <c r="Y279" s="131"/>
      <c r="Z279" s="131"/>
      <c r="AA279" s="131"/>
      <c r="AB279" s="131"/>
      <c r="AC279" s="131"/>
      <c r="AD279" s="131"/>
      <c r="AE279" s="131"/>
      <c r="AF279" s="131"/>
      <c r="AG279" s="131"/>
      <c r="AH279" s="131"/>
      <c r="AI279" s="131"/>
      <c r="AJ279" s="131"/>
      <c r="AK279" s="131"/>
      <c r="AL279" s="131"/>
      <c r="AM279" s="131"/>
      <c r="AN279" s="131"/>
      <c r="AO279" s="131"/>
      <c r="AP279" s="131"/>
      <c r="AQ279" s="131"/>
      <c r="AR279" s="131"/>
      <c r="BF279" s="65"/>
      <c r="BG279" s="65"/>
      <c r="BH279" s="65"/>
      <c r="BI279" s="65"/>
      <c r="BJ279" s="65"/>
      <c r="BK279" s="65"/>
      <c r="BL279" s="65"/>
      <c r="BM279" s="65"/>
      <c r="BN279" s="65"/>
      <c r="BO279" s="65"/>
      <c r="BP279" s="65"/>
      <c r="BQ279" s="65"/>
      <c r="BR279" s="65"/>
      <c r="BS279" s="65"/>
    </row>
    <row r="280" spans="1:71" s="64" customFormat="1" outlineLevel="1">
      <c r="A280" s="65"/>
      <c r="B280" s="93" t="s">
        <v>1035</v>
      </c>
      <c r="C280" s="89" t="s">
        <v>1036</v>
      </c>
      <c r="D280" s="510" t="s">
        <v>1589</v>
      </c>
      <c r="E280" s="512" t="str">
        <f>EDID!E240</f>
        <v>00</v>
      </c>
      <c r="F280" s="92"/>
      <c r="G280"/>
      <c r="H280"/>
      <c r="I280"/>
      <c r="J280"/>
      <c r="K280"/>
      <c r="L280"/>
      <c r="M280"/>
      <c r="N280"/>
      <c r="O280"/>
      <c r="P280"/>
      <c r="Q280"/>
      <c r="R280"/>
      <c r="S280"/>
      <c r="T280"/>
      <c r="U280"/>
      <c r="V280"/>
      <c r="W280"/>
      <c r="X280" s="131"/>
      <c r="Y280" s="131"/>
      <c r="Z280" s="131"/>
      <c r="AA280" s="131"/>
      <c r="AB280" s="131"/>
      <c r="AC280" s="131"/>
      <c r="AD280" s="131"/>
      <c r="AE280" s="131"/>
      <c r="AF280" s="131"/>
      <c r="AG280" s="131"/>
      <c r="AH280" s="131"/>
      <c r="AI280" s="131"/>
      <c r="AJ280" s="131"/>
      <c r="AK280" s="131"/>
      <c r="AL280" s="131"/>
      <c r="AM280" s="131"/>
      <c r="AN280" s="131"/>
      <c r="AO280" s="131"/>
      <c r="AP280" s="131"/>
      <c r="AQ280" s="131"/>
      <c r="AR280" s="131"/>
      <c r="BF280" s="65"/>
      <c r="BG280" s="65"/>
      <c r="BH280" s="65"/>
      <c r="BI280" s="65"/>
      <c r="BJ280" s="65"/>
      <c r="BK280" s="65"/>
      <c r="BL280" s="65"/>
      <c r="BM280" s="65"/>
      <c r="BN280" s="65"/>
      <c r="BO280" s="65"/>
      <c r="BP280" s="65"/>
      <c r="BQ280" s="65"/>
      <c r="BR280" s="65"/>
      <c r="BS280" s="65"/>
    </row>
    <row r="281" spans="1:71" s="64" customFormat="1" outlineLevel="1">
      <c r="A281" s="65"/>
      <c r="B281" s="93" t="s">
        <v>1035</v>
      </c>
      <c r="C281" s="89" t="s">
        <v>1036</v>
      </c>
      <c r="D281" s="510" t="s">
        <v>1590</v>
      </c>
      <c r="E281" s="512" t="str">
        <f>EDID!E241</f>
        <v>00</v>
      </c>
      <c r="F281" s="92"/>
      <c r="G281"/>
      <c r="H281"/>
      <c r="I281"/>
      <c r="J281"/>
      <c r="K281"/>
      <c r="L281"/>
      <c r="M281"/>
      <c r="N281"/>
      <c r="O281"/>
      <c r="P281"/>
      <c r="Q281"/>
      <c r="R281"/>
      <c r="S281"/>
      <c r="T281"/>
      <c r="U281"/>
      <c r="V281"/>
      <c r="W281"/>
      <c r="X281" s="131"/>
      <c r="Y281" s="131"/>
      <c r="Z281" s="131"/>
      <c r="AA281" s="131"/>
      <c r="AB281" s="131"/>
      <c r="AC281" s="131"/>
      <c r="AD281" s="131"/>
      <c r="AE281" s="131"/>
      <c r="AF281" s="131"/>
      <c r="AG281" s="131"/>
      <c r="AH281" s="131"/>
      <c r="AI281" s="131"/>
      <c r="AJ281" s="131"/>
      <c r="AK281" s="131"/>
      <c r="AL281" s="131"/>
      <c r="AM281" s="131"/>
      <c r="AN281" s="131"/>
      <c r="AO281" s="131"/>
      <c r="AP281" s="131"/>
      <c r="AQ281" s="131"/>
      <c r="AR281" s="131"/>
      <c r="BF281" s="65"/>
      <c r="BG281" s="65"/>
      <c r="BH281" s="65"/>
      <c r="BI281" s="65"/>
      <c r="BJ281" s="65"/>
      <c r="BK281" s="65"/>
      <c r="BL281" s="65"/>
      <c r="BM281" s="65"/>
      <c r="BN281" s="65"/>
      <c r="BO281" s="65"/>
      <c r="BP281" s="65"/>
      <c r="BQ281" s="65"/>
      <c r="BR281" s="65"/>
      <c r="BS281" s="65"/>
    </row>
    <row r="282" spans="1:71" s="64" customFormat="1" outlineLevel="1">
      <c r="A282" s="65"/>
      <c r="B282" s="93" t="s">
        <v>1035</v>
      </c>
      <c r="C282" s="89" t="s">
        <v>1036</v>
      </c>
      <c r="D282" s="510" t="s">
        <v>1591</v>
      </c>
      <c r="E282" s="512" t="str">
        <f>EDID!E242</f>
        <v>00</v>
      </c>
      <c r="F282" s="92"/>
      <c r="G282"/>
      <c r="H282"/>
      <c r="I282"/>
      <c r="J282"/>
      <c r="K282"/>
      <c r="L282"/>
      <c r="M282"/>
      <c r="N282"/>
      <c r="O282"/>
      <c r="P282"/>
      <c r="Q282"/>
      <c r="R282"/>
      <c r="S282"/>
      <c r="T282"/>
      <c r="U282"/>
      <c r="V282"/>
      <c r="W282"/>
      <c r="X282" s="131"/>
      <c r="Y282" s="131"/>
      <c r="Z282" s="131"/>
      <c r="AA282" s="131"/>
      <c r="AB282" s="131"/>
      <c r="AC282" s="131"/>
      <c r="AD282" s="131"/>
      <c r="AE282" s="131"/>
      <c r="AF282" s="131"/>
      <c r="AG282" s="131"/>
      <c r="AH282" s="131"/>
      <c r="AI282" s="131"/>
      <c r="AJ282" s="131"/>
      <c r="AK282" s="131"/>
      <c r="AL282" s="131"/>
      <c r="AM282" s="131"/>
      <c r="AN282" s="131"/>
      <c r="AO282" s="131"/>
      <c r="AP282" s="131"/>
      <c r="AQ282" s="131"/>
      <c r="AR282" s="131"/>
      <c r="BF282" s="65"/>
      <c r="BG282" s="65"/>
      <c r="BH282" s="65"/>
      <c r="BI282" s="65"/>
      <c r="BJ282" s="65"/>
      <c r="BK282" s="65"/>
      <c r="BL282" s="65"/>
      <c r="BM282" s="65"/>
      <c r="BN282" s="65"/>
      <c r="BO282" s="65"/>
      <c r="BP282" s="65"/>
      <c r="BQ282" s="65"/>
      <c r="BR282" s="65"/>
      <c r="BS282" s="65"/>
    </row>
    <row r="283" spans="1:71" s="64" customFormat="1" outlineLevel="1">
      <c r="A283" s="65"/>
      <c r="B283" s="93" t="s">
        <v>1035</v>
      </c>
      <c r="C283" s="89" t="s">
        <v>1036</v>
      </c>
      <c r="D283" s="510" t="s">
        <v>1592</v>
      </c>
      <c r="E283" s="512" t="str">
        <f>EDID!E243</f>
        <v>00</v>
      </c>
      <c r="F283" s="92"/>
      <c r="G283"/>
      <c r="H283"/>
      <c r="I283"/>
      <c r="J283"/>
      <c r="K283"/>
      <c r="L283"/>
      <c r="M283"/>
      <c r="N283"/>
      <c r="O283"/>
      <c r="P283"/>
      <c r="Q283"/>
      <c r="R283"/>
      <c r="S283"/>
      <c r="T283"/>
      <c r="U283"/>
      <c r="V283"/>
      <c r="W283"/>
      <c r="X283" s="131"/>
      <c r="Y283" s="131"/>
      <c r="Z283" s="131"/>
      <c r="AA283" s="131"/>
      <c r="AB283" s="131"/>
      <c r="AC283" s="131"/>
      <c r="AD283" s="131"/>
      <c r="AE283" s="131"/>
      <c r="AF283" s="131"/>
      <c r="AG283" s="131"/>
      <c r="AH283" s="131"/>
      <c r="AI283" s="131"/>
      <c r="AJ283" s="131"/>
      <c r="AK283" s="131"/>
      <c r="AL283" s="131"/>
      <c r="AM283" s="131"/>
      <c r="AN283" s="131"/>
      <c r="AO283" s="131"/>
      <c r="AP283" s="131"/>
      <c r="AQ283" s="131"/>
      <c r="AR283" s="131"/>
      <c r="BF283" s="65"/>
      <c r="BG283" s="65"/>
      <c r="BH283" s="65"/>
      <c r="BI283" s="65"/>
      <c r="BJ283" s="65"/>
      <c r="BK283" s="65"/>
      <c r="BL283" s="65"/>
      <c r="BM283" s="65"/>
      <c r="BN283" s="65"/>
      <c r="BO283" s="65"/>
      <c r="BP283" s="65"/>
      <c r="BQ283" s="65"/>
      <c r="BR283" s="65"/>
      <c r="BS283" s="65"/>
    </row>
    <row r="284" spans="1:71" s="64" customFormat="1" outlineLevel="1">
      <c r="A284" s="65"/>
      <c r="B284" s="93" t="s">
        <v>1035</v>
      </c>
      <c r="C284" s="89" t="s">
        <v>1036</v>
      </c>
      <c r="D284" s="510" t="s">
        <v>1593</v>
      </c>
      <c r="E284" s="512" t="str">
        <f>EDID!E244</f>
        <v>00</v>
      </c>
      <c r="F284" s="92"/>
      <c r="G284"/>
      <c r="H284"/>
      <c r="I284"/>
      <c r="J284"/>
      <c r="K284"/>
      <c r="L284"/>
      <c r="M284"/>
      <c r="N284"/>
      <c r="O284"/>
      <c r="P284"/>
      <c r="Q284"/>
      <c r="R284"/>
      <c r="S284"/>
      <c r="T284"/>
      <c r="U284"/>
      <c r="V284"/>
      <c r="W284"/>
      <c r="X284" s="131"/>
      <c r="Y284" s="131"/>
      <c r="Z284" s="131"/>
      <c r="AA284" s="131"/>
      <c r="AB284" s="131"/>
      <c r="AC284" s="131"/>
      <c r="AD284" s="131"/>
      <c r="AE284" s="131"/>
      <c r="AF284" s="131"/>
      <c r="AG284" s="131"/>
      <c r="AH284" s="131"/>
      <c r="AI284" s="131"/>
      <c r="AJ284" s="131"/>
      <c r="AK284" s="131"/>
      <c r="AL284" s="131"/>
      <c r="AM284" s="131"/>
      <c r="AN284" s="131"/>
      <c r="AO284" s="131"/>
      <c r="AP284" s="131"/>
      <c r="AQ284" s="131"/>
      <c r="AR284" s="131"/>
      <c r="BF284" s="65"/>
      <c r="BG284" s="65"/>
      <c r="BH284" s="65"/>
      <c r="BI284" s="65"/>
      <c r="BJ284" s="65"/>
      <c r="BK284" s="65"/>
      <c r="BL284" s="65"/>
      <c r="BM284" s="65"/>
      <c r="BN284" s="65"/>
      <c r="BO284" s="65"/>
      <c r="BP284" s="65"/>
      <c r="BQ284" s="65"/>
      <c r="BR284" s="65"/>
      <c r="BS284" s="65"/>
    </row>
    <row r="285" spans="1:71" s="64" customFormat="1" outlineLevel="1">
      <c r="A285" s="65"/>
      <c r="B285" s="93" t="s">
        <v>1035</v>
      </c>
      <c r="C285" s="89" t="s">
        <v>1036</v>
      </c>
      <c r="D285" s="510" t="s">
        <v>1594</v>
      </c>
      <c r="E285" s="512" t="str">
        <f>EDID!E245</f>
        <v>00</v>
      </c>
      <c r="F285" s="92"/>
      <c r="G285"/>
      <c r="H285"/>
      <c r="I285"/>
      <c r="J285"/>
      <c r="K285"/>
      <c r="L285"/>
      <c r="M285"/>
      <c r="N285"/>
      <c r="O285"/>
      <c r="P285"/>
      <c r="Q285"/>
      <c r="R285"/>
      <c r="S285"/>
      <c r="T285"/>
      <c r="U285"/>
      <c r="V285"/>
      <c r="W285"/>
      <c r="X285" s="131"/>
      <c r="Y285" s="131"/>
      <c r="Z285" s="131"/>
      <c r="AA285" s="131"/>
      <c r="AB285" s="131"/>
      <c r="AC285" s="131"/>
      <c r="AD285" s="131"/>
      <c r="AE285" s="131"/>
      <c r="AF285" s="131"/>
      <c r="AG285" s="131"/>
      <c r="AH285" s="131"/>
      <c r="AI285" s="131"/>
      <c r="AJ285" s="131"/>
      <c r="AK285" s="131"/>
      <c r="AL285" s="131"/>
      <c r="AM285" s="131"/>
      <c r="AN285" s="131"/>
      <c r="AO285" s="131"/>
      <c r="AP285" s="131"/>
      <c r="AQ285" s="131"/>
      <c r="AR285" s="131"/>
      <c r="BF285" s="65"/>
      <c r="BG285" s="65"/>
      <c r="BH285" s="65"/>
      <c r="BI285" s="65"/>
      <c r="BJ285" s="65"/>
      <c r="BK285" s="65"/>
      <c r="BL285" s="65"/>
      <c r="BM285" s="65"/>
      <c r="BN285" s="65"/>
      <c r="BO285" s="65"/>
      <c r="BP285" s="65"/>
      <c r="BQ285" s="65"/>
      <c r="BR285" s="65"/>
      <c r="BS285" s="65"/>
    </row>
    <row r="286" spans="1:71" s="64" customFormat="1" outlineLevel="1">
      <c r="A286" s="65"/>
      <c r="B286" s="93" t="s">
        <v>1035</v>
      </c>
      <c r="C286" s="89" t="s">
        <v>1036</v>
      </c>
      <c r="D286" s="510" t="s">
        <v>1595</v>
      </c>
      <c r="E286" s="512" t="str">
        <f>EDID!E246</f>
        <v>00</v>
      </c>
      <c r="F286" s="92"/>
      <c r="G286"/>
      <c r="H286"/>
      <c r="I286"/>
      <c r="J286"/>
      <c r="K286"/>
      <c r="L286"/>
      <c r="M286"/>
      <c r="N286"/>
      <c r="O286"/>
      <c r="P286"/>
      <c r="Q286"/>
      <c r="R286"/>
      <c r="S286"/>
      <c r="T286"/>
      <c r="U286"/>
      <c r="V286"/>
      <c r="W286"/>
      <c r="X286" s="131"/>
      <c r="Y286" s="131"/>
      <c r="Z286" s="131"/>
      <c r="AA286" s="131"/>
      <c r="AB286" s="131"/>
      <c r="AC286" s="131"/>
      <c r="AD286" s="131"/>
      <c r="AE286" s="131"/>
      <c r="AF286" s="131"/>
      <c r="AG286" s="131"/>
      <c r="AH286" s="131"/>
      <c r="AI286" s="131"/>
      <c r="AJ286" s="131"/>
      <c r="AK286" s="131"/>
      <c r="AL286" s="131"/>
      <c r="AM286" s="131"/>
      <c r="AN286" s="131"/>
      <c r="AO286" s="131"/>
      <c r="AP286" s="131"/>
      <c r="AQ286" s="131"/>
      <c r="AR286" s="131"/>
      <c r="BF286" s="65"/>
      <c r="BG286" s="65"/>
      <c r="BH286" s="65"/>
      <c r="BI286" s="65"/>
      <c r="BJ286" s="65"/>
      <c r="BK286" s="65"/>
      <c r="BL286" s="65"/>
      <c r="BM286" s="65"/>
      <c r="BN286" s="65"/>
      <c r="BO286" s="65"/>
      <c r="BP286" s="65"/>
      <c r="BQ286" s="65"/>
      <c r="BR286" s="65"/>
      <c r="BS286" s="65"/>
    </row>
    <row r="287" spans="1:71" s="64" customFormat="1" outlineLevel="1">
      <c r="A287" s="65"/>
      <c r="B287" s="93" t="s">
        <v>1035</v>
      </c>
      <c r="C287" s="89" t="s">
        <v>1036</v>
      </c>
      <c r="D287" s="510" t="s">
        <v>1596</v>
      </c>
      <c r="E287" s="512" t="str">
        <f>EDID!E247</f>
        <v>00</v>
      </c>
      <c r="F287" s="92"/>
      <c r="G287"/>
      <c r="H287"/>
      <c r="I287"/>
      <c r="J287"/>
      <c r="K287"/>
      <c r="L287"/>
      <c r="M287"/>
      <c r="N287"/>
      <c r="O287"/>
      <c r="P287"/>
      <c r="Q287"/>
      <c r="R287"/>
      <c r="S287"/>
      <c r="T287"/>
      <c r="U287"/>
      <c r="V287"/>
      <c r="W287"/>
      <c r="X287" s="131"/>
      <c r="Y287" s="131"/>
      <c r="Z287" s="131"/>
      <c r="AA287" s="131"/>
      <c r="AB287" s="131"/>
      <c r="AC287" s="131"/>
      <c r="AD287" s="131"/>
      <c r="AE287" s="131"/>
      <c r="AF287" s="131"/>
      <c r="AG287" s="131"/>
      <c r="AH287" s="131"/>
      <c r="AI287" s="131"/>
      <c r="AJ287" s="131"/>
      <c r="AK287" s="131"/>
      <c r="AL287" s="131"/>
      <c r="AM287" s="131"/>
      <c r="AN287" s="131"/>
      <c r="AO287" s="131"/>
      <c r="AP287" s="131"/>
      <c r="AQ287" s="131"/>
      <c r="AR287" s="131"/>
      <c r="BF287" s="65"/>
      <c r="BG287" s="65"/>
      <c r="BH287" s="65"/>
      <c r="BI287" s="65"/>
      <c r="BJ287" s="65"/>
      <c r="BK287" s="65"/>
      <c r="BL287" s="65"/>
      <c r="BM287" s="65"/>
      <c r="BN287" s="65"/>
      <c r="BO287" s="65"/>
      <c r="BP287" s="65"/>
      <c r="BQ287" s="65"/>
      <c r="BR287" s="65"/>
      <c r="BS287" s="65"/>
    </row>
    <row r="288" spans="1:71" s="64" customFormat="1" outlineLevel="1">
      <c r="A288" s="65"/>
      <c r="B288" s="93" t="s">
        <v>1035</v>
      </c>
      <c r="C288" s="89" t="s">
        <v>1036</v>
      </c>
      <c r="D288" s="510" t="s">
        <v>1597</v>
      </c>
      <c r="E288" s="512" t="str">
        <f>EDID!E248</f>
        <v>00</v>
      </c>
      <c r="F288" s="92"/>
      <c r="G288"/>
      <c r="H288"/>
      <c r="I288"/>
      <c r="J288"/>
      <c r="K288"/>
      <c r="L288"/>
      <c r="M288"/>
      <c r="N288"/>
      <c r="O288"/>
      <c r="P288"/>
      <c r="Q288"/>
      <c r="R288"/>
      <c r="S288"/>
      <c r="T288"/>
      <c r="U288"/>
      <c r="V288"/>
      <c r="W288"/>
      <c r="X288" s="131"/>
      <c r="Y288" s="131"/>
      <c r="Z288" s="131"/>
      <c r="AA288" s="131"/>
      <c r="AB288" s="131"/>
      <c r="AC288" s="131"/>
      <c r="AD288" s="131"/>
      <c r="AE288" s="131"/>
      <c r="AF288" s="131"/>
      <c r="AG288" s="131"/>
      <c r="AH288" s="131"/>
      <c r="AI288" s="131"/>
      <c r="AJ288" s="131"/>
      <c r="AK288" s="131"/>
      <c r="AL288" s="131"/>
      <c r="AM288" s="131"/>
      <c r="AN288" s="131"/>
      <c r="AO288" s="131"/>
      <c r="AP288" s="131"/>
      <c r="AQ288" s="131"/>
      <c r="AR288" s="131"/>
      <c r="BF288" s="65"/>
      <c r="BG288" s="65"/>
      <c r="BH288" s="65"/>
      <c r="BI288" s="65"/>
      <c r="BJ288" s="65"/>
      <c r="BK288" s="65"/>
      <c r="BL288" s="65"/>
      <c r="BM288" s="65"/>
      <c r="BN288" s="65"/>
      <c r="BO288" s="65"/>
      <c r="BP288" s="65"/>
      <c r="BQ288" s="65"/>
      <c r="BR288" s="65"/>
      <c r="BS288" s="65"/>
    </row>
    <row r="289" spans="1:71" s="64" customFormat="1" outlineLevel="1">
      <c r="A289" s="65"/>
      <c r="B289" s="93" t="s">
        <v>1035</v>
      </c>
      <c r="C289" s="89" t="s">
        <v>1036</v>
      </c>
      <c r="D289" s="510" t="s">
        <v>1598</v>
      </c>
      <c r="E289" s="512" t="str">
        <f>EDID!E249</f>
        <v>00</v>
      </c>
      <c r="F289" s="92"/>
      <c r="G289"/>
      <c r="H289"/>
      <c r="I289"/>
      <c r="J289"/>
      <c r="K289"/>
      <c r="L289"/>
      <c r="M289"/>
      <c r="N289"/>
      <c r="O289"/>
      <c r="P289"/>
      <c r="Q289"/>
      <c r="R289"/>
      <c r="S289"/>
      <c r="T289"/>
      <c r="U289"/>
      <c r="V289"/>
      <c r="W289"/>
      <c r="X289" s="131"/>
      <c r="Y289" s="131"/>
      <c r="Z289" s="131"/>
      <c r="AA289" s="131"/>
      <c r="AB289" s="131"/>
      <c r="AC289" s="131"/>
      <c r="AD289" s="131"/>
      <c r="AE289" s="131"/>
      <c r="AF289" s="131"/>
      <c r="AG289" s="131"/>
      <c r="AH289" s="131"/>
      <c r="AI289" s="131"/>
      <c r="AJ289" s="131"/>
      <c r="AK289" s="131"/>
      <c r="AL289" s="131"/>
      <c r="AM289" s="131"/>
      <c r="AN289" s="131"/>
      <c r="AO289" s="131"/>
      <c r="AP289" s="131"/>
      <c r="AQ289" s="131"/>
      <c r="AR289" s="131"/>
      <c r="BF289" s="65"/>
      <c r="BG289" s="65"/>
      <c r="BH289" s="65"/>
      <c r="BI289" s="65"/>
      <c r="BJ289" s="65"/>
      <c r="BK289" s="65"/>
      <c r="BL289" s="65"/>
      <c r="BM289" s="65"/>
      <c r="BN289" s="65"/>
      <c r="BO289" s="65"/>
      <c r="BP289" s="65"/>
      <c r="BQ289" s="65"/>
      <c r="BR289" s="65"/>
      <c r="BS289" s="65"/>
    </row>
    <row r="290" spans="1:71" s="64" customFormat="1" outlineLevel="1">
      <c r="A290" s="65"/>
      <c r="B290" s="93" t="s">
        <v>1035</v>
      </c>
      <c r="C290" s="89" t="s">
        <v>1036</v>
      </c>
      <c r="D290" s="510" t="s">
        <v>1599</v>
      </c>
      <c r="E290" s="512" t="str">
        <f>EDID!E250</f>
        <v>00</v>
      </c>
      <c r="F290" s="92"/>
      <c r="G290"/>
      <c r="H290"/>
      <c r="I290"/>
      <c r="J290"/>
      <c r="K290"/>
      <c r="L290"/>
      <c r="M290"/>
      <c r="N290"/>
      <c r="O290"/>
      <c r="P290"/>
      <c r="Q290"/>
      <c r="R290"/>
      <c r="S290"/>
      <c r="T290"/>
      <c r="U290"/>
      <c r="V290"/>
      <c r="W290"/>
      <c r="X290" s="131"/>
      <c r="Y290" s="131"/>
      <c r="Z290" s="131"/>
      <c r="AA290" s="131"/>
      <c r="AB290" s="131"/>
      <c r="AC290" s="131"/>
      <c r="AD290" s="131"/>
      <c r="AE290" s="131"/>
      <c r="AF290" s="131"/>
      <c r="AG290" s="131"/>
      <c r="AH290" s="131"/>
      <c r="AI290" s="131"/>
      <c r="AJ290" s="131"/>
      <c r="AK290" s="131"/>
      <c r="AL290" s="131"/>
      <c r="AM290" s="131"/>
      <c r="AN290" s="131"/>
      <c r="AO290" s="131"/>
      <c r="AP290" s="131"/>
      <c r="AQ290" s="131"/>
      <c r="AR290" s="131"/>
      <c r="BF290" s="65"/>
      <c r="BG290" s="65"/>
      <c r="BH290" s="65"/>
      <c r="BI290" s="65"/>
      <c r="BJ290" s="65"/>
      <c r="BK290" s="65"/>
      <c r="BL290" s="65"/>
      <c r="BM290" s="65"/>
      <c r="BN290" s="65"/>
      <c r="BO290" s="65"/>
      <c r="BP290" s="65"/>
      <c r="BQ290" s="65"/>
      <c r="BR290" s="65"/>
      <c r="BS290" s="65"/>
    </row>
    <row r="291" spans="1:71" s="64" customFormat="1" outlineLevel="1">
      <c r="A291" s="65"/>
      <c r="B291" s="93" t="s">
        <v>1035</v>
      </c>
      <c r="C291" s="89" t="s">
        <v>1036</v>
      </c>
      <c r="D291" s="510" t="s">
        <v>1600</v>
      </c>
      <c r="E291" s="512" t="str">
        <f>EDID!E251</f>
        <v>00</v>
      </c>
      <c r="F291" s="92"/>
      <c r="G291"/>
      <c r="H291"/>
      <c r="I291"/>
      <c r="J291"/>
      <c r="K291"/>
      <c r="L291"/>
      <c r="M291"/>
      <c r="N291"/>
      <c r="O291"/>
      <c r="P291"/>
      <c r="Q291"/>
      <c r="R291"/>
      <c r="S291"/>
      <c r="T291"/>
      <c r="U291"/>
      <c r="V291"/>
      <c r="W291"/>
      <c r="X291" s="131"/>
      <c r="Y291" s="131"/>
      <c r="Z291" s="131"/>
      <c r="AA291" s="131"/>
      <c r="AB291" s="131"/>
      <c r="AC291" s="131"/>
      <c r="AD291" s="131"/>
      <c r="AE291" s="131"/>
      <c r="AF291" s="131"/>
      <c r="AG291" s="131"/>
      <c r="AH291" s="131"/>
      <c r="AI291" s="131"/>
      <c r="AJ291" s="131"/>
      <c r="AK291" s="131"/>
      <c r="AL291" s="131"/>
      <c r="AM291" s="131"/>
      <c r="AN291" s="131"/>
      <c r="AO291" s="131"/>
      <c r="AP291" s="131"/>
      <c r="AQ291" s="131"/>
      <c r="AR291" s="131"/>
      <c r="BF291" s="65"/>
      <c r="BG291" s="65"/>
      <c r="BH291" s="65"/>
      <c r="BI291" s="65"/>
      <c r="BJ291" s="65"/>
      <c r="BK291" s="65"/>
      <c r="BL291" s="65"/>
      <c r="BM291" s="65"/>
      <c r="BN291" s="65"/>
      <c r="BO291" s="65"/>
      <c r="BP291" s="65"/>
      <c r="BQ291" s="65"/>
      <c r="BR291" s="65"/>
      <c r="BS291" s="65"/>
    </row>
    <row r="292" spans="1:71" s="64" customFormat="1" outlineLevel="1">
      <c r="A292" s="65"/>
      <c r="B292" s="93" t="s">
        <v>1035</v>
      </c>
      <c r="C292" s="89" t="s">
        <v>1036</v>
      </c>
      <c r="D292" s="510" t="s">
        <v>1601</v>
      </c>
      <c r="E292" s="512" t="str">
        <f>EDID!E252</f>
        <v>00</v>
      </c>
      <c r="F292" s="92"/>
      <c r="G292"/>
      <c r="H292"/>
      <c r="I292"/>
      <c r="J292"/>
      <c r="K292"/>
      <c r="L292"/>
      <c r="M292"/>
      <c r="N292"/>
      <c r="O292"/>
      <c r="P292"/>
      <c r="Q292"/>
      <c r="R292"/>
      <c r="S292"/>
      <c r="T292"/>
      <c r="U292"/>
      <c r="V292"/>
      <c r="W292"/>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BF292" s="65"/>
      <c r="BG292" s="65"/>
      <c r="BH292" s="65"/>
      <c r="BI292" s="65"/>
      <c r="BJ292" s="65"/>
      <c r="BK292" s="65"/>
      <c r="BL292" s="65"/>
      <c r="BM292" s="65"/>
      <c r="BN292" s="65"/>
      <c r="BO292" s="65"/>
      <c r="BP292" s="65"/>
      <c r="BQ292" s="65"/>
      <c r="BR292" s="65"/>
      <c r="BS292" s="65"/>
    </row>
    <row r="293" spans="1:71" s="64" customFormat="1" outlineLevel="1">
      <c r="A293" s="65"/>
      <c r="B293" s="93" t="s">
        <v>1035</v>
      </c>
      <c r="C293" s="89" t="s">
        <v>1036</v>
      </c>
      <c r="D293" s="510" t="s">
        <v>1602</v>
      </c>
      <c r="E293" s="512" t="str">
        <f>EDID!E253</f>
        <v>00</v>
      </c>
      <c r="F293" s="92"/>
      <c r="G293"/>
      <c r="H293"/>
      <c r="I293"/>
      <c r="J293"/>
      <c r="K293"/>
      <c r="L293"/>
      <c r="M293"/>
      <c r="N293"/>
      <c r="O293"/>
      <c r="P293"/>
      <c r="Q293"/>
      <c r="R293"/>
      <c r="S293"/>
      <c r="T293"/>
      <c r="U293"/>
      <c r="V293"/>
      <c r="W293"/>
      <c r="X293" s="131"/>
      <c r="Y293" s="131"/>
      <c r="Z293" s="131"/>
      <c r="AA293" s="131"/>
      <c r="AB293" s="131"/>
      <c r="AC293" s="131"/>
      <c r="AD293" s="131"/>
      <c r="AE293" s="131"/>
      <c r="AF293" s="131"/>
      <c r="AG293" s="131"/>
      <c r="AH293" s="131"/>
      <c r="AI293" s="131"/>
      <c r="AJ293" s="131"/>
      <c r="AK293" s="131"/>
      <c r="AL293" s="131"/>
      <c r="AM293" s="131"/>
      <c r="AN293" s="131"/>
      <c r="AO293" s="131"/>
      <c r="AP293" s="131"/>
      <c r="AQ293" s="131"/>
      <c r="AR293" s="131"/>
      <c r="BF293" s="65"/>
      <c r="BG293" s="65"/>
      <c r="BH293" s="65"/>
      <c r="BI293" s="65"/>
      <c r="BJ293" s="65"/>
      <c r="BK293" s="65"/>
      <c r="BL293" s="65"/>
      <c r="BM293" s="65"/>
      <c r="BN293" s="65"/>
      <c r="BO293" s="65"/>
      <c r="BP293" s="65"/>
      <c r="BQ293" s="65"/>
      <c r="BR293" s="65"/>
      <c r="BS293" s="65"/>
    </row>
    <row r="294" spans="1:71" s="64" customFormat="1" outlineLevel="1">
      <c r="A294" s="65"/>
      <c r="B294" s="93" t="s">
        <v>1035</v>
      </c>
      <c r="C294" s="89" t="s">
        <v>1036</v>
      </c>
      <c r="D294" s="510" t="s">
        <v>1603</v>
      </c>
      <c r="E294" s="512" t="str">
        <f>EDID!E254</f>
        <v>00</v>
      </c>
      <c r="F294" s="92"/>
      <c r="G294"/>
      <c r="H294"/>
      <c r="I294"/>
      <c r="J294"/>
      <c r="K294"/>
      <c r="L294"/>
      <c r="M294"/>
      <c r="N294"/>
      <c r="O294"/>
      <c r="P294"/>
      <c r="Q294"/>
      <c r="R294"/>
      <c r="S294"/>
      <c r="T294"/>
      <c r="U294"/>
      <c r="V294"/>
      <c r="W294"/>
      <c r="X294" s="131"/>
      <c r="Y294" s="131"/>
      <c r="Z294" s="131"/>
      <c r="AA294" s="131"/>
      <c r="AB294" s="131"/>
      <c r="AC294" s="131"/>
      <c r="AD294" s="131"/>
      <c r="AE294" s="131"/>
      <c r="AF294" s="131"/>
      <c r="AG294" s="131"/>
      <c r="AH294" s="131"/>
      <c r="AI294" s="131"/>
      <c r="AJ294" s="131"/>
      <c r="AK294" s="131"/>
      <c r="AL294" s="131"/>
      <c r="AM294" s="131"/>
      <c r="AN294" s="131"/>
      <c r="AO294" s="131"/>
      <c r="AP294" s="131"/>
      <c r="AQ294" s="131"/>
      <c r="AR294" s="131"/>
      <c r="BF294" s="65"/>
      <c r="BG294" s="65"/>
      <c r="BH294" s="65"/>
      <c r="BI294" s="65"/>
      <c r="BJ294" s="65"/>
      <c r="BK294" s="65"/>
      <c r="BL294" s="65"/>
      <c r="BM294" s="65"/>
      <c r="BN294" s="65"/>
      <c r="BO294" s="65"/>
      <c r="BP294" s="65"/>
      <c r="BQ294" s="65"/>
      <c r="BR294" s="65"/>
      <c r="BS294" s="65"/>
    </row>
    <row r="295" spans="1:71" s="64" customFormat="1" outlineLevel="1">
      <c r="A295" s="65"/>
      <c r="B295" s="93" t="s">
        <v>1035</v>
      </c>
      <c r="C295" s="89" t="s">
        <v>1036</v>
      </c>
      <c r="D295" s="510" t="s">
        <v>1604</v>
      </c>
      <c r="E295" s="512" t="str">
        <f>EDID!E255</f>
        <v>00</v>
      </c>
      <c r="F295" s="92"/>
      <c r="G295"/>
      <c r="H295"/>
      <c r="I295"/>
      <c r="J295"/>
      <c r="K295"/>
      <c r="L295"/>
      <c r="M295"/>
      <c r="N295"/>
      <c r="O295"/>
      <c r="P295"/>
      <c r="Q295"/>
      <c r="R295"/>
      <c r="S295"/>
      <c r="T295"/>
      <c r="U295"/>
      <c r="V295"/>
      <c r="W295"/>
      <c r="X295" s="131"/>
      <c r="Y295" s="131"/>
      <c r="Z295" s="131"/>
      <c r="AA295" s="131"/>
      <c r="AB295" s="131"/>
      <c r="AC295" s="131"/>
      <c r="AD295" s="131"/>
      <c r="AE295" s="131"/>
      <c r="AF295" s="131"/>
      <c r="AG295" s="131"/>
      <c r="AH295" s="131"/>
      <c r="AI295" s="131"/>
      <c r="AJ295" s="131"/>
      <c r="AK295" s="131"/>
      <c r="AL295" s="131"/>
      <c r="AM295" s="131"/>
      <c r="AN295" s="131"/>
      <c r="AO295" s="131"/>
      <c r="AP295" s="131"/>
      <c r="AQ295" s="131"/>
      <c r="AR295" s="131"/>
      <c r="BF295" s="65"/>
      <c r="BG295" s="65"/>
      <c r="BH295" s="65"/>
      <c r="BI295" s="65"/>
      <c r="BJ295" s="65"/>
      <c r="BK295" s="65"/>
      <c r="BL295" s="65"/>
      <c r="BM295" s="65"/>
      <c r="BN295" s="65"/>
      <c r="BO295" s="65"/>
      <c r="BP295" s="65"/>
      <c r="BQ295" s="65"/>
      <c r="BR295" s="65"/>
      <c r="BS295" s="65"/>
    </row>
    <row r="296" spans="1:71" s="64" customFormat="1" outlineLevel="1">
      <c r="A296" s="65"/>
      <c r="B296" s="93" t="s">
        <v>1035</v>
      </c>
      <c r="C296" s="89" t="s">
        <v>1036</v>
      </c>
      <c r="D296" s="510" t="s">
        <v>1605</v>
      </c>
      <c r="E296" s="512" t="str">
        <f>EDID!E256</f>
        <v>00</v>
      </c>
      <c r="F296" s="92"/>
      <c r="G296"/>
      <c r="H296"/>
      <c r="I296"/>
      <c r="J296"/>
      <c r="K296"/>
      <c r="L296"/>
      <c r="M296"/>
      <c r="N296"/>
      <c r="O296"/>
      <c r="P296"/>
      <c r="Q296"/>
      <c r="R296"/>
      <c r="S296"/>
      <c r="T296"/>
      <c r="U296"/>
      <c r="V296"/>
      <c r="W296"/>
      <c r="X296" s="131"/>
      <c r="Y296" s="131"/>
      <c r="Z296" s="131"/>
      <c r="AA296" s="131"/>
      <c r="AB296" s="131"/>
      <c r="AC296" s="131"/>
      <c r="AD296" s="131"/>
      <c r="AE296" s="131"/>
      <c r="AF296" s="131"/>
      <c r="AG296" s="131"/>
      <c r="AH296" s="131"/>
      <c r="AI296" s="131"/>
      <c r="AJ296" s="131"/>
      <c r="AK296" s="131"/>
      <c r="AL296" s="131"/>
      <c r="AM296" s="131"/>
      <c r="AN296" s="131"/>
      <c r="AO296" s="131"/>
      <c r="AP296" s="131"/>
      <c r="AQ296" s="131"/>
      <c r="AR296" s="131"/>
      <c r="BF296" s="65"/>
      <c r="BG296" s="65"/>
      <c r="BH296" s="65"/>
      <c r="BI296" s="65"/>
      <c r="BJ296" s="65"/>
      <c r="BK296" s="65"/>
      <c r="BL296" s="65"/>
      <c r="BM296" s="65"/>
      <c r="BN296" s="65"/>
      <c r="BO296" s="65"/>
      <c r="BP296" s="65"/>
      <c r="BQ296" s="65"/>
      <c r="BR296" s="65"/>
      <c r="BS296" s="65"/>
    </row>
    <row r="297" spans="1:71" s="64" customFormat="1" outlineLevel="1">
      <c r="A297" s="65"/>
      <c r="B297" s="93" t="s">
        <v>1035</v>
      </c>
      <c r="C297" s="89" t="s">
        <v>1036</v>
      </c>
      <c r="D297" s="510" t="s">
        <v>1606</v>
      </c>
      <c r="E297" s="512" t="str">
        <f>EDID!E257</f>
        <v>00</v>
      </c>
      <c r="F297" s="92"/>
      <c r="G297"/>
      <c r="H297"/>
      <c r="I297"/>
      <c r="J297"/>
      <c r="K297"/>
      <c r="L297"/>
      <c r="M297"/>
      <c r="N297"/>
      <c r="O297"/>
      <c r="P297"/>
      <c r="Q297"/>
      <c r="R297"/>
      <c r="S297"/>
      <c r="T297"/>
      <c r="U297"/>
      <c r="V297"/>
      <c r="W297"/>
      <c r="X297" s="131"/>
      <c r="Y297" s="131"/>
      <c r="Z297" s="131"/>
      <c r="AA297" s="131"/>
      <c r="AB297" s="131"/>
      <c r="AC297" s="131"/>
      <c r="AD297" s="131"/>
      <c r="AE297" s="131"/>
      <c r="AF297" s="131"/>
      <c r="AG297" s="131"/>
      <c r="AH297" s="131"/>
      <c r="AI297" s="131"/>
      <c r="AJ297" s="131"/>
      <c r="AK297" s="131"/>
      <c r="AL297" s="131"/>
      <c r="AM297" s="131"/>
      <c r="AN297" s="131"/>
      <c r="AO297" s="131"/>
      <c r="AP297" s="131"/>
      <c r="AQ297" s="131"/>
      <c r="AR297" s="131"/>
      <c r="BF297" s="65"/>
      <c r="BG297" s="65"/>
      <c r="BH297" s="65"/>
      <c r="BI297" s="65"/>
      <c r="BJ297" s="65"/>
      <c r="BK297" s="65"/>
      <c r="BL297" s="65"/>
      <c r="BM297" s="65"/>
      <c r="BN297" s="65"/>
      <c r="BO297" s="65"/>
      <c r="BP297" s="65"/>
      <c r="BQ297" s="65"/>
      <c r="BR297" s="65"/>
      <c r="BS297" s="65"/>
    </row>
    <row r="298" spans="1:71" outlineLevel="1">
      <c r="B298" s="93" t="s">
        <v>1035</v>
      </c>
      <c r="C298" s="89" t="s">
        <v>1036</v>
      </c>
      <c r="D298" s="510" t="s">
        <v>1607</v>
      </c>
      <c r="E298" s="512" t="str">
        <f>EDID!E258</f>
        <v>00</v>
      </c>
      <c r="F298" s="92"/>
      <c r="G298"/>
      <c r="H298"/>
      <c r="I298"/>
      <c r="J298"/>
      <c r="K298"/>
      <c r="L298"/>
      <c r="M298"/>
      <c r="N298"/>
      <c r="O298"/>
      <c r="P298"/>
      <c r="Q298"/>
      <c r="R298"/>
      <c r="S298"/>
      <c r="T298"/>
      <c r="U298"/>
      <c r="V298"/>
      <c r="W298"/>
      <c r="X298" s="131"/>
      <c r="Y298" s="131"/>
      <c r="Z298" s="131"/>
      <c r="AA298" s="131"/>
      <c r="AB298" s="131"/>
      <c r="AC298" s="131"/>
      <c r="AD298" s="131"/>
      <c r="AE298" s="131"/>
      <c r="AF298" s="131"/>
      <c r="AG298" s="131"/>
      <c r="AH298" s="131"/>
      <c r="AI298" s="131"/>
      <c r="AJ298" s="131"/>
      <c r="AK298" s="131"/>
      <c r="AL298" s="131"/>
      <c r="AM298" s="131"/>
      <c r="AN298" s="131"/>
      <c r="AO298" s="131"/>
      <c r="AP298" s="131"/>
      <c r="AQ298" s="131"/>
      <c r="AR298" s="131"/>
    </row>
    <row r="299" spans="1:71" outlineLevel="1">
      <c r="B299" s="93" t="s">
        <v>1035</v>
      </c>
      <c r="C299" s="89" t="s">
        <v>1036</v>
      </c>
      <c r="D299" s="510" t="s">
        <v>1608</v>
      </c>
      <c r="E299" s="91" t="str">
        <f>EDID!E259</f>
        <v>93</v>
      </c>
      <c r="F299" s="92"/>
      <c r="G299"/>
      <c r="H299"/>
      <c r="I299"/>
      <c r="J299"/>
      <c r="K299"/>
      <c r="L299"/>
      <c r="M299"/>
      <c r="N299"/>
      <c r="O299"/>
      <c r="P299"/>
      <c r="Q299"/>
      <c r="R299"/>
      <c r="S299"/>
      <c r="T299"/>
      <c r="U299"/>
      <c r="V299"/>
      <c r="W299"/>
      <c r="X299" s="131"/>
      <c r="Y299" s="131"/>
      <c r="Z299" s="131"/>
      <c r="AA299" s="131"/>
      <c r="AB299" s="131"/>
      <c r="AC299" s="131"/>
      <c r="AD299" s="131"/>
      <c r="AE299" s="131"/>
      <c r="AF299" s="131"/>
      <c r="AG299" s="131"/>
      <c r="AH299" s="131"/>
      <c r="AI299" s="131"/>
      <c r="AJ299" s="131"/>
      <c r="AK299" s="131"/>
      <c r="AL299" s="131"/>
      <c r="AM299" s="131"/>
      <c r="AN299" s="131"/>
      <c r="AO299" s="131"/>
      <c r="AP299" s="131"/>
      <c r="AQ299" s="131"/>
      <c r="AR299" s="131"/>
    </row>
    <row r="300" spans="1:71">
      <c r="B300" s="84" t="s">
        <v>1032</v>
      </c>
      <c r="C300" s="163" t="s">
        <v>1754</v>
      </c>
      <c r="D300" s="164"/>
      <c r="E300" s="165"/>
      <c r="F300" s="87"/>
      <c r="G300"/>
      <c r="H300"/>
      <c r="I300" s="109"/>
      <c r="Q300"/>
      <c r="R300"/>
      <c r="S300"/>
      <c r="T300"/>
      <c r="U300"/>
      <c r="V300"/>
      <c r="W300"/>
      <c r="X300" s="131"/>
      <c r="AH300" s="131"/>
    </row>
    <row r="301" spans="1:71">
      <c r="B301" s="101" t="str">
        <f>IF(Main_Parameters!$L$22="Non HDCP chip","REMnd","WR8")</f>
        <v>REMnd</v>
      </c>
      <c r="C301" s="89"/>
      <c r="D301" s="510" t="s">
        <v>1755</v>
      </c>
      <c r="E301" s="511" t="s">
        <v>1079</v>
      </c>
      <c r="F301" s="97" t="s">
        <v>1756</v>
      </c>
      <c r="G301"/>
      <c r="H301"/>
      <c r="I301"/>
      <c r="J301"/>
      <c r="K301"/>
      <c r="L301"/>
      <c r="M301"/>
      <c r="N301"/>
      <c r="O301"/>
      <c r="P301"/>
      <c r="Q301"/>
      <c r="R301"/>
      <c r="S301"/>
      <c r="T301"/>
      <c r="U301"/>
      <c r="V301"/>
      <c r="W301"/>
      <c r="X301" s="131"/>
      <c r="AH301" s="131"/>
    </row>
    <row r="302" spans="1:71">
      <c r="B302" s="101" t="str">
        <f>IF(Main_Parameters!$L$22="Non HDCP chip","REMnd","WR8")</f>
        <v>REMnd</v>
      </c>
      <c r="C302" s="89" t="s">
        <v>1757</v>
      </c>
      <c r="D302" s="510" t="s">
        <v>1758</v>
      </c>
      <c r="E302" s="147" t="str">
        <f t="shared" ref="E302:E307" si="14">DEC2HEX(Y302*2^7+Z302*2^6+AA302*2^5+AB302*2^4+AC302*2^3+AD302*2^2+AE302*2^1+AF302,2)</f>
        <v>24</v>
      </c>
      <c r="F302" s="97" t="s">
        <v>1759</v>
      </c>
      <c r="G302"/>
      <c r="H302" s="178" t="s">
        <v>1714</v>
      </c>
      <c r="I302" s="196"/>
      <c r="J302" s="178" t="s">
        <v>1715</v>
      </c>
      <c r="K302" s="196"/>
      <c r="L302" s="203" t="s">
        <v>1760</v>
      </c>
      <c r="M302" s="104" t="s">
        <v>1761</v>
      </c>
      <c r="N302" s="190" t="s">
        <v>1762</v>
      </c>
      <c r="O302" s="104" t="s">
        <v>1763</v>
      </c>
      <c r="P302" s="178" t="s">
        <v>1717</v>
      </c>
      <c r="Q302" s="196"/>
      <c r="R302" s="190" t="s">
        <v>1764</v>
      </c>
      <c r="S302" s="104" t="s">
        <v>1763</v>
      </c>
      <c r="T302" s="178" t="s">
        <v>1719</v>
      </c>
      <c r="U302" s="196"/>
      <c r="V302" s="178" t="s">
        <v>1765</v>
      </c>
      <c r="W302" s="196"/>
      <c r="X302" s="131"/>
      <c r="Y302" s="64">
        <v>0</v>
      </c>
      <c r="Z302" s="64">
        <v>0</v>
      </c>
      <c r="AA302" s="64">
        <f>IF(M302="AutoRes Off",0,1)</f>
        <v>1</v>
      </c>
      <c r="AB302" s="64">
        <f>IF(O302="57clk",0,1)</f>
        <v>0</v>
      </c>
      <c r="AC302" s="64">
        <v>0</v>
      </c>
      <c r="AD302" s="64">
        <f>IF(S302="No",0,1)</f>
        <v>1</v>
      </c>
      <c r="AE302" s="64">
        <v>0</v>
      </c>
      <c r="AF302" s="64">
        <v>0</v>
      </c>
      <c r="AH302" s="131"/>
    </row>
    <row r="303" spans="1:71">
      <c r="B303" s="101" t="str">
        <f>IF(Main_Parameters!$L$22="Non HDCP chip","REMnd","WR8")</f>
        <v>REMnd</v>
      </c>
      <c r="C303" s="89"/>
      <c r="D303" s="510" t="s">
        <v>1766</v>
      </c>
      <c r="E303" s="511" t="s">
        <v>1767</v>
      </c>
      <c r="F303" s="97" t="s">
        <v>1768</v>
      </c>
      <c r="G303"/>
      <c r="H303"/>
      <c r="I303"/>
      <c r="J303"/>
      <c r="K303"/>
      <c r="L303"/>
      <c r="M303"/>
      <c r="N303"/>
      <c r="O303"/>
      <c r="P303"/>
      <c r="Q303"/>
      <c r="R303"/>
      <c r="S303"/>
      <c r="T303"/>
      <c r="U303"/>
      <c r="V303"/>
      <c r="W303"/>
      <c r="X303" s="131"/>
      <c r="AH303" s="131"/>
    </row>
    <row r="304" spans="1:71">
      <c r="B304" s="101" t="str">
        <f>IF(Main_Parameters!$L$22="Non HDCP chip","REMnd","WR8")</f>
        <v>REMnd</v>
      </c>
      <c r="C304" s="89"/>
      <c r="D304" s="510" t="s">
        <v>1769</v>
      </c>
      <c r="E304" s="511" t="s">
        <v>1770</v>
      </c>
      <c r="F304" s="97" t="s">
        <v>1771</v>
      </c>
      <c r="G304"/>
      <c r="H304"/>
      <c r="I304"/>
      <c r="J304"/>
      <c r="K304"/>
      <c r="L304"/>
      <c r="M304"/>
      <c r="N304"/>
      <c r="O304"/>
      <c r="P304"/>
      <c r="Q304"/>
      <c r="R304"/>
      <c r="S304"/>
      <c r="T304"/>
      <c r="U304"/>
      <c r="V304"/>
      <c r="W304"/>
      <c r="X304" s="131"/>
      <c r="AH304" s="131"/>
    </row>
    <row r="305" spans="1:71">
      <c r="B305" s="84" t="s">
        <v>1032</v>
      </c>
      <c r="C305" s="163" t="s">
        <v>1772</v>
      </c>
      <c r="D305" s="164"/>
      <c r="E305" s="165"/>
      <c r="F305" s="87"/>
      <c r="G305"/>
      <c r="H305"/>
      <c r="I305"/>
      <c r="J305"/>
      <c r="K305"/>
      <c r="L305"/>
      <c r="M305"/>
      <c r="N305"/>
      <c r="O305"/>
      <c r="P305"/>
      <c r="Q305"/>
      <c r="R305"/>
      <c r="S305"/>
      <c r="T305"/>
      <c r="U305"/>
      <c r="V305"/>
      <c r="W305"/>
      <c r="X305" s="131"/>
      <c r="AH305" s="131"/>
    </row>
    <row r="306" spans="1:71">
      <c r="B306" s="93" t="s">
        <v>1035</v>
      </c>
      <c r="C306" s="94" t="s">
        <v>1773</v>
      </c>
      <c r="D306" s="513" t="s">
        <v>1774</v>
      </c>
      <c r="E306" s="147" t="str">
        <f t="shared" si="14"/>
        <v>02</v>
      </c>
      <c r="F306" s="97"/>
      <c r="G306"/>
      <c r="H306" s="178" t="s">
        <v>1714</v>
      </c>
      <c r="I306" s="196"/>
      <c r="J306" s="178" t="s">
        <v>1715</v>
      </c>
      <c r="K306" s="196"/>
      <c r="L306" s="178" t="s">
        <v>1686</v>
      </c>
      <c r="M306" s="196"/>
      <c r="N306" s="178" t="s">
        <v>1716</v>
      </c>
      <c r="O306" s="196"/>
      <c r="P306" s="178" t="s">
        <v>1717</v>
      </c>
      <c r="Q306" s="196"/>
      <c r="R306" s="191" t="s">
        <v>1775</v>
      </c>
      <c r="S306" s="104" t="s">
        <v>1776</v>
      </c>
      <c r="T306" s="600" t="s">
        <v>1777</v>
      </c>
      <c r="U306" s="601"/>
      <c r="V306" s="602"/>
      <c r="W306" s="104" t="s">
        <v>1778</v>
      </c>
      <c r="X306" s="131"/>
      <c r="Y306" s="64">
        <v>0</v>
      </c>
      <c r="Z306" s="64">
        <v>0</v>
      </c>
      <c r="AA306" s="64">
        <v>0</v>
      </c>
      <c r="AB306" s="64">
        <v>0</v>
      </c>
      <c r="AC306" s="64">
        <v>0</v>
      </c>
      <c r="AD306" s="64">
        <f>IF(S306="HotPlug",0,1)</f>
        <v>0</v>
      </c>
      <c r="AE306" s="64">
        <v>0</v>
      </c>
      <c r="AF306" s="64">
        <f>IF(W306="0ms",0,IF(W306="50ms",1,IF(W306="100ms",2,3)))</f>
        <v>2</v>
      </c>
      <c r="AH306" s="131"/>
    </row>
    <row r="307" spans="1:71">
      <c r="B307" s="93" t="s">
        <v>1035</v>
      </c>
      <c r="C307" s="94" t="s">
        <v>1779</v>
      </c>
      <c r="D307" s="513" t="s">
        <v>1780</v>
      </c>
      <c r="E307" s="147" t="str">
        <f t="shared" si="14"/>
        <v>10</v>
      </c>
      <c r="F307" s="97"/>
      <c r="G307"/>
      <c r="H307" s="178" t="s">
        <v>1714</v>
      </c>
      <c r="I307" s="196"/>
      <c r="J307" s="178" t="s">
        <v>1715</v>
      </c>
      <c r="K307" s="196"/>
      <c r="L307" s="178" t="s">
        <v>1686</v>
      </c>
      <c r="M307" s="204"/>
      <c r="N307" s="205" t="s">
        <v>1781</v>
      </c>
      <c r="O307" s="104" t="s">
        <v>715</v>
      </c>
      <c r="P307" s="178" t="s">
        <v>1717</v>
      </c>
      <c r="Q307" s="196"/>
      <c r="R307" s="178" t="s">
        <v>1718</v>
      </c>
      <c r="S307" s="196"/>
      <c r="T307" s="190" t="s">
        <v>1719</v>
      </c>
      <c r="U307" s="600" t="s">
        <v>1782</v>
      </c>
      <c r="V307" s="602"/>
      <c r="W307" s="104" t="s">
        <v>1783</v>
      </c>
      <c r="X307" s="131"/>
      <c r="Y307" s="64">
        <v>0</v>
      </c>
      <c r="Z307" s="64">
        <v>0</v>
      </c>
      <c r="AA307" s="64">
        <v>0</v>
      </c>
      <c r="AB307" s="64">
        <f>IF(O307="Manual",0,1)</f>
        <v>1</v>
      </c>
      <c r="AC307" s="64">
        <v>0</v>
      </c>
      <c r="AD307" s="64">
        <v>0</v>
      </c>
      <c r="AE307" s="64">
        <v>0</v>
      </c>
      <c r="AF307" s="64">
        <f>IF(W307="L Out",0,1)</f>
        <v>0</v>
      </c>
      <c r="AH307" s="131"/>
    </row>
    <row r="308" spans="1:71">
      <c r="B308" s="84" t="s">
        <v>1032</v>
      </c>
      <c r="C308" s="163" t="s">
        <v>1784</v>
      </c>
      <c r="D308" s="164"/>
      <c r="E308" s="165"/>
      <c r="F308" s="87"/>
      <c r="G308"/>
      <c r="H308"/>
      <c r="I308" s="109"/>
      <c r="Q308"/>
      <c r="R308"/>
      <c r="S308"/>
      <c r="T308"/>
      <c r="U308"/>
      <c r="V308"/>
      <c r="W308"/>
      <c r="X308" s="131"/>
      <c r="AH308" s="131"/>
    </row>
    <row r="309" spans="1:71" s="64" customFormat="1">
      <c r="A309" s="65"/>
      <c r="B309" s="101" t="str">
        <f>IF(Main_Parameters!$M$4="Disable","REMnd","WR8")</f>
        <v>WR8</v>
      </c>
      <c r="C309" s="89" t="s">
        <v>1785</v>
      </c>
      <c r="D309" s="510" t="s">
        <v>1786</v>
      </c>
      <c r="E309" s="147" t="str">
        <f t="shared" ref="E309:E312" si="15">DEC2HEX(Y309*2^7+Z309*2^6+AA309*2^5+AB309*2^4+AC309*2^3+AD309*2^2+AE309*2^1+AF309,2)</f>
        <v>00</v>
      </c>
      <c r="F309" s="97" t="s">
        <v>1787</v>
      </c>
      <c r="G309"/>
      <c r="H309" s="178" t="s">
        <v>1714</v>
      </c>
      <c r="I309" s="196"/>
      <c r="J309" s="178" t="s">
        <v>1715</v>
      </c>
      <c r="K309" s="196"/>
      <c r="L309" s="178" t="s">
        <v>1686</v>
      </c>
      <c r="M309" s="196"/>
      <c r="N309" s="190" t="s">
        <v>1788</v>
      </c>
      <c r="O309" s="104" t="s">
        <v>1789</v>
      </c>
      <c r="P309" s="178" t="s">
        <v>1717</v>
      </c>
      <c r="Q309" s="196"/>
      <c r="R309" s="178" t="s">
        <v>1718</v>
      </c>
      <c r="S309" s="196"/>
      <c r="T309" s="178" t="s">
        <v>1719</v>
      </c>
      <c r="U309" s="196"/>
      <c r="V309" s="190" t="s">
        <v>1790</v>
      </c>
      <c r="W309" s="104" t="s">
        <v>1789</v>
      </c>
      <c r="X309" s="131"/>
      <c r="Y309" s="64">
        <v>0</v>
      </c>
      <c r="Z309" s="64">
        <v>0</v>
      </c>
      <c r="AA309" s="64">
        <v>0</v>
      </c>
      <c r="AB309" s="64">
        <f>IF(O309="OFF",0,1)</f>
        <v>0</v>
      </c>
      <c r="AC309" s="64">
        <v>0</v>
      </c>
      <c r="AD309" s="64">
        <v>0</v>
      </c>
      <c r="AE309" s="64">
        <v>0</v>
      </c>
      <c r="AF309" s="64">
        <f>IF(W309="OFF",0,1)</f>
        <v>0</v>
      </c>
      <c r="AH309" s="131"/>
      <c r="BF309" s="65"/>
      <c r="BG309" s="65"/>
      <c r="BH309" s="65"/>
      <c r="BI309" s="65"/>
      <c r="BJ309" s="65"/>
      <c r="BK309" s="65"/>
      <c r="BL309" s="65"/>
      <c r="BM309" s="65"/>
      <c r="BN309" s="65"/>
      <c r="BO309" s="65"/>
      <c r="BP309" s="65"/>
      <c r="BQ309" s="65"/>
      <c r="BR309" s="65"/>
      <c r="BS309" s="65"/>
    </row>
    <row r="310" spans="1:71" s="64" customFormat="1">
      <c r="A310" s="65"/>
      <c r="B310" s="101" t="str">
        <f>IF(Main_Parameters!$M$4="Disable","REMnd","WR8")</f>
        <v>WR8</v>
      </c>
      <c r="C310" s="89" t="s">
        <v>1791</v>
      </c>
      <c r="D310" s="510" t="s">
        <v>1792</v>
      </c>
      <c r="E310" s="147" t="str">
        <f t="shared" si="15"/>
        <v>F3</v>
      </c>
      <c r="F310" s="97"/>
      <c r="G310"/>
      <c r="H310" s="190" t="s">
        <v>1793</v>
      </c>
      <c r="I310" s="104" t="s">
        <v>833</v>
      </c>
      <c r="J310" s="190" t="s">
        <v>1794</v>
      </c>
      <c r="K310" s="104" t="s">
        <v>833</v>
      </c>
      <c r="L310" s="190" t="s">
        <v>1795</v>
      </c>
      <c r="M310" s="104" t="s">
        <v>833</v>
      </c>
      <c r="N310" s="190" t="s">
        <v>1796</v>
      </c>
      <c r="O310" s="104" t="s">
        <v>833</v>
      </c>
      <c r="P310" s="190" t="s">
        <v>1797</v>
      </c>
      <c r="Q310" s="104" t="s">
        <v>1798</v>
      </c>
      <c r="R310" s="190" t="s">
        <v>1799</v>
      </c>
      <c r="S310" s="104" t="s">
        <v>1798</v>
      </c>
      <c r="T310" s="190" t="s">
        <v>1800</v>
      </c>
      <c r="U310" s="104" t="s">
        <v>833</v>
      </c>
      <c r="V310" s="190" t="s">
        <v>1801</v>
      </c>
      <c r="W310" s="104" t="s">
        <v>833</v>
      </c>
      <c r="X310" s="131"/>
      <c r="Y310" s="64">
        <f>IF(I310="Not Set",0,1)</f>
        <v>1</v>
      </c>
      <c r="Z310" s="64">
        <f>IF(K310="Not Set",0,1)</f>
        <v>1</v>
      </c>
      <c r="AA310" s="64">
        <f>IF(M310="Not Set",0,1)</f>
        <v>1</v>
      </c>
      <c r="AB310" s="64">
        <f>IF(O310="Not Set",0,1)</f>
        <v>1</v>
      </c>
      <c r="AC310" s="64">
        <f>IF(Q310="Not Set",0,1)</f>
        <v>0</v>
      </c>
      <c r="AD310" s="64">
        <f>IF(S310="Not Set",0,1)</f>
        <v>0</v>
      </c>
      <c r="AE310" s="64">
        <f>IF(U310="Not Set",0,1)</f>
        <v>1</v>
      </c>
      <c r="AF310" s="64">
        <f>IF(W310="Not Set",0,1)</f>
        <v>1</v>
      </c>
      <c r="AH310" s="131"/>
      <c r="BF310" s="65"/>
      <c r="BG310" s="65"/>
      <c r="BH310" s="65"/>
      <c r="BI310" s="65"/>
      <c r="BJ310" s="65"/>
      <c r="BK310" s="65"/>
      <c r="BL310" s="65"/>
      <c r="BM310" s="65"/>
      <c r="BN310" s="65"/>
      <c r="BO310" s="65"/>
      <c r="BP310" s="65"/>
      <c r="BQ310" s="65"/>
      <c r="BR310" s="65"/>
      <c r="BS310" s="65"/>
    </row>
    <row r="311" spans="1:71" s="64" customFormat="1">
      <c r="A311" s="65"/>
      <c r="B311" s="101" t="str">
        <f>IF(Main_Parameters!$M$4="Disable","REMnd","WR8")</f>
        <v>WR8</v>
      </c>
      <c r="C311" s="89" t="s">
        <v>1802</v>
      </c>
      <c r="D311" s="510" t="s">
        <v>1803</v>
      </c>
      <c r="E311" s="147" t="str">
        <f t="shared" si="15"/>
        <v>02</v>
      </c>
      <c r="F311" s="97"/>
      <c r="G311"/>
      <c r="H311" s="178" t="s">
        <v>1714</v>
      </c>
      <c r="I311" s="196"/>
      <c r="J311" s="178" t="s">
        <v>1715</v>
      </c>
      <c r="K311" s="196"/>
      <c r="L311" s="178" t="s">
        <v>1686</v>
      </c>
      <c r="M311" s="196"/>
      <c r="N311" s="178" t="s">
        <v>1716</v>
      </c>
      <c r="O311" s="196"/>
      <c r="P311" s="178" t="s">
        <v>1717</v>
      </c>
      <c r="Q311" s="196"/>
      <c r="R311" s="190" t="s">
        <v>1804</v>
      </c>
      <c r="S311" s="104" t="s">
        <v>1798</v>
      </c>
      <c r="T311" s="190" t="s">
        <v>1805</v>
      </c>
      <c r="U311" s="104" t="s">
        <v>833</v>
      </c>
      <c r="V311" s="190" t="s">
        <v>1806</v>
      </c>
      <c r="W311" s="104" t="s">
        <v>1798</v>
      </c>
      <c r="X311" s="131"/>
      <c r="Y311" s="64">
        <v>0</v>
      </c>
      <c r="Z311" s="64">
        <v>0</v>
      </c>
      <c r="AA311" s="64">
        <v>0</v>
      </c>
      <c r="AB311" s="64">
        <v>0</v>
      </c>
      <c r="AC311" s="64">
        <v>0</v>
      </c>
      <c r="AD311" s="64">
        <f>IF(S311="Not Set",0,1)</f>
        <v>0</v>
      </c>
      <c r="AE311" s="64">
        <f>IF(U311="Not Set",0,1)</f>
        <v>1</v>
      </c>
      <c r="AF311" s="64">
        <f>IF(W311="Not Set",0,1)</f>
        <v>0</v>
      </c>
      <c r="AH311" s="131"/>
      <c r="BF311" s="65"/>
      <c r="BG311" s="65"/>
      <c r="BH311" s="65"/>
      <c r="BI311" s="65"/>
      <c r="BJ311" s="65"/>
      <c r="BK311" s="65"/>
      <c r="BL311" s="65"/>
      <c r="BM311" s="65"/>
      <c r="BN311" s="65"/>
      <c r="BO311" s="65"/>
      <c r="BP311" s="65"/>
      <c r="BQ311" s="65"/>
      <c r="BR311" s="65"/>
      <c r="BS311" s="65"/>
    </row>
    <row r="312" spans="1:71" s="64" customFormat="1">
      <c r="A312" s="65"/>
      <c r="B312" s="101" t="str">
        <f>IF(Main_Parameters!$M$4="Disable","REMnd","WR8")</f>
        <v>WR8</v>
      </c>
      <c r="C312" s="89" t="s">
        <v>1807</v>
      </c>
      <c r="D312" s="510" t="s">
        <v>1808</v>
      </c>
      <c r="E312" s="147" t="str">
        <f t="shared" si="15"/>
        <v>0C</v>
      </c>
      <c r="F312" s="97"/>
      <c r="G312"/>
      <c r="H312" s="178" t="s">
        <v>1714</v>
      </c>
      <c r="I312" s="196"/>
      <c r="J312" s="178" t="s">
        <v>1715</v>
      </c>
      <c r="K312" s="196"/>
      <c r="L312" s="178" t="s">
        <v>1686</v>
      </c>
      <c r="M312" s="196"/>
      <c r="N312" s="178" t="s">
        <v>1716</v>
      </c>
      <c r="O312" s="196"/>
      <c r="P312" s="190" t="s">
        <v>1809</v>
      </c>
      <c r="Q312" s="104" t="s">
        <v>1810</v>
      </c>
      <c r="R312" s="190" t="s">
        <v>1811</v>
      </c>
      <c r="S312" s="104" t="s">
        <v>1812</v>
      </c>
      <c r="T312" s="178" t="s">
        <v>1719</v>
      </c>
      <c r="U312" s="196"/>
      <c r="V312" s="178" t="s">
        <v>1765</v>
      </c>
      <c r="W312" s="196"/>
      <c r="X312" s="131"/>
      <c r="Y312" s="64">
        <v>0</v>
      </c>
      <c r="Z312" s="64">
        <v>0</v>
      </c>
      <c r="AA312" s="64">
        <v>0</v>
      </c>
      <c r="AB312" s="64">
        <v>0</v>
      </c>
      <c r="AC312" s="64">
        <f>IF(Q312="Not Clear",0,1)</f>
        <v>1</v>
      </c>
      <c r="AD312" s="64">
        <f>IF(S312="Not Issue",0,1)</f>
        <v>1</v>
      </c>
      <c r="AE312" s="64">
        <v>0</v>
      </c>
      <c r="AF312" s="64">
        <v>0</v>
      </c>
      <c r="AH312" s="131"/>
      <c r="BF312" s="65"/>
      <c r="BG312" s="65"/>
      <c r="BH312" s="65"/>
      <c r="BI312" s="65"/>
      <c r="BJ312" s="65"/>
      <c r="BK312" s="65"/>
      <c r="BL312" s="65"/>
      <c r="BM312" s="65"/>
      <c r="BN312" s="65"/>
      <c r="BO312" s="65"/>
      <c r="BP312" s="65"/>
      <c r="BQ312" s="65"/>
      <c r="BR312" s="65"/>
      <c r="BS312" s="65"/>
    </row>
    <row r="313" spans="1:71" s="64" customFormat="1" ht="15">
      <c r="A313" s="65"/>
      <c r="B313" s="101" t="str">
        <f>IF(Main_Parameters!$M$4="Disable","REMnd","WR8")</f>
        <v>WR8</v>
      </c>
      <c r="C313" s="89" t="s">
        <v>1813</v>
      </c>
      <c r="D313" s="510" t="s">
        <v>1814</v>
      </c>
      <c r="E313" s="512" t="str">
        <f>DEC2HEX(AF313,2)</f>
        <v>05</v>
      </c>
      <c r="F313" s="97"/>
      <c r="G313"/>
      <c r="H313" s="200"/>
      <c r="I313" s="206"/>
      <c r="J313" s="206"/>
      <c r="K313" s="206"/>
      <c r="L313" s="206"/>
      <c r="M313" s="206"/>
      <c r="N313" s="206"/>
      <c r="O313" s="206"/>
      <c r="P313" s="206"/>
      <c r="Q313" s="206"/>
      <c r="R313" s="206"/>
      <c r="S313" s="206"/>
      <c r="T313" s="206"/>
      <c r="U313" s="208" t="s">
        <v>1815</v>
      </c>
      <c r="V313" s="209" t="str">
        <f>IF(W313&gt;=0.1,IF(W313&lt;=25.5,"OK","NG"),"NG")</f>
        <v>OK</v>
      </c>
      <c r="W313" s="210">
        <v>0.5</v>
      </c>
      <c r="X313" s="131"/>
      <c r="AF313" s="64">
        <f>ROUNDUP(W313*10,0)</f>
        <v>5</v>
      </c>
      <c r="AH313" s="131"/>
      <c r="BF313" s="65"/>
      <c r="BG313" s="65"/>
      <c r="BH313" s="65"/>
      <c r="BI313" s="65"/>
      <c r="BJ313" s="65"/>
      <c r="BK313" s="65"/>
      <c r="BL313" s="65"/>
      <c r="BM313" s="65"/>
      <c r="BN313" s="65"/>
      <c r="BO313" s="65"/>
      <c r="BP313" s="65"/>
      <c r="BQ313" s="65"/>
      <c r="BR313" s="65"/>
      <c r="BS313" s="65"/>
    </row>
    <row r="314" spans="1:71" s="64" customFormat="1" ht="15" customHeight="1">
      <c r="A314" s="65"/>
      <c r="B314" s="101" t="str">
        <f>IF(Main_Parameters!$M$4="Disable","REMnd","WR8")</f>
        <v>WR8</v>
      </c>
      <c r="C314" s="89" t="s">
        <v>1816</v>
      </c>
      <c r="D314" s="510" t="s">
        <v>1817</v>
      </c>
      <c r="E314" s="147" t="str">
        <f>DEC2HEX(Y314*2^7+Z314*2^6+AA314*2^5+AB314*2^4+AC314*2^3+AD314*2^2+AE314*2^1+AF314,2)</f>
        <v>00</v>
      </c>
      <c r="F314" s="97"/>
      <c r="G314"/>
      <c r="H314" s="190" t="s">
        <v>1818</v>
      </c>
      <c r="I314" s="104" t="s">
        <v>1819</v>
      </c>
      <c r="J314" s="190" t="s">
        <v>1820</v>
      </c>
      <c r="K314" s="104" t="s">
        <v>1819</v>
      </c>
      <c r="L314" s="190" t="s">
        <v>1821</v>
      </c>
      <c r="M314" s="104" t="s">
        <v>1819</v>
      </c>
      <c r="N314" s="190" t="s">
        <v>1822</v>
      </c>
      <c r="O314" s="104" t="s">
        <v>1819</v>
      </c>
      <c r="P314" s="190" t="s">
        <v>1823</v>
      </c>
      <c r="Q314" s="104" t="s">
        <v>1819</v>
      </c>
      <c r="R314" s="190" t="s">
        <v>1824</v>
      </c>
      <c r="S314" s="104" t="s">
        <v>1819</v>
      </c>
      <c r="T314" s="190" t="s">
        <v>1825</v>
      </c>
      <c r="U314" s="104" t="s">
        <v>1819</v>
      </c>
      <c r="V314" s="190" t="s">
        <v>1826</v>
      </c>
      <c r="W314" s="104" t="s">
        <v>1819</v>
      </c>
      <c r="X314" s="131"/>
      <c r="Y314" s="64">
        <f>IF(I314="Not Mute",0,1)</f>
        <v>0</v>
      </c>
      <c r="Z314" s="64">
        <f>IF(K314="Not Mute",0,1)</f>
        <v>0</v>
      </c>
      <c r="AA314" s="64">
        <f>IF(M314="Not Mute",0,1)</f>
        <v>0</v>
      </c>
      <c r="AB314" s="64">
        <f>IF(O314="Not Mute",0,1)</f>
        <v>0</v>
      </c>
      <c r="AC314" s="64">
        <f>IF(Q314="Not Mute",0,1)</f>
        <v>0</v>
      </c>
      <c r="AD314" s="64">
        <f>IF(S314="Not Mute",0,1)</f>
        <v>0</v>
      </c>
      <c r="AE314" s="64">
        <f>IF(U314="Not Mute",0,1)</f>
        <v>0</v>
      </c>
      <c r="AF314" s="64">
        <f>IF(W314="Not Mute",0,1)</f>
        <v>0</v>
      </c>
      <c r="AH314" s="131"/>
      <c r="BF314" s="65"/>
      <c r="BG314" s="65"/>
      <c r="BH314" s="65"/>
      <c r="BI314" s="65"/>
      <c r="BJ314" s="65"/>
      <c r="BK314" s="65"/>
      <c r="BL314" s="65"/>
      <c r="BM314" s="65"/>
      <c r="BN314" s="65"/>
      <c r="BO314" s="65"/>
      <c r="BP314" s="65"/>
      <c r="BQ314" s="65"/>
      <c r="BR314" s="65"/>
      <c r="BS314" s="65"/>
    </row>
    <row r="315" spans="1:71" s="64" customFormat="1">
      <c r="A315" s="65"/>
      <c r="B315" s="101" t="str">
        <f>IF(Main_Parameters!$M$4="Disable","REMnd","WR8")</f>
        <v>WR8</v>
      </c>
      <c r="C315" s="89" t="s">
        <v>1827</v>
      </c>
      <c r="D315" s="510" t="s">
        <v>1828</v>
      </c>
      <c r="E315" s="147" t="str">
        <f>DEC2HEX(Y315*2^7+Z315*2^6+AA315*2^5+AB315*2^4+AC315*2^3+AD315*2^2+AE315*2^1+AF315,2)</f>
        <v>02</v>
      </c>
      <c r="F315" s="97"/>
      <c r="G315"/>
      <c r="H315" s="178" t="s">
        <v>1714</v>
      </c>
      <c r="I315" s="196"/>
      <c r="J315" s="600" t="s">
        <v>1829</v>
      </c>
      <c r="K315" s="601"/>
      <c r="L315" s="601"/>
      <c r="M315" s="601"/>
      <c r="N315" s="602"/>
      <c r="O315" s="104" t="s">
        <v>1830</v>
      </c>
      <c r="P315" s="178" t="s">
        <v>1717</v>
      </c>
      <c r="Q315" s="196"/>
      <c r="R315" s="178" t="s">
        <v>1718</v>
      </c>
      <c r="S315" s="196"/>
      <c r="T315" s="600" t="s">
        <v>1831</v>
      </c>
      <c r="U315" s="601"/>
      <c r="V315" s="602"/>
      <c r="W315" s="104" t="s">
        <v>714</v>
      </c>
      <c r="X315" s="131"/>
      <c r="Y315" s="64">
        <v>0</v>
      </c>
      <c r="Z315" s="64">
        <v>0</v>
      </c>
      <c r="AA315" s="64">
        <v>0</v>
      </c>
      <c r="AB315" s="64">
        <f>IF(O315="16b_8bDscd",0,IF(O315="16b_8+1Dscd",1,IF(O315="18b_6bDscd",2,IF(O315="18b_6+1Dscd",3,IF(O315="20b_4bDscd",4,IF(O315="20b_4+1Dscd",5,IF(O315="24b",6,7)))))))</f>
        <v>0</v>
      </c>
      <c r="AC315" s="64">
        <v>0</v>
      </c>
      <c r="AD315" s="64">
        <v>0</v>
      </c>
      <c r="AE315" s="64">
        <v>0</v>
      </c>
      <c r="AF315" s="64">
        <f>IF(W315="Right Jstfd",0,IF(W315="Left Jstfd",1,2))</f>
        <v>2</v>
      </c>
      <c r="AH315" s="131"/>
      <c r="BF315" s="65"/>
      <c r="BG315" s="65"/>
      <c r="BH315" s="65"/>
      <c r="BI315" s="65"/>
      <c r="BJ315" s="65"/>
      <c r="BK315" s="65"/>
      <c r="BL315" s="65"/>
      <c r="BM315" s="65"/>
      <c r="BN315" s="65"/>
      <c r="BO315" s="65"/>
      <c r="BP315" s="65"/>
      <c r="BQ315" s="65"/>
      <c r="BR315" s="65"/>
      <c r="BS315" s="65"/>
    </row>
    <row r="316" spans="1:71" s="64" customFormat="1">
      <c r="A316" s="65"/>
      <c r="B316" s="101" t="str">
        <f>IF(Main_Parameters!$M$4="Disable","REMnd","WR32")</f>
        <v>WR32</v>
      </c>
      <c r="C316" s="89" t="s">
        <v>1832</v>
      </c>
      <c r="D316" s="514" t="s">
        <v>1833</v>
      </c>
      <c r="E316" s="512" t="str">
        <f>DEC2HEX(6.144*2^28/Main_Parameters!$C$72,8)</f>
        <v>020C49BA</v>
      </c>
      <c r="F316" s="97"/>
      <c r="G316"/>
      <c r="H316"/>
      <c r="I316"/>
      <c r="J316"/>
      <c r="K316"/>
      <c r="L316"/>
      <c r="M316"/>
      <c r="N316"/>
      <c r="O316"/>
      <c r="P316"/>
      <c r="Q316"/>
      <c r="R316"/>
      <c r="S316"/>
      <c r="T316"/>
      <c r="U316"/>
      <c r="V316"/>
      <c r="W316"/>
      <c r="X316" s="131"/>
      <c r="AH316" s="131"/>
      <c r="BF316" s="65"/>
      <c r="BG316" s="65"/>
      <c r="BH316" s="65"/>
      <c r="BI316" s="65"/>
      <c r="BJ316" s="65"/>
      <c r="BK316" s="65"/>
      <c r="BL316" s="65"/>
      <c r="BM316" s="65"/>
      <c r="BN316" s="65"/>
      <c r="BO316" s="65"/>
      <c r="BP316" s="65"/>
      <c r="BQ316" s="65"/>
      <c r="BR316" s="65"/>
      <c r="BS316" s="65"/>
    </row>
    <row r="317" spans="1:71" s="64" customFormat="1">
      <c r="A317" s="65"/>
      <c r="B317" s="101" t="str">
        <f>IF(Main_Parameters!$M$4="Disable","REMnd","WR32")</f>
        <v>WR32</v>
      </c>
      <c r="C317" s="89" t="s">
        <v>1834</v>
      </c>
      <c r="D317" s="514" t="s">
        <v>1835</v>
      </c>
      <c r="E317" s="512" t="str">
        <f>DEC2HEX(5.6448*2^28/Main_Parameters!$C$72,8)</f>
        <v>01E1B089</v>
      </c>
      <c r="F317" s="97"/>
      <c r="G317"/>
      <c r="H317"/>
      <c r="I317"/>
      <c r="J317"/>
      <c r="K317"/>
      <c r="L317"/>
      <c r="M317"/>
      <c r="N317"/>
      <c r="O317"/>
      <c r="P317"/>
      <c r="Q317"/>
      <c r="R317"/>
      <c r="S317"/>
      <c r="T317"/>
      <c r="U317"/>
      <c r="V317"/>
      <c r="W317"/>
      <c r="X317" s="131"/>
      <c r="AH317" s="131"/>
      <c r="BF317" s="65"/>
      <c r="BG317" s="65"/>
      <c r="BH317" s="65"/>
      <c r="BI317" s="65"/>
      <c r="BJ317" s="65"/>
      <c r="BK317" s="65"/>
      <c r="BL317" s="65"/>
      <c r="BM317" s="65"/>
      <c r="BN317" s="65"/>
      <c r="BO317" s="65"/>
      <c r="BP317" s="65"/>
      <c r="BQ317" s="65"/>
      <c r="BR317" s="65"/>
      <c r="BS317" s="65"/>
    </row>
    <row r="318" spans="1:71" s="64" customFormat="1">
      <c r="A318" s="65"/>
      <c r="B318" s="101" t="str">
        <f>IF(Main_Parameters!$M$4="Disable","REMnd","WR8")</f>
        <v>WR8</v>
      </c>
      <c r="C318" s="89" t="s">
        <v>1836</v>
      </c>
      <c r="D318" s="510" t="s">
        <v>1837</v>
      </c>
      <c r="E318" s="91" t="str">
        <f>DEC2HEX(AW318*2^7+AX318*2^6+AY318*2^5+AZ318*2^4+BA318*2^3+BB318*2^2+BC318*2^1+BD318*2^0,2)</f>
        <v>00</v>
      </c>
      <c r="F318" s="97"/>
      <c r="G318"/>
      <c r="H318" s="178" t="s">
        <v>1714</v>
      </c>
      <c r="I318" s="196"/>
      <c r="J318" s="178" t="s">
        <v>1715</v>
      </c>
      <c r="K318" s="196"/>
      <c r="L318" s="178" t="s">
        <v>1686</v>
      </c>
      <c r="M318" s="196"/>
      <c r="N318" s="178" t="s">
        <v>1716</v>
      </c>
      <c r="O318" s="196"/>
      <c r="P318" s="178" t="s">
        <v>1717</v>
      </c>
      <c r="Q318" s="196"/>
      <c r="R318" s="178" t="s">
        <v>1718</v>
      </c>
      <c r="S318" s="196"/>
      <c r="T318" s="603" t="s">
        <v>1838</v>
      </c>
      <c r="U318" s="604"/>
      <c r="V318" s="605"/>
      <c r="W318" s="104" t="s">
        <v>1839</v>
      </c>
      <c r="X318" s="131"/>
      <c r="AH318" s="131"/>
      <c r="AW318" s="64">
        <v>0</v>
      </c>
      <c r="AX318" s="64">
        <v>0</v>
      </c>
      <c r="AY318" s="64">
        <v>0</v>
      </c>
      <c r="AZ318" s="64">
        <v>0</v>
      </c>
      <c r="BA318" s="64">
        <v>0</v>
      </c>
      <c r="BB318" s="64">
        <v>0</v>
      </c>
      <c r="BC318" s="64">
        <v>0</v>
      </c>
      <c r="BD318" s="64">
        <f>IF(W318="Normal Aud",0,IF(W318="HBR Aud",1,2))</f>
        <v>0</v>
      </c>
      <c r="BF318" s="65"/>
      <c r="BG318" s="65"/>
      <c r="BH318" s="65"/>
      <c r="BI318" s="65"/>
      <c r="BJ318" s="65"/>
      <c r="BK318" s="65"/>
      <c r="BL318" s="65"/>
      <c r="BM318" s="65"/>
      <c r="BN318" s="65"/>
      <c r="BO318" s="65"/>
      <c r="BP318" s="65"/>
      <c r="BQ318" s="65"/>
      <c r="BR318" s="65"/>
      <c r="BS318" s="65"/>
    </row>
    <row r="319" spans="1:71" s="64" customFormat="1">
      <c r="A319" s="65"/>
      <c r="B319" s="84" t="s">
        <v>1032</v>
      </c>
      <c r="C319" s="99" t="s">
        <v>1840</v>
      </c>
      <c r="D319" s="164"/>
      <c r="E319" s="165"/>
      <c r="F319" s="87"/>
      <c r="G319"/>
      <c r="H319" s="201"/>
      <c r="I319" s="207"/>
      <c r="J319" s="201"/>
      <c r="K319" s="207"/>
      <c r="L319" s="201"/>
      <c r="M319" s="207"/>
      <c r="N319" s="201"/>
      <c r="O319" s="207"/>
      <c r="P319" s="201"/>
      <c r="Q319" s="207"/>
      <c r="R319" s="201"/>
      <c r="S319" s="207"/>
      <c r="T319" s="211"/>
      <c r="U319" s="211"/>
      <c r="V319" s="211"/>
      <c r="W319" s="212"/>
      <c r="X319" s="131"/>
      <c r="AH319" s="131"/>
      <c r="BF319" s="65"/>
      <c r="BG319" s="65"/>
      <c r="BH319" s="65"/>
      <c r="BI319" s="65"/>
      <c r="BJ319" s="65"/>
      <c r="BK319" s="65"/>
      <c r="BL319" s="65"/>
      <c r="BM319" s="65"/>
      <c r="BN319" s="65"/>
      <c r="BO319" s="65"/>
      <c r="BP319" s="65"/>
      <c r="BQ319" s="65"/>
      <c r="BR319" s="65"/>
      <c r="BS319" s="65"/>
    </row>
    <row r="320" spans="1:71" s="64" customFormat="1">
      <c r="A320" s="65"/>
      <c r="B320" s="88" t="s">
        <v>1841</v>
      </c>
      <c r="C320" s="89"/>
      <c r="D320" s="510" t="s">
        <v>1842</v>
      </c>
      <c r="E320" s="96"/>
      <c r="F320" s="202" t="s">
        <v>1843</v>
      </c>
      <c r="G320"/>
      <c r="H320" s="201"/>
      <c r="I320" s="207"/>
      <c r="J320" s="201"/>
      <c r="K320" s="207"/>
      <c r="L320" s="201"/>
      <c r="M320" s="207"/>
      <c r="N320" s="201"/>
      <c r="O320" s="207"/>
      <c r="P320" s="201"/>
      <c r="Q320" s="207"/>
      <c r="R320" s="201"/>
      <c r="S320" s="207"/>
      <c r="T320" s="211"/>
      <c r="U320" s="211"/>
      <c r="V320" s="211"/>
      <c r="W320" s="212"/>
      <c r="X320" s="131"/>
      <c r="AH320" s="131"/>
      <c r="BF320" s="65"/>
      <c r="BG320" s="65"/>
      <c r="BH320" s="65"/>
      <c r="BI320" s="65"/>
      <c r="BJ320" s="65"/>
      <c r="BK320" s="65"/>
      <c r="BL320" s="65"/>
      <c r="BM320" s="65"/>
      <c r="BN320" s="65"/>
      <c r="BO320" s="65"/>
      <c r="BP320" s="65"/>
      <c r="BQ320" s="65"/>
      <c r="BR320" s="65"/>
      <c r="BS320" s="65"/>
    </row>
    <row r="321" spans="1:71" s="64" customFormat="1">
      <c r="A321" s="65"/>
      <c r="B321" s="88" t="s">
        <v>1841</v>
      </c>
      <c r="C321" s="89"/>
      <c r="D321" s="510" t="s">
        <v>1842</v>
      </c>
      <c r="E321" s="96"/>
      <c r="F321" s="202" t="s">
        <v>1843</v>
      </c>
      <c r="G321"/>
      <c r="H321" s="201"/>
      <c r="I321" s="207"/>
      <c r="J321" s="201"/>
      <c r="K321" s="207"/>
      <c r="L321" s="201"/>
      <c r="M321" s="207"/>
      <c r="N321" s="201"/>
      <c r="O321" s="207"/>
      <c r="P321" s="201"/>
      <c r="Q321" s="207"/>
      <c r="R321" s="201"/>
      <c r="S321" s="207"/>
      <c r="T321" s="211"/>
      <c r="U321" s="211"/>
      <c r="V321" s="211"/>
      <c r="W321" s="212"/>
      <c r="X321" s="131"/>
      <c r="AH321" s="131"/>
      <c r="BF321" s="65"/>
      <c r="BG321" s="65"/>
      <c r="BH321" s="65"/>
      <c r="BI321" s="65"/>
      <c r="BJ321" s="65"/>
      <c r="BK321" s="65"/>
      <c r="BL321" s="65"/>
      <c r="BM321" s="65"/>
      <c r="BN321" s="65"/>
      <c r="BO321" s="65"/>
      <c r="BP321" s="65"/>
      <c r="BQ321" s="65"/>
      <c r="BR321" s="65"/>
      <c r="BS321" s="65"/>
    </row>
    <row r="322" spans="1:71" s="64" customFormat="1">
      <c r="A322" s="65"/>
      <c r="B322" s="88" t="s">
        <v>1841</v>
      </c>
      <c r="C322" s="89"/>
      <c r="D322" s="510" t="s">
        <v>1842</v>
      </c>
      <c r="E322" s="96"/>
      <c r="F322" s="202" t="s">
        <v>1843</v>
      </c>
      <c r="G322"/>
      <c r="H322" s="201"/>
      <c r="I322" s="207"/>
      <c r="J322" s="201"/>
      <c r="K322" s="207"/>
      <c r="L322" s="201"/>
      <c r="M322" s="207"/>
      <c r="N322" s="201"/>
      <c r="O322" s="207"/>
      <c r="P322" s="201"/>
      <c r="Q322" s="207"/>
      <c r="R322" s="201"/>
      <c r="S322" s="207"/>
      <c r="T322" s="211"/>
      <c r="U322" s="211"/>
      <c r="V322" s="211"/>
      <c r="W322" s="212"/>
      <c r="X322" s="131"/>
      <c r="AH322" s="131"/>
      <c r="BF322" s="65"/>
      <c r="BG322" s="65"/>
      <c r="BH322" s="65"/>
      <c r="BI322" s="65"/>
      <c r="BJ322" s="65"/>
      <c r="BK322" s="65"/>
      <c r="BL322" s="65"/>
      <c r="BM322" s="65"/>
      <c r="BN322" s="65"/>
      <c r="BO322" s="65"/>
      <c r="BP322" s="65"/>
      <c r="BQ322" s="65"/>
      <c r="BR322" s="65"/>
      <c r="BS322" s="65"/>
    </row>
    <row r="323" spans="1:71" s="64" customFormat="1" ht="15.75">
      <c r="A323" s="65"/>
      <c r="B323" s="174" t="s">
        <v>1844</v>
      </c>
      <c r="C323" s="193"/>
      <c r="D323" s="192"/>
      <c r="E323" s="141"/>
      <c r="F323" s="177" t="s">
        <v>1845</v>
      </c>
      <c r="G323"/>
      <c r="H323" s="201"/>
      <c r="I323" s="207"/>
      <c r="J323" s="201"/>
      <c r="K323" s="207"/>
      <c r="L323" s="201"/>
      <c r="M323" s="207"/>
      <c r="N323" s="201"/>
      <c r="O323" s="207"/>
      <c r="P323" s="201"/>
      <c r="Q323" s="207"/>
      <c r="R323" s="201"/>
      <c r="S323" s="207"/>
      <c r="T323" s="211"/>
      <c r="U323" s="211"/>
      <c r="V323" s="211"/>
      <c r="W323" s="212"/>
      <c r="X323" s="131"/>
      <c r="AH323" s="131"/>
      <c r="BF323" s="65"/>
      <c r="BG323" s="65"/>
      <c r="BH323" s="65"/>
      <c r="BI323" s="65"/>
      <c r="BJ323" s="65"/>
      <c r="BK323" s="65"/>
      <c r="BL323" s="65"/>
      <c r="BM323" s="65"/>
      <c r="BN323" s="65"/>
      <c r="BO323" s="65"/>
      <c r="BP323" s="65"/>
      <c r="BQ323" s="65"/>
      <c r="BR323" s="65"/>
      <c r="BS323" s="65"/>
    </row>
    <row r="324" spans="1:71" s="64" customFormat="1">
      <c r="A324" s="65"/>
      <c r="B324" s="84" t="s">
        <v>1032</v>
      </c>
      <c r="C324" s="99" t="s">
        <v>1846</v>
      </c>
      <c r="D324" s="164"/>
      <c r="E324" s="165"/>
      <c r="F324" s="87"/>
      <c r="G324"/>
      <c r="H324" s="65"/>
      <c r="I324" s="65"/>
      <c r="J324" s="65"/>
      <c r="K324" s="65"/>
      <c r="L324" s="65"/>
      <c r="M324" s="65"/>
      <c r="N324" s="65"/>
      <c r="O324" s="65"/>
      <c r="P324" s="65"/>
      <c r="Q324"/>
      <c r="R324"/>
      <c r="S324"/>
      <c r="T324"/>
      <c r="U324"/>
      <c r="V324"/>
      <c r="W324"/>
      <c r="X324" s="131"/>
      <c r="AH324" s="131"/>
      <c r="BF324" s="65"/>
      <c r="BG324" s="65"/>
      <c r="BH324" s="65"/>
      <c r="BI324" s="65"/>
      <c r="BJ324" s="65"/>
      <c r="BK324" s="65"/>
      <c r="BL324" s="65"/>
      <c r="BM324" s="65"/>
      <c r="BN324" s="65"/>
      <c r="BO324" s="65"/>
      <c r="BP324" s="65"/>
      <c r="BQ324" s="65"/>
      <c r="BR324" s="65"/>
      <c r="BS324" s="65"/>
    </row>
    <row r="325" spans="1:71" s="64" customFormat="1">
      <c r="A325" s="65"/>
      <c r="B325" s="101" t="str">
        <f>IF(G325="Disable","REMnd","WR16")</f>
        <v>WR16</v>
      </c>
      <c r="C325" s="94" t="s">
        <v>1631</v>
      </c>
      <c r="D325" s="513" t="s">
        <v>1632</v>
      </c>
      <c r="E325" s="91" t="str">
        <f>DEC2HEX(Y325*2^31+Z325*2^30+AA325*2^29+AB325*2^28+AC325*2^27+AD325*2^26+AE325*2^25+AF325*2^24+AG325*2^23+AH325*2^22+AI325*2^21+AJ325*2^20+AK325*2^19+AL325*2^18+AM325*2^17+AN325*2^16+AO325*2^15+AP325*2^14+AQ325*2^13+AR325*2^12+AS325*2^11+AT325*2^10+AU325*2^9+AV325*2^8+AW325*2^7+AX325*2^6+AY325*2^5+AZ325*2^4+BA325*2^3+BB325*2^2+BC325*2^1+BD325*2^0,4)</f>
        <v>0F1F</v>
      </c>
      <c r="F325" s="97" t="s">
        <v>1847</v>
      </c>
      <c r="G325" s="104" t="s">
        <v>721</v>
      </c>
      <c r="H325" s="178" t="s">
        <v>1848</v>
      </c>
      <c r="I325" s="178" t="s">
        <v>1849</v>
      </c>
      <c r="J325" s="178" t="s">
        <v>1850</v>
      </c>
      <c r="K325" s="178" t="s">
        <v>1851</v>
      </c>
      <c r="L325" s="104" t="s">
        <v>1852</v>
      </c>
      <c r="M325" s="104" t="s">
        <v>1853</v>
      </c>
      <c r="N325" s="104" t="s">
        <v>1854</v>
      </c>
      <c r="O325" s="104" t="s">
        <v>1855</v>
      </c>
      <c r="P325" s="178" t="s">
        <v>1714</v>
      </c>
      <c r="Q325" s="178" t="s">
        <v>1715</v>
      </c>
      <c r="R325" s="104" t="s">
        <v>1856</v>
      </c>
      <c r="S325" s="104" t="s">
        <v>1857</v>
      </c>
      <c r="T325" s="104" t="s">
        <v>1858</v>
      </c>
      <c r="U325" s="104" t="s">
        <v>1859</v>
      </c>
      <c r="V325" s="104" t="s">
        <v>1860</v>
      </c>
      <c r="W325" s="104" t="s">
        <v>1861</v>
      </c>
      <c r="X325" s="131"/>
      <c r="Y325" s="64">
        <v>0</v>
      </c>
      <c r="Z325" s="64">
        <v>0</v>
      </c>
      <c r="AA325" s="64">
        <v>0</v>
      </c>
      <c r="AB325" s="64">
        <v>0</v>
      </c>
      <c r="AC325" s="64">
        <v>0</v>
      </c>
      <c r="AD325" s="64">
        <v>0</v>
      </c>
      <c r="AE325" s="64">
        <v>0</v>
      </c>
      <c r="AF325" s="64">
        <v>0</v>
      </c>
      <c r="AG325" s="64">
        <v>0</v>
      </c>
      <c r="AH325" s="131">
        <v>0</v>
      </c>
      <c r="AI325" s="64">
        <v>0</v>
      </c>
      <c r="AJ325" s="64">
        <v>0</v>
      </c>
      <c r="AK325" s="64">
        <v>0</v>
      </c>
      <c r="AL325" s="64">
        <v>0</v>
      </c>
      <c r="AM325" s="64">
        <v>0</v>
      </c>
      <c r="AN325" s="64">
        <v>0</v>
      </c>
      <c r="AO325" s="64">
        <v>0</v>
      </c>
      <c r="AP325" s="64">
        <v>0</v>
      </c>
      <c r="AQ325" s="64">
        <v>0</v>
      </c>
      <c r="AR325" s="64">
        <v>0</v>
      </c>
      <c r="AS325" s="64">
        <f>IF(L325="DSITX1 Enb",0,1)</f>
        <v>1</v>
      </c>
      <c r="AT325" s="64">
        <f>IF(M325="AMUTE Enb",0,1)</f>
        <v>1</v>
      </c>
      <c r="AU325" s="64">
        <f>IF(N325="HDMI Enb",0,1)</f>
        <v>1</v>
      </c>
      <c r="AV325" s="64">
        <f>IF(O325="DSITX0 Enb",0,1)</f>
        <v>1</v>
      </c>
      <c r="AW325" s="64">
        <v>0</v>
      </c>
      <c r="AX325" s="64">
        <v>0</v>
      </c>
      <c r="AY325" s="64">
        <f>IF(R325="SYS Enb",0,1)</f>
        <v>0</v>
      </c>
      <c r="AZ325" s="64">
        <f>IF(S325="CEC-Er Enb",0,1)</f>
        <v>1</v>
      </c>
      <c r="BA325" s="64">
        <f>IF(T325="CEC-TX Enb",0,1)</f>
        <v>1</v>
      </c>
      <c r="BB325" s="64">
        <f>IF(U325="CEC-RX Enb",0,1)</f>
        <v>1</v>
      </c>
      <c r="BC325" s="64">
        <f>IF(V325="IR_Er Enb",0,1)</f>
        <v>1</v>
      </c>
      <c r="BD325" s="64">
        <f>IF(W325="IR_Dat Enb",0,1)</f>
        <v>1</v>
      </c>
      <c r="BF325" s="65"/>
      <c r="BG325" s="65"/>
      <c r="BH325" s="65"/>
      <c r="BI325" s="65"/>
      <c r="BJ325" s="65"/>
      <c r="BK325" s="65"/>
      <c r="BL325" s="65"/>
      <c r="BM325" s="65"/>
      <c r="BN325" s="65"/>
      <c r="BO325" s="65"/>
      <c r="BP325" s="65"/>
      <c r="BQ325" s="65"/>
      <c r="BR325" s="65"/>
      <c r="BS325" s="65"/>
    </row>
    <row r="326" spans="1:71" s="64" customFormat="1">
      <c r="A326" s="65"/>
      <c r="B326" s="84" t="s">
        <v>1032</v>
      </c>
      <c r="C326" s="99" t="s">
        <v>1862</v>
      </c>
      <c r="D326" s="84"/>
      <c r="E326" s="100"/>
      <c r="F326" s="87"/>
      <c r="G326" s="179"/>
      <c r="H326" s="167"/>
      <c r="I326" s="167"/>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c r="AM326" s="180"/>
      <c r="AN326" s="180"/>
      <c r="AO326" s="180"/>
      <c r="AP326" s="180"/>
      <c r="AQ326" s="180"/>
      <c r="AR326" s="180"/>
      <c r="AS326" s="180"/>
      <c r="AT326" s="180"/>
      <c r="AU326" s="180"/>
      <c r="AV326" s="180"/>
      <c r="AW326" s="180"/>
      <c r="AX326" s="180"/>
      <c r="AY326" s="180"/>
      <c r="AZ326" s="180"/>
      <c r="BA326" s="180"/>
      <c r="BB326" s="180"/>
      <c r="BC326" s="180"/>
      <c r="BD326" s="180"/>
      <c r="BE326" s="180"/>
      <c r="BF326" s="180"/>
      <c r="BG326" s="180"/>
      <c r="BH326" s="180"/>
      <c r="BI326" s="180"/>
      <c r="BJ326" s="180"/>
      <c r="BK326" s="180"/>
      <c r="BL326" s="180"/>
      <c r="BM326" s="180"/>
      <c r="BN326" s="65"/>
      <c r="BO326" s="65"/>
      <c r="BP326" s="65"/>
      <c r="BQ326" s="65"/>
      <c r="BR326" s="65"/>
      <c r="BS326" s="65"/>
    </row>
    <row r="327" spans="1:71" s="64" customFormat="1">
      <c r="A327" s="65"/>
      <c r="B327" s="93" t="s">
        <v>1622</v>
      </c>
      <c r="C327" s="94" t="s">
        <v>1624</v>
      </c>
      <c r="D327" s="513" t="s">
        <v>1625</v>
      </c>
      <c r="E327" s="511" t="s">
        <v>1863</v>
      </c>
      <c r="F327" s="97" t="s">
        <v>1862</v>
      </c>
      <c r="G327" s="179"/>
      <c r="H327" s="167"/>
      <c r="I327" s="167"/>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c r="AM327" s="180"/>
      <c r="AN327" s="180"/>
      <c r="AO327" s="180"/>
      <c r="AP327" s="180"/>
      <c r="AQ327" s="180"/>
      <c r="AR327" s="180"/>
      <c r="AS327" s="180"/>
      <c r="AT327" s="180"/>
      <c r="AU327" s="180"/>
      <c r="AV327" s="180"/>
      <c r="AW327" s="180"/>
      <c r="AX327" s="180"/>
      <c r="AY327" s="180"/>
      <c r="AZ327" s="180"/>
      <c r="BA327" s="180"/>
      <c r="BB327" s="180"/>
      <c r="BC327" s="180"/>
      <c r="BD327" s="180"/>
      <c r="BE327" s="180"/>
      <c r="BF327" s="180"/>
      <c r="BG327" s="180"/>
      <c r="BH327" s="180"/>
      <c r="BI327" s="180"/>
      <c r="BJ327" s="180"/>
      <c r="BK327" s="180"/>
      <c r="BL327" s="180"/>
      <c r="BM327" s="180"/>
      <c r="BN327" s="65"/>
      <c r="BO327" s="65"/>
      <c r="BP327" s="65"/>
      <c r="BQ327" s="65"/>
      <c r="BR327" s="65"/>
      <c r="BS327" s="65"/>
    </row>
    <row r="328" spans="1:71" s="167" customFormat="1">
      <c r="B328" s="173" t="s">
        <v>1864</v>
      </c>
      <c r="C328" s="89"/>
      <c r="D328" s="90"/>
      <c r="E328" s="166"/>
      <c r="F328" s="97"/>
      <c r="G328" s="179"/>
      <c r="J328" s="180"/>
      <c r="X328" s="181"/>
      <c r="Y328" s="181"/>
      <c r="Z328" s="181"/>
      <c r="AA328" s="181"/>
      <c r="AB328" s="181"/>
      <c r="AC328" s="181"/>
      <c r="AD328" s="181"/>
      <c r="AE328" s="181"/>
      <c r="AF328" s="181"/>
      <c r="AG328" s="181"/>
      <c r="AH328" s="181"/>
      <c r="AI328" s="181"/>
      <c r="AJ328" s="181"/>
      <c r="AK328" s="181"/>
      <c r="AL328" s="181"/>
      <c r="AM328" s="181"/>
      <c r="AN328" s="181"/>
      <c r="AO328" s="181"/>
      <c r="AP328" s="181"/>
      <c r="AQ328" s="181"/>
      <c r="AR328" s="181"/>
      <c r="AS328" s="181"/>
      <c r="AT328" s="181"/>
      <c r="AU328" s="181"/>
      <c r="AV328" s="181"/>
      <c r="AW328" s="181"/>
      <c r="AX328" s="181"/>
      <c r="AY328" s="181"/>
      <c r="AZ328" s="181"/>
      <c r="BA328" s="181"/>
      <c r="BB328" s="181"/>
      <c r="BC328" s="181"/>
      <c r="BD328" s="181"/>
      <c r="BE328" s="181"/>
    </row>
    <row r="329" spans="1:71" s="167" customFormat="1">
      <c r="B329" s="213"/>
      <c r="C329" s="181"/>
      <c r="D329" s="214"/>
      <c r="E329" s="215"/>
      <c r="F329" s="181"/>
      <c r="G329" s="179"/>
      <c r="J329" s="180"/>
      <c r="X329" s="181"/>
      <c r="Y329" s="181"/>
      <c r="Z329" s="181"/>
      <c r="AA329" s="181"/>
      <c r="AB329" s="181"/>
      <c r="AC329" s="181"/>
      <c r="AD329" s="181"/>
      <c r="AE329" s="181"/>
      <c r="AF329" s="181"/>
      <c r="AG329" s="181"/>
      <c r="AH329" s="181"/>
      <c r="AI329" s="181"/>
      <c r="AJ329" s="181"/>
      <c r="AK329" s="181"/>
      <c r="AL329" s="181"/>
      <c r="AM329" s="181"/>
      <c r="AN329" s="181"/>
      <c r="AO329" s="181"/>
      <c r="AP329" s="181"/>
      <c r="AQ329" s="181"/>
      <c r="AR329" s="181"/>
      <c r="AS329" s="181"/>
      <c r="AT329" s="181"/>
      <c r="AU329" s="181"/>
      <c r="AV329" s="181"/>
      <c r="AW329" s="181"/>
      <c r="AX329" s="181"/>
      <c r="AY329" s="181"/>
      <c r="AZ329" s="181"/>
      <c r="BA329" s="181"/>
      <c r="BB329" s="181"/>
      <c r="BC329" s="181"/>
      <c r="BD329" s="181"/>
      <c r="BE329" s="181"/>
    </row>
    <row r="330" spans="1:71" s="167" customFormat="1" ht="28.5" customHeight="1">
      <c r="B330" s="176" t="s">
        <v>1865</v>
      </c>
      <c r="C330" s="216" t="s">
        <v>1866</v>
      </c>
      <c r="D330" s="216"/>
      <c r="E330" s="216"/>
      <c r="F330" s="216"/>
      <c r="G330" s="179"/>
      <c r="J330" s="180"/>
      <c r="X330" s="181"/>
      <c r="Y330" s="181"/>
      <c r="Z330" s="181"/>
      <c r="AA330" s="181"/>
      <c r="AB330" s="181"/>
      <c r="AC330" s="181"/>
      <c r="AD330" s="181"/>
      <c r="AE330" s="181"/>
      <c r="AF330" s="181"/>
      <c r="AG330" s="181"/>
      <c r="AH330" s="181"/>
      <c r="AI330" s="181"/>
      <c r="AJ330" s="181"/>
      <c r="AK330" s="181"/>
      <c r="AL330" s="181"/>
      <c r="AM330" s="181"/>
      <c r="AN330" s="181"/>
      <c r="AO330" s="181"/>
      <c r="AP330" s="181"/>
      <c r="AQ330" s="181"/>
      <c r="AR330" s="181"/>
      <c r="AS330" s="181"/>
      <c r="AT330" s="181"/>
      <c r="AU330" s="181"/>
      <c r="AV330" s="181"/>
      <c r="AW330" s="181"/>
      <c r="AX330" s="181"/>
      <c r="AY330" s="181"/>
      <c r="AZ330" s="181"/>
      <c r="BA330" s="181"/>
      <c r="BB330" s="181"/>
      <c r="BC330" s="181"/>
      <c r="BD330" s="181"/>
      <c r="BE330" s="181"/>
    </row>
    <row r="331" spans="1:71" s="167" customFormat="1" ht="28.5" customHeight="1">
      <c r="B331" s="217" t="s">
        <v>1032</v>
      </c>
      <c r="C331" s="218" t="s">
        <v>1867</v>
      </c>
      <c r="D331" s="219"/>
      <c r="E331" s="220"/>
      <c r="F331" s="221" t="s">
        <v>1868</v>
      </c>
      <c r="G331" s="179"/>
      <c r="J331" s="180"/>
      <c r="X331" s="181"/>
      <c r="Y331" s="181"/>
      <c r="Z331" s="181"/>
      <c r="AA331" s="181"/>
      <c r="AB331" s="181"/>
      <c r="AC331" s="181"/>
      <c r="AD331" s="181"/>
      <c r="AE331" s="181"/>
      <c r="AF331" s="181"/>
      <c r="AG331" s="181"/>
      <c r="AH331" s="181"/>
      <c r="AI331" s="181"/>
      <c r="AJ331" s="181"/>
      <c r="AK331" s="181"/>
      <c r="AL331" s="181"/>
      <c r="AM331" s="181"/>
      <c r="AN331" s="181"/>
      <c r="AO331" s="181"/>
      <c r="AP331" s="181"/>
      <c r="AQ331" s="181"/>
      <c r="AR331" s="181"/>
      <c r="AS331" s="181"/>
      <c r="AT331" s="181"/>
      <c r="AU331" s="181"/>
      <c r="AV331" s="181"/>
      <c r="AW331" s="181"/>
      <c r="AX331" s="181"/>
      <c r="AY331" s="181"/>
      <c r="AZ331" s="181"/>
      <c r="BA331" s="181"/>
      <c r="BB331" s="181"/>
      <c r="BC331" s="181"/>
      <c r="BD331" s="181"/>
      <c r="BE331" s="181"/>
    </row>
    <row r="332" spans="1:71" s="167" customFormat="1">
      <c r="B332" s="222" t="s">
        <v>1032</v>
      </c>
      <c r="C332" s="223" t="s">
        <v>1869</v>
      </c>
      <c r="D332" s="222"/>
      <c r="E332" s="224"/>
      <c r="F332" s="225"/>
      <c r="G332" s="179"/>
      <c r="J332" s="180"/>
      <c r="X332" s="181"/>
      <c r="Y332" s="181"/>
      <c r="Z332" s="181"/>
      <c r="AA332" s="181"/>
      <c r="AB332" s="181"/>
      <c r="AC332" s="181"/>
      <c r="AD332" s="181"/>
      <c r="AE332" s="181"/>
      <c r="AF332" s="181"/>
      <c r="AG332" s="181"/>
      <c r="AH332" s="181"/>
      <c r="AI332" s="181"/>
      <c r="AJ332" s="181"/>
      <c r="AK332" s="181"/>
      <c r="AL332" s="181"/>
      <c r="AM332" s="181"/>
      <c r="AN332" s="181"/>
      <c r="AO332" s="181"/>
      <c r="AP332" s="181"/>
      <c r="AQ332" s="181"/>
      <c r="AR332" s="181"/>
      <c r="AS332" s="181"/>
      <c r="AT332" s="181"/>
      <c r="AU332" s="181"/>
      <c r="AV332" s="181"/>
      <c r="AW332" s="181"/>
      <c r="AX332" s="181"/>
      <c r="AY332" s="181"/>
      <c r="AZ332" s="181"/>
      <c r="BA332" s="181"/>
      <c r="BB332" s="181"/>
      <c r="BC332" s="181"/>
      <c r="BD332" s="181"/>
      <c r="BE332" s="181"/>
    </row>
    <row r="333" spans="1:71" s="167" customFormat="1">
      <c r="B333" s="93" t="s">
        <v>1622</v>
      </c>
      <c r="C333" s="94" t="s">
        <v>1624</v>
      </c>
      <c r="D333" s="513" t="s">
        <v>1625</v>
      </c>
      <c r="E333" s="511" t="s">
        <v>1870</v>
      </c>
      <c r="F333" s="97" t="s">
        <v>1871</v>
      </c>
      <c r="G333" s="179"/>
      <c r="J333" s="180"/>
      <c r="X333" s="181"/>
      <c r="Y333" s="181"/>
      <c r="Z333" s="181"/>
      <c r="AA333" s="181"/>
      <c r="AB333" s="181"/>
      <c r="AC333" s="181"/>
      <c r="AD333" s="181"/>
      <c r="AE333" s="181"/>
      <c r="AF333" s="181"/>
      <c r="AG333" s="181"/>
      <c r="AH333" s="181"/>
      <c r="AI333" s="181"/>
      <c r="AJ333" s="181"/>
      <c r="AK333" s="181"/>
      <c r="AL333" s="181"/>
      <c r="AM333" s="181"/>
      <c r="AN333" s="181"/>
      <c r="AO333" s="181"/>
      <c r="AP333" s="181"/>
      <c r="AQ333" s="181"/>
      <c r="AR333" s="181"/>
      <c r="AS333" s="181"/>
      <c r="AT333" s="181"/>
      <c r="AU333" s="181"/>
      <c r="AV333" s="181"/>
      <c r="AW333" s="181"/>
      <c r="AX333" s="181"/>
      <c r="AY333" s="181"/>
      <c r="AZ333" s="181"/>
      <c r="BA333" s="181"/>
      <c r="BB333" s="181"/>
      <c r="BC333" s="181"/>
      <c r="BD333" s="181"/>
      <c r="BE333" s="181"/>
    </row>
    <row r="334" spans="1:71" s="167" customFormat="1">
      <c r="B334" s="93" t="s">
        <v>1872</v>
      </c>
      <c r="C334" s="94"/>
      <c r="D334" s="95">
        <v>10</v>
      </c>
      <c r="E334" s="96"/>
      <c r="F334" s="97"/>
      <c r="G334" s="179"/>
      <c r="J334" s="180"/>
      <c r="X334" s="181"/>
      <c r="Y334" s="181"/>
      <c r="Z334" s="181"/>
      <c r="AA334" s="181"/>
      <c r="AB334" s="181"/>
      <c r="AC334" s="181"/>
      <c r="AD334" s="181"/>
      <c r="AE334" s="181"/>
      <c r="AF334" s="181"/>
      <c r="AG334" s="181"/>
      <c r="AH334" s="181"/>
      <c r="AI334" s="181"/>
      <c r="AJ334" s="181"/>
      <c r="AK334" s="181"/>
      <c r="AL334" s="181"/>
      <c r="AM334" s="181"/>
      <c r="AN334" s="181"/>
      <c r="AO334" s="181"/>
      <c r="AP334" s="181"/>
      <c r="AQ334" s="181"/>
      <c r="AR334" s="181"/>
      <c r="AS334" s="181"/>
      <c r="AT334" s="181"/>
      <c r="AU334" s="181"/>
      <c r="AV334" s="181"/>
      <c r="AW334" s="181"/>
      <c r="AX334" s="181"/>
      <c r="AY334" s="181"/>
      <c r="AZ334" s="181"/>
      <c r="BA334" s="181"/>
      <c r="BB334" s="181"/>
      <c r="BC334" s="181"/>
      <c r="BD334" s="181"/>
      <c r="BE334" s="181"/>
    </row>
    <row r="335" spans="1:71" s="167" customFormat="1">
      <c r="B335" s="222" t="s">
        <v>1032</v>
      </c>
      <c r="C335" s="223" t="s">
        <v>1873</v>
      </c>
      <c r="D335" s="222"/>
      <c r="E335" s="224"/>
      <c r="F335" s="225"/>
      <c r="G335" s="179"/>
      <c r="J335" s="180"/>
      <c r="X335" s="181"/>
      <c r="Y335" s="181"/>
      <c r="Z335" s="181"/>
      <c r="AA335" s="181"/>
      <c r="AB335" s="181"/>
      <c r="AC335" s="181"/>
      <c r="AD335" s="181"/>
      <c r="AE335" s="181"/>
      <c r="AF335" s="181"/>
      <c r="AG335" s="181"/>
      <c r="AH335" s="181"/>
      <c r="AI335" s="181"/>
      <c r="AJ335" s="181"/>
      <c r="AK335" s="181"/>
      <c r="AL335" s="181"/>
      <c r="AM335" s="181"/>
      <c r="AN335" s="181"/>
      <c r="AO335" s="181"/>
      <c r="AP335" s="181"/>
      <c r="AQ335" s="181"/>
      <c r="AR335" s="181"/>
      <c r="AS335" s="181"/>
      <c r="AT335" s="181"/>
      <c r="AU335" s="181"/>
      <c r="AV335" s="181"/>
      <c r="AW335" s="181"/>
      <c r="AX335" s="181"/>
      <c r="AY335" s="181"/>
      <c r="AZ335" s="181"/>
      <c r="BA335" s="181"/>
      <c r="BB335" s="181"/>
      <c r="BC335" s="181"/>
      <c r="BD335" s="181"/>
      <c r="BE335" s="181"/>
    </row>
    <row r="336" spans="1:71" s="167" customFormat="1">
      <c r="B336" s="90" t="s">
        <v>1874</v>
      </c>
      <c r="C336" s="226" t="s">
        <v>1648</v>
      </c>
      <c r="D336" s="510" t="s">
        <v>1649</v>
      </c>
      <c r="E336" s="189"/>
      <c r="F336" s="202" t="s">
        <v>1875</v>
      </c>
      <c r="G336" s="179"/>
      <c r="J336" s="180"/>
      <c r="X336" s="181"/>
      <c r="Y336" s="181"/>
      <c r="Z336" s="181"/>
      <c r="AA336" s="181"/>
      <c r="AB336" s="181"/>
      <c r="AC336" s="181"/>
      <c r="AD336" s="181"/>
      <c r="AE336" s="181"/>
      <c r="AF336" s="181"/>
      <c r="AG336" s="181"/>
      <c r="AH336" s="181"/>
      <c r="AI336" s="181"/>
      <c r="AJ336" s="181"/>
      <c r="AK336" s="181"/>
      <c r="AL336" s="181"/>
      <c r="AM336" s="181"/>
      <c r="AN336" s="181"/>
      <c r="AO336" s="181"/>
      <c r="AP336" s="181"/>
      <c r="AQ336" s="181"/>
      <c r="AR336" s="181"/>
      <c r="AS336" s="181"/>
      <c r="AT336" s="181"/>
      <c r="AU336" s="181"/>
      <c r="AV336" s="181"/>
      <c r="AW336" s="181"/>
      <c r="AX336" s="181"/>
      <c r="AY336" s="181"/>
      <c r="AZ336" s="181"/>
      <c r="BA336" s="181"/>
      <c r="BB336" s="181"/>
      <c r="BC336" s="181"/>
      <c r="BD336" s="181"/>
      <c r="BE336" s="181"/>
    </row>
    <row r="337" spans="1:71" s="167" customFormat="1">
      <c r="B337" s="90" t="s">
        <v>1874</v>
      </c>
      <c r="C337" s="226" t="s">
        <v>1876</v>
      </c>
      <c r="D337" s="510" t="s">
        <v>1877</v>
      </c>
      <c r="E337" s="189"/>
      <c r="F337" s="202" t="s">
        <v>1878</v>
      </c>
      <c r="G337" s="179"/>
      <c r="J337" s="180"/>
      <c r="X337" s="181"/>
      <c r="Y337" s="181"/>
      <c r="Z337" s="181"/>
      <c r="AA337" s="181"/>
      <c r="AB337" s="181"/>
      <c r="AC337" s="181"/>
      <c r="AD337" s="181"/>
      <c r="AE337" s="181"/>
      <c r="AF337" s="181"/>
      <c r="AG337" s="181"/>
      <c r="AH337" s="181"/>
      <c r="AI337" s="181"/>
      <c r="AJ337" s="181"/>
      <c r="AK337" s="181"/>
      <c r="AL337" s="181"/>
      <c r="AM337" s="181"/>
      <c r="AN337" s="181"/>
      <c r="AO337" s="181"/>
      <c r="AP337" s="181"/>
      <c r="AQ337" s="181"/>
      <c r="AR337" s="181"/>
      <c r="AS337" s="181"/>
      <c r="AT337" s="181"/>
      <c r="AU337" s="181"/>
      <c r="AV337" s="181"/>
      <c r="AW337" s="181"/>
      <c r="AX337" s="181"/>
      <c r="AY337" s="181"/>
      <c r="AZ337" s="181"/>
      <c r="BA337" s="181"/>
      <c r="BB337" s="181"/>
      <c r="BC337" s="181"/>
      <c r="BD337" s="181"/>
      <c r="BE337" s="181"/>
    </row>
    <row r="338" spans="1:71" s="167" customFormat="1">
      <c r="B338" s="90" t="s">
        <v>1841</v>
      </c>
      <c r="C338" s="226" t="s">
        <v>1635</v>
      </c>
      <c r="D338" s="510" t="s">
        <v>1636</v>
      </c>
      <c r="E338" s="189"/>
      <c r="F338" s="202" t="s">
        <v>1879</v>
      </c>
      <c r="G338" s="179"/>
      <c r="J338" s="180"/>
      <c r="X338" s="181"/>
      <c r="Y338" s="181"/>
      <c r="Z338" s="181"/>
      <c r="AA338" s="181"/>
      <c r="AB338" s="181"/>
      <c r="AC338" s="181"/>
      <c r="AD338" s="181"/>
      <c r="AE338" s="181"/>
      <c r="AF338" s="181"/>
      <c r="AG338" s="181"/>
      <c r="AH338" s="181"/>
      <c r="AI338" s="181"/>
      <c r="AJ338" s="181"/>
      <c r="AK338" s="181"/>
      <c r="AL338" s="181"/>
      <c r="AM338" s="181"/>
      <c r="AN338" s="181"/>
      <c r="AO338" s="181"/>
      <c r="AP338" s="181"/>
      <c r="AQ338" s="181"/>
      <c r="AR338" s="181"/>
      <c r="AS338" s="181"/>
      <c r="AT338" s="181"/>
      <c r="AU338" s="181"/>
      <c r="AV338" s="181"/>
      <c r="AW338" s="181"/>
      <c r="AX338" s="181"/>
      <c r="AY338" s="181"/>
      <c r="AZ338" s="181"/>
      <c r="BA338" s="181"/>
      <c r="BB338" s="181"/>
      <c r="BC338" s="181"/>
      <c r="BD338" s="181"/>
      <c r="BE338" s="181"/>
    </row>
    <row r="339" spans="1:71" s="167" customFormat="1">
      <c r="B339" s="90" t="s">
        <v>1841</v>
      </c>
      <c r="C339" s="226" t="s">
        <v>1646</v>
      </c>
      <c r="D339" s="510" t="s">
        <v>1647</v>
      </c>
      <c r="E339" s="189"/>
      <c r="F339" s="202" t="s">
        <v>1880</v>
      </c>
      <c r="G339" s="179"/>
      <c r="J339" s="180"/>
      <c r="X339" s="181"/>
      <c r="Y339" s="181"/>
      <c r="Z339" s="181"/>
      <c r="AA339" s="181"/>
      <c r="AB339" s="181"/>
      <c r="AC339" s="181"/>
      <c r="AD339" s="181"/>
      <c r="AE339" s="181"/>
      <c r="AF339" s="181"/>
      <c r="AG339" s="181"/>
      <c r="AH339" s="181"/>
      <c r="AI339" s="181"/>
      <c r="AJ339" s="181"/>
      <c r="AK339" s="181"/>
      <c r="AL339" s="181"/>
      <c r="AM339" s="181"/>
      <c r="AN339" s="181"/>
      <c r="AO339" s="181"/>
      <c r="AP339" s="181"/>
      <c r="AQ339" s="181"/>
      <c r="AR339" s="181"/>
      <c r="AS339" s="181"/>
      <c r="AT339" s="181"/>
      <c r="AU339" s="181"/>
      <c r="AV339" s="181"/>
      <c r="AW339" s="181"/>
      <c r="AX339" s="181"/>
      <c r="AY339" s="181"/>
      <c r="AZ339" s="181"/>
      <c r="BA339" s="181"/>
      <c r="BB339" s="181"/>
      <c r="BC339" s="181"/>
      <c r="BD339" s="181"/>
      <c r="BE339" s="181"/>
    </row>
    <row r="340" spans="1:71" s="167" customFormat="1">
      <c r="B340" s="90" t="s">
        <v>1841</v>
      </c>
      <c r="C340" s="226" t="s">
        <v>1881</v>
      </c>
      <c r="D340" s="510" t="s">
        <v>1842</v>
      </c>
      <c r="E340" s="189"/>
      <c r="F340" s="202" t="s">
        <v>1882</v>
      </c>
      <c r="G340" s="179"/>
      <c r="J340" s="180"/>
      <c r="X340" s="181"/>
      <c r="Y340" s="181"/>
      <c r="Z340" s="181"/>
      <c r="AA340" s="181"/>
      <c r="AB340" s="181"/>
      <c r="AC340" s="181"/>
      <c r="AD340" s="181"/>
      <c r="AE340" s="181"/>
      <c r="AF340" s="181"/>
      <c r="AG340" s="181"/>
      <c r="AH340" s="181"/>
      <c r="AI340" s="181"/>
      <c r="AJ340" s="181"/>
      <c r="AK340" s="181"/>
      <c r="AL340" s="181"/>
      <c r="AM340" s="181"/>
      <c r="AN340" s="181"/>
      <c r="AO340" s="181"/>
      <c r="AP340" s="181"/>
      <c r="AQ340" s="181"/>
      <c r="AR340" s="181"/>
      <c r="AS340" s="181"/>
      <c r="AT340" s="181"/>
      <c r="AU340" s="181"/>
      <c r="AV340" s="181"/>
      <c r="AW340" s="181"/>
      <c r="AX340" s="181"/>
      <c r="AY340" s="181"/>
      <c r="AZ340" s="181"/>
      <c r="BA340" s="181"/>
      <c r="BB340" s="181"/>
      <c r="BC340" s="181"/>
      <c r="BD340" s="181"/>
      <c r="BE340" s="181"/>
    </row>
    <row r="341" spans="1:71" s="167" customFormat="1">
      <c r="B341" s="90" t="s">
        <v>1622</v>
      </c>
      <c r="C341" s="227" t="s">
        <v>1631</v>
      </c>
      <c r="D341" s="510" t="s">
        <v>1632</v>
      </c>
      <c r="E341" s="514" t="s">
        <v>1633</v>
      </c>
      <c r="F341" s="228" t="s">
        <v>1883</v>
      </c>
      <c r="G341" s="179"/>
      <c r="J341" s="180"/>
      <c r="X341" s="181"/>
      <c r="Y341" s="181"/>
      <c r="Z341" s="181"/>
      <c r="AA341" s="181"/>
      <c r="AB341" s="181"/>
      <c r="AC341" s="181"/>
      <c r="AD341" s="181"/>
      <c r="AE341" s="181"/>
      <c r="AF341" s="181"/>
      <c r="AG341" s="181"/>
      <c r="AH341" s="181"/>
      <c r="AI341" s="181"/>
      <c r="AJ341" s="181"/>
      <c r="AK341" s="181"/>
      <c r="AL341" s="181"/>
      <c r="AM341" s="181"/>
      <c r="AN341" s="181"/>
      <c r="AO341" s="181"/>
      <c r="AP341" s="181"/>
      <c r="AQ341" s="181"/>
      <c r="AR341" s="181"/>
      <c r="AS341" s="181"/>
      <c r="AT341" s="181"/>
      <c r="AU341" s="181"/>
      <c r="AV341" s="181"/>
      <c r="AW341" s="181"/>
      <c r="AX341" s="181"/>
      <c r="AY341" s="181"/>
      <c r="AZ341" s="181"/>
      <c r="BA341" s="181"/>
      <c r="BB341" s="181"/>
      <c r="BC341" s="181"/>
      <c r="BD341" s="181"/>
      <c r="BE341" s="181"/>
    </row>
    <row r="342" spans="1:71" s="167" customFormat="1">
      <c r="B342" s="90" t="s">
        <v>1035</v>
      </c>
      <c r="C342" s="226" t="s">
        <v>1635</v>
      </c>
      <c r="D342" s="510" t="s">
        <v>1636</v>
      </c>
      <c r="E342" s="514" t="s">
        <v>1042</v>
      </c>
      <c r="F342" s="228" t="s">
        <v>1884</v>
      </c>
      <c r="G342" s="179"/>
      <c r="J342" s="180"/>
      <c r="X342" s="181"/>
      <c r="Y342" s="181"/>
      <c r="Z342" s="181"/>
      <c r="AA342" s="181"/>
      <c r="AB342" s="181"/>
      <c r="AC342" s="181"/>
      <c r="AD342" s="181"/>
      <c r="AE342" s="181"/>
      <c r="AF342" s="181"/>
      <c r="AG342" s="181"/>
      <c r="AH342" s="181"/>
      <c r="AI342" s="181"/>
      <c r="AJ342" s="181"/>
      <c r="AK342" s="181"/>
      <c r="AL342" s="181"/>
      <c r="AM342" s="181"/>
      <c r="AN342" s="181"/>
      <c r="AO342" s="181"/>
      <c r="AP342" s="181"/>
      <c r="AQ342" s="181"/>
      <c r="AR342" s="181"/>
      <c r="AS342" s="181"/>
      <c r="AT342" s="181"/>
      <c r="AU342" s="181"/>
      <c r="AV342" s="181"/>
      <c r="AW342" s="181"/>
      <c r="AX342" s="181"/>
      <c r="AY342" s="181"/>
      <c r="AZ342" s="181"/>
      <c r="BA342" s="181"/>
      <c r="BB342" s="181"/>
      <c r="BC342" s="181"/>
      <c r="BD342" s="181"/>
      <c r="BE342" s="181"/>
    </row>
    <row r="343" spans="1:71" s="167" customFormat="1">
      <c r="B343" s="90" t="s">
        <v>1035</v>
      </c>
      <c r="C343" s="226" t="s">
        <v>1646</v>
      </c>
      <c r="D343" s="510" t="s">
        <v>1647</v>
      </c>
      <c r="E343" s="514" t="s">
        <v>1042</v>
      </c>
      <c r="F343" s="228" t="s">
        <v>1884</v>
      </c>
      <c r="G343" s="179"/>
      <c r="J343" s="180"/>
      <c r="X343" s="181"/>
      <c r="Y343" s="181"/>
      <c r="Z343" s="181"/>
      <c r="AA343" s="181"/>
      <c r="AB343" s="181"/>
      <c r="AC343" s="181"/>
      <c r="AD343" s="181"/>
      <c r="AE343" s="181"/>
      <c r="AF343" s="181"/>
      <c r="AG343" s="181"/>
      <c r="AH343" s="181"/>
      <c r="AI343" s="181"/>
      <c r="AJ343" s="181"/>
      <c r="AK343" s="181"/>
      <c r="AL343" s="181"/>
      <c r="AM343" s="181"/>
      <c r="AN343" s="181"/>
      <c r="AO343" s="181"/>
      <c r="AP343" s="181"/>
      <c r="AQ343" s="181"/>
      <c r="AR343" s="181"/>
      <c r="AS343" s="181"/>
      <c r="AT343" s="181"/>
      <c r="AU343" s="181"/>
      <c r="AV343" s="181"/>
      <c r="AW343" s="181"/>
      <c r="AX343" s="181"/>
      <c r="AY343" s="181"/>
      <c r="AZ343" s="181"/>
      <c r="BA343" s="181"/>
      <c r="BB343" s="181"/>
      <c r="BC343" s="181"/>
      <c r="BD343" s="181"/>
      <c r="BE343" s="181"/>
    </row>
    <row r="344" spans="1:71" s="167" customFormat="1">
      <c r="B344" s="90" t="s">
        <v>1622</v>
      </c>
      <c r="C344" s="226" t="s">
        <v>1648</v>
      </c>
      <c r="D344" s="510" t="s">
        <v>1649</v>
      </c>
      <c r="E344" s="514" t="s">
        <v>1633</v>
      </c>
      <c r="F344" s="228" t="s">
        <v>1884</v>
      </c>
      <c r="G344" s="179"/>
      <c r="J344" s="180"/>
      <c r="X344" s="181"/>
      <c r="Y344" s="181"/>
      <c r="Z344" s="181"/>
      <c r="AA344" s="181"/>
      <c r="AB344" s="181"/>
      <c r="AC344" s="181"/>
      <c r="AD344" s="181"/>
      <c r="AE344" s="181"/>
      <c r="AF344" s="181"/>
      <c r="AG344" s="181"/>
      <c r="AH344" s="181"/>
      <c r="AI344" s="181"/>
      <c r="AJ344" s="181"/>
      <c r="AK344" s="181"/>
      <c r="AL344" s="181"/>
      <c r="AM344" s="181"/>
      <c r="AN344" s="181"/>
      <c r="AO344" s="181"/>
      <c r="AP344" s="181"/>
      <c r="AQ344" s="181"/>
      <c r="AR344" s="181"/>
      <c r="AS344" s="181"/>
      <c r="AT344" s="181"/>
      <c r="AU344" s="181"/>
      <c r="AV344" s="181"/>
      <c r="AW344" s="181"/>
      <c r="AX344" s="181"/>
      <c r="AY344" s="181"/>
      <c r="AZ344" s="181"/>
      <c r="BA344" s="181"/>
      <c r="BB344" s="181"/>
      <c r="BC344" s="181"/>
      <c r="BD344" s="181"/>
      <c r="BE344" s="181"/>
    </row>
    <row r="345" spans="1:71" s="167" customFormat="1" ht="57">
      <c r="B345" s="90"/>
      <c r="C345" s="226"/>
      <c r="D345" s="90"/>
      <c r="E345" s="189"/>
      <c r="F345" s="229" t="s">
        <v>1885</v>
      </c>
      <c r="G345" s="179"/>
      <c r="J345" s="180"/>
      <c r="X345" s="181"/>
      <c r="Y345" s="181"/>
      <c r="Z345" s="181"/>
      <c r="AA345" s="181"/>
      <c r="AB345" s="181"/>
      <c r="AC345" s="181"/>
      <c r="AD345" s="181"/>
      <c r="AE345" s="181"/>
      <c r="AF345" s="181"/>
      <c r="AG345" s="181"/>
      <c r="AH345" s="181"/>
      <c r="AI345" s="181"/>
      <c r="AJ345" s="181"/>
      <c r="AK345" s="181"/>
      <c r="AL345" s="181"/>
      <c r="AM345" s="181"/>
      <c r="AN345" s="181"/>
      <c r="AO345" s="181"/>
      <c r="AP345" s="181"/>
      <c r="AQ345" s="181"/>
      <c r="AR345" s="181"/>
      <c r="AS345" s="181"/>
      <c r="AT345" s="181"/>
      <c r="AU345" s="181"/>
      <c r="AV345" s="181"/>
      <c r="AW345" s="181"/>
      <c r="AX345" s="181"/>
      <c r="AY345" s="181"/>
      <c r="AZ345" s="181"/>
      <c r="BA345" s="181"/>
      <c r="BB345" s="181"/>
      <c r="BC345" s="181"/>
      <c r="BD345" s="181"/>
      <c r="BE345" s="181"/>
    </row>
    <row r="346" spans="1:71" s="167" customFormat="1">
      <c r="B346" s="222" t="s">
        <v>1886</v>
      </c>
      <c r="C346" s="223" t="s">
        <v>1887</v>
      </c>
      <c r="D346" s="222"/>
      <c r="E346" s="224"/>
      <c r="F346" s="225"/>
      <c r="G346" s="179"/>
      <c r="J346" s="180"/>
      <c r="X346" s="181"/>
      <c r="Y346" s="181"/>
      <c r="Z346" s="181"/>
      <c r="AA346" s="181"/>
      <c r="AB346" s="181"/>
      <c r="AC346" s="181"/>
      <c r="AD346" s="181"/>
      <c r="AE346" s="181"/>
      <c r="AF346" s="181"/>
      <c r="AG346" s="181"/>
      <c r="AH346" s="181"/>
      <c r="AI346" s="181"/>
      <c r="AJ346" s="181"/>
      <c r="AK346" s="181"/>
      <c r="AL346" s="181"/>
      <c r="AM346" s="181"/>
      <c r="AN346" s="181"/>
      <c r="AO346" s="181"/>
      <c r="AP346" s="181"/>
      <c r="AQ346" s="181"/>
      <c r="AR346" s="181"/>
      <c r="AS346" s="181"/>
      <c r="AT346" s="181"/>
      <c r="AU346" s="181"/>
      <c r="AV346" s="181"/>
      <c r="AW346" s="181"/>
      <c r="AX346" s="181"/>
      <c r="AY346" s="181"/>
      <c r="AZ346" s="181"/>
      <c r="BA346" s="181"/>
      <c r="BB346" s="181"/>
      <c r="BC346" s="181"/>
      <c r="BD346" s="181"/>
      <c r="BE346" s="181"/>
    </row>
    <row r="347" spans="1:71" s="167" customFormat="1">
      <c r="B347" s="173" t="s">
        <v>1864</v>
      </c>
      <c r="C347" s="89"/>
      <c r="D347" s="90"/>
      <c r="E347" s="166"/>
      <c r="F347" s="97"/>
      <c r="G347" s="179"/>
      <c r="J347" s="180"/>
      <c r="X347" s="181"/>
      <c r="Y347" s="181"/>
      <c r="Z347" s="181"/>
      <c r="AA347" s="181"/>
      <c r="AB347" s="181"/>
      <c r="AC347" s="181"/>
      <c r="AD347" s="181"/>
      <c r="AE347" s="181"/>
      <c r="AF347" s="181"/>
      <c r="AG347" s="181"/>
      <c r="AH347" s="181"/>
      <c r="AI347" s="181"/>
      <c r="AJ347" s="181"/>
      <c r="AK347" s="181"/>
      <c r="AL347" s="181"/>
      <c r="AM347" s="181"/>
      <c r="AN347" s="181"/>
      <c r="AO347" s="181"/>
      <c r="AP347" s="181"/>
      <c r="AQ347" s="181"/>
      <c r="AR347" s="181"/>
      <c r="AS347" s="181"/>
      <c r="AT347" s="181"/>
      <c r="AU347" s="181"/>
      <c r="AV347" s="181"/>
      <c r="AW347" s="181"/>
      <c r="AX347" s="181"/>
      <c r="AY347" s="181"/>
      <c r="AZ347" s="181"/>
      <c r="BA347" s="181"/>
      <c r="BB347" s="181"/>
      <c r="BC347" s="181"/>
      <c r="BD347" s="181"/>
      <c r="BE347" s="181"/>
    </row>
    <row r="348" spans="1:71" s="167" customFormat="1">
      <c r="B348" s="230"/>
      <c r="C348" s="72"/>
      <c r="D348" s="230"/>
      <c r="E348" s="231"/>
      <c r="F348" s="232"/>
      <c r="G348" s="179"/>
      <c r="J348" s="180"/>
      <c r="X348" s="181"/>
      <c r="Y348" s="181"/>
      <c r="Z348" s="181"/>
      <c r="AA348" s="181"/>
      <c r="AB348" s="181"/>
      <c r="AC348" s="181"/>
      <c r="AD348" s="181"/>
      <c r="AE348" s="181"/>
      <c r="AF348" s="181"/>
      <c r="AG348" s="181"/>
      <c r="AH348" s="181"/>
      <c r="AI348" s="181"/>
      <c r="AJ348" s="181"/>
      <c r="AK348" s="181"/>
      <c r="AL348" s="181"/>
      <c r="AM348" s="181"/>
      <c r="AN348" s="181"/>
      <c r="AO348" s="181"/>
      <c r="AP348" s="181"/>
      <c r="AQ348" s="181"/>
      <c r="AR348" s="181"/>
      <c r="AS348" s="181"/>
      <c r="AT348" s="181"/>
      <c r="AU348" s="181"/>
      <c r="AV348" s="181"/>
      <c r="AW348" s="181"/>
      <c r="AX348" s="181"/>
      <c r="AY348" s="181"/>
      <c r="AZ348" s="181"/>
      <c r="BA348" s="181"/>
      <c r="BB348" s="181"/>
      <c r="BC348" s="181"/>
      <c r="BD348" s="181"/>
      <c r="BE348" s="181"/>
    </row>
    <row r="349" spans="1:71" s="167" customFormat="1" ht="33.75" customHeight="1">
      <c r="B349" s="182" t="s">
        <v>1032</v>
      </c>
      <c r="C349" s="183" t="s">
        <v>1888</v>
      </c>
      <c r="D349" s="184"/>
      <c r="E349" s="185"/>
      <c r="F349" s="186" t="s">
        <v>1889</v>
      </c>
      <c r="G349" s="179"/>
      <c r="J349" s="180"/>
      <c r="X349" s="181"/>
      <c r="Y349" s="181"/>
      <c r="Z349" s="181"/>
      <c r="AA349" s="181"/>
      <c r="AB349" s="181"/>
      <c r="AC349" s="181"/>
      <c r="AD349" s="181"/>
      <c r="AE349" s="181"/>
      <c r="AF349" s="181"/>
      <c r="AG349" s="181"/>
      <c r="AH349" s="181"/>
      <c r="AI349" s="181"/>
      <c r="AJ349" s="181"/>
      <c r="AK349" s="181"/>
      <c r="AL349" s="181"/>
      <c r="AM349" s="181"/>
      <c r="AN349" s="181"/>
      <c r="AO349" s="181"/>
      <c r="AP349" s="181"/>
      <c r="AQ349" s="181"/>
      <c r="AR349" s="181"/>
      <c r="AS349" s="181"/>
      <c r="AT349" s="181"/>
      <c r="AU349" s="181"/>
      <c r="AV349" s="181"/>
      <c r="AW349" s="181"/>
      <c r="AX349" s="181"/>
      <c r="AY349" s="181"/>
      <c r="AZ349" s="181"/>
      <c r="BA349" s="181"/>
      <c r="BB349" s="181"/>
      <c r="BC349" s="181"/>
      <c r="BD349" s="181"/>
      <c r="BE349" s="181"/>
    </row>
    <row r="350" spans="1:71" s="167" customFormat="1">
      <c r="B350" s="164" t="s">
        <v>1032</v>
      </c>
      <c r="C350" s="163" t="s">
        <v>1846</v>
      </c>
      <c r="D350" s="164"/>
      <c r="E350" s="165"/>
      <c r="F350" s="233"/>
      <c r="G350" s="179"/>
      <c r="J350" s="180"/>
      <c r="X350" s="181"/>
      <c r="Y350" s="181"/>
      <c r="Z350" s="181"/>
      <c r="AA350" s="181"/>
      <c r="AB350" s="181"/>
      <c r="AC350" s="181"/>
      <c r="AD350" s="181"/>
      <c r="AE350" s="181"/>
      <c r="AF350" s="181"/>
      <c r="AG350" s="181"/>
      <c r="AH350" s="181"/>
      <c r="AI350" s="181"/>
      <c r="AJ350" s="181"/>
      <c r="AK350" s="181"/>
      <c r="AL350" s="181"/>
      <c r="AM350" s="181"/>
      <c r="AN350" s="181"/>
      <c r="AO350" s="181"/>
      <c r="AP350" s="181"/>
      <c r="AQ350" s="181"/>
      <c r="AR350" s="181"/>
      <c r="AS350" s="181"/>
      <c r="AT350" s="181"/>
      <c r="AU350" s="181"/>
      <c r="AV350" s="181"/>
      <c r="AW350" s="181"/>
      <c r="AX350" s="181"/>
      <c r="AY350" s="181"/>
      <c r="AZ350" s="181"/>
      <c r="BA350" s="181"/>
      <c r="BB350" s="181"/>
      <c r="BC350" s="181"/>
      <c r="BD350" s="181"/>
      <c r="BE350" s="181"/>
    </row>
    <row r="351" spans="1:71" s="64" customFormat="1">
      <c r="A351" s="65"/>
      <c r="B351" s="101" t="str">
        <f>IF(G351="Disable","REMnd","WR16")</f>
        <v>WR16</v>
      </c>
      <c r="C351" s="94" t="s">
        <v>1631</v>
      </c>
      <c r="D351" s="513" t="s">
        <v>1632</v>
      </c>
      <c r="E351" s="91" t="str">
        <f>DEC2HEX(Y351*2^31+Z351*2^30+AA351*2^29+AB351*2^28+AC351*2^27+AD351*2^26+AE351*2^25+AF351*2^24+AG351*2^23+AH351*2^22+AI351*2^21+AJ351*2^20+AK351*2^19+AL351*2^18+AM351*2^17+AN351*2^16+AO351*2^15+AP351*2^14+AQ351*2^13+AR351*2^12+AS351*2^11+AT351*2^10+AU351*2^9+AV351*2^8+AW351*2^7+AX351*2^6+AY351*2^5+AZ351*2^4+BA351*2^3+BB351*2^2+BC351*2^1+BD351*2^0,4)</f>
        <v>0D3F</v>
      </c>
      <c r="F351" s="97" t="s">
        <v>1890</v>
      </c>
      <c r="G351" s="104" t="s">
        <v>721</v>
      </c>
      <c r="H351" s="178" t="s">
        <v>1848</v>
      </c>
      <c r="I351" s="178" t="s">
        <v>1849</v>
      </c>
      <c r="J351" s="178" t="s">
        <v>1850</v>
      </c>
      <c r="K351" s="178" t="s">
        <v>1851</v>
      </c>
      <c r="L351" s="104" t="s">
        <v>1852</v>
      </c>
      <c r="M351" s="104" t="s">
        <v>1853</v>
      </c>
      <c r="N351" s="104" t="s">
        <v>1891</v>
      </c>
      <c r="O351" s="104" t="s">
        <v>1855</v>
      </c>
      <c r="P351" s="178" t="s">
        <v>1714</v>
      </c>
      <c r="Q351" s="178" t="s">
        <v>1715</v>
      </c>
      <c r="R351" s="104" t="s">
        <v>1892</v>
      </c>
      <c r="S351" s="104" t="s">
        <v>1857</v>
      </c>
      <c r="T351" s="104" t="s">
        <v>1858</v>
      </c>
      <c r="U351" s="104" t="s">
        <v>1859</v>
      </c>
      <c r="V351" s="104" t="s">
        <v>1860</v>
      </c>
      <c r="W351" s="104" t="s">
        <v>1861</v>
      </c>
      <c r="X351" s="131"/>
      <c r="Y351" s="64">
        <v>0</v>
      </c>
      <c r="Z351" s="64">
        <v>0</v>
      </c>
      <c r="AA351" s="64">
        <v>0</v>
      </c>
      <c r="AB351" s="64">
        <v>0</v>
      </c>
      <c r="AC351" s="64">
        <v>0</v>
      </c>
      <c r="AD351" s="64">
        <v>0</v>
      </c>
      <c r="AE351" s="64">
        <v>0</v>
      </c>
      <c r="AF351" s="64">
        <v>0</v>
      </c>
      <c r="AG351" s="64">
        <v>0</v>
      </c>
      <c r="AH351" s="131">
        <v>0</v>
      </c>
      <c r="AI351" s="64">
        <v>0</v>
      </c>
      <c r="AJ351" s="64">
        <v>0</v>
      </c>
      <c r="AK351" s="64">
        <v>0</v>
      </c>
      <c r="AL351" s="64">
        <v>0</v>
      </c>
      <c r="AM351" s="64">
        <v>0</v>
      </c>
      <c r="AN351" s="64">
        <v>0</v>
      </c>
      <c r="AO351" s="64">
        <v>0</v>
      </c>
      <c r="AP351" s="64">
        <v>0</v>
      </c>
      <c r="AQ351" s="64">
        <v>0</v>
      </c>
      <c r="AR351" s="64">
        <v>0</v>
      </c>
      <c r="AS351" s="64">
        <f>IF(L351="DSITX1 Enb",0,1)</f>
        <v>1</v>
      </c>
      <c r="AT351" s="64">
        <f>IF(M351="AMUTE Enb",0,1)</f>
        <v>1</v>
      </c>
      <c r="AU351" s="64">
        <f>IF(N351="HDMI Enb",0,1)</f>
        <v>0</v>
      </c>
      <c r="AV351" s="64">
        <f>IF(O351="DSITX0 Enb",0,1)</f>
        <v>1</v>
      </c>
      <c r="AW351" s="64">
        <v>0</v>
      </c>
      <c r="AX351" s="64">
        <v>0</v>
      </c>
      <c r="AY351" s="64">
        <f>IF(R351="SYS Enb",0,1)</f>
        <v>1</v>
      </c>
      <c r="AZ351" s="64">
        <f>IF(S351="CEC-Er Enb",0,1)</f>
        <v>1</v>
      </c>
      <c r="BA351" s="64">
        <f>IF(T351="CEC-TX Enb",0,1)</f>
        <v>1</v>
      </c>
      <c r="BB351" s="64">
        <f>IF(U351="CEC-RX Enb",0,1)</f>
        <v>1</v>
      </c>
      <c r="BC351" s="64">
        <f>IF(V351="IR_Er Enb",0,1)</f>
        <v>1</v>
      </c>
      <c r="BD351" s="64">
        <f>IF(W351="IR_Dat Enb",0,1)</f>
        <v>1</v>
      </c>
      <c r="BF351" s="65"/>
      <c r="BG351" s="65"/>
      <c r="BH351" s="65"/>
      <c r="BI351" s="65"/>
      <c r="BJ351" s="65"/>
      <c r="BK351" s="65"/>
      <c r="BL351" s="65"/>
      <c r="BM351" s="65"/>
      <c r="BN351" s="65"/>
      <c r="BO351" s="65"/>
      <c r="BP351" s="65"/>
      <c r="BQ351" s="65"/>
      <c r="BR351" s="65"/>
      <c r="BS351" s="65"/>
    </row>
    <row r="352" spans="1:71" s="167" customFormat="1">
      <c r="B352" s="84" t="s">
        <v>1032</v>
      </c>
      <c r="C352" s="163" t="s">
        <v>1893</v>
      </c>
      <c r="D352" s="164"/>
      <c r="E352" s="165"/>
      <c r="F352" s="87"/>
      <c r="G352" s="179"/>
      <c r="J352" s="180"/>
      <c r="X352" s="181"/>
      <c r="Y352" s="181"/>
      <c r="Z352" s="181"/>
      <c r="AA352" s="181"/>
      <c r="AB352" s="181"/>
      <c r="AC352" s="181"/>
      <c r="AD352" s="181"/>
      <c r="AE352" s="181"/>
      <c r="AF352" s="181"/>
      <c r="AG352" s="181"/>
      <c r="AH352" s="181"/>
      <c r="AI352" s="181"/>
      <c r="AJ352" s="181"/>
      <c r="AK352" s="181"/>
      <c r="AL352" s="181"/>
      <c r="AM352" s="181"/>
      <c r="AN352" s="181"/>
      <c r="AO352" s="181"/>
      <c r="AP352" s="181"/>
      <c r="AQ352" s="181"/>
      <c r="AR352" s="181"/>
      <c r="AS352" s="181"/>
      <c r="AT352" s="181"/>
      <c r="AU352" s="181"/>
      <c r="AV352" s="181"/>
      <c r="AW352" s="181"/>
      <c r="AX352" s="181"/>
      <c r="AY352" s="181"/>
      <c r="AZ352" s="181"/>
      <c r="BA352" s="181"/>
      <c r="BB352" s="181"/>
      <c r="BC352" s="181"/>
      <c r="BD352" s="181"/>
      <c r="BE352" s="181"/>
    </row>
    <row r="353" spans="2:57" s="167" customFormat="1">
      <c r="B353" s="93" t="s">
        <v>1035</v>
      </c>
      <c r="C353" s="89" t="s">
        <v>1894</v>
      </c>
      <c r="D353" s="510" t="s">
        <v>1895</v>
      </c>
      <c r="E353" s="511" t="s">
        <v>1079</v>
      </c>
      <c r="F353" s="97"/>
      <c r="G353" s="179"/>
      <c r="J353" s="180"/>
      <c r="X353" s="181"/>
      <c r="Y353" s="181"/>
      <c r="Z353" s="181"/>
      <c r="AA353" s="181"/>
      <c r="AB353" s="181"/>
      <c r="AC353" s="181"/>
      <c r="AD353" s="181"/>
      <c r="AE353" s="181"/>
      <c r="AF353" s="181"/>
      <c r="AG353" s="181"/>
      <c r="AH353" s="181"/>
      <c r="AI353" s="181"/>
      <c r="AJ353" s="181"/>
      <c r="AK353" s="181"/>
      <c r="AL353" s="181"/>
      <c r="AM353" s="181"/>
      <c r="AN353" s="181"/>
      <c r="AO353" s="181"/>
      <c r="AP353" s="181"/>
      <c r="AQ353" s="181"/>
      <c r="AR353" s="181"/>
      <c r="AS353" s="181"/>
      <c r="AT353" s="181"/>
      <c r="AU353" s="181"/>
      <c r="AV353" s="181"/>
      <c r="AW353" s="181"/>
      <c r="AX353" s="181"/>
      <c r="AY353" s="181"/>
      <c r="AZ353" s="181"/>
      <c r="BA353" s="181"/>
      <c r="BB353" s="181"/>
      <c r="BC353" s="181"/>
      <c r="BD353" s="181"/>
      <c r="BE353" s="181"/>
    </row>
    <row r="354" spans="2:57" s="167" customFormat="1">
      <c r="B354" s="173" t="s">
        <v>1864</v>
      </c>
      <c r="C354" s="89"/>
      <c r="D354" s="90"/>
      <c r="E354" s="166"/>
      <c r="F354" s="97"/>
      <c r="G354" s="179"/>
      <c r="J354" s="180"/>
      <c r="X354" s="181"/>
      <c r="Y354" s="181"/>
      <c r="Z354" s="181"/>
      <c r="AA354" s="181"/>
      <c r="AB354" s="181"/>
      <c r="AC354" s="181"/>
      <c r="AD354" s="181"/>
      <c r="AE354" s="181"/>
      <c r="AF354" s="181"/>
      <c r="AG354" s="181"/>
      <c r="AH354" s="181"/>
      <c r="AI354" s="181"/>
      <c r="AJ354" s="181"/>
      <c r="AK354" s="181"/>
      <c r="AL354" s="181"/>
      <c r="AM354" s="181"/>
      <c r="AN354" s="181"/>
      <c r="AO354" s="181"/>
      <c r="AP354" s="181"/>
      <c r="AQ354" s="181"/>
      <c r="AR354" s="181"/>
      <c r="AS354" s="181"/>
      <c r="AT354" s="181"/>
      <c r="AU354" s="181"/>
      <c r="AV354" s="181"/>
      <c r="AW354" s="181"/>
      <c r="AX354" s="181"/>
      <c r="AY354" s="181"/>
      <c r="AZ354" s="181"/>
      <c r="BA354" s="181"/>
      <c r="BB354" s="181"/>
      <c r="BC354" s="181"/>
      <c r="BD354" s="181"/>
      <c r="BE354" s="181"/>
    </row>
    <row r="355" spans="2:57" s="167" customFormat="1">
      <c r="B355" s="213"/>
      <c r="C355" s="181"/>
      <c r="D355" s="214"/>
      <c r="E355" s="215"/>
      <c r="F355" s="181"/>
      <c r="G355" s="179"/>
      <c r="J355" s="180"/>
      <c r="X355" s="181"/>
      <c r="Y355" s="181"/>
      <c r="Z355" s="181"/>
      <c r="AA355" s="181"/>
      <c r="AB355" s="181"/>
      <c r="AC355" s="181"/>
      <c r="AD355" s="181"/>
      <c r="AE355" s="181"/>
      <c r="AF355" s="181"/>
      <c r="AG355" s="181"/>
      <c r="AH355" s="181"/>
      <c r="AI355" s="181"/>
      <c r="AJ355" s="181"/>
      <c r="AK355" s="181"/>
      <c r="AL355" s="181"/>
      <c r="AM355" s="181"/>
      <c r="AN355" s="181"/>
      <c r="AO355" s="181"/>
      <c r="AP355" s="181"/>
      <c r="AQ355" s="181"/>
      <c r="AR355" s="181"/>
      <c r="AS355" s="181"/>
      <c r="AT355" s="181"/>
      <c r="AU355" s="181"/>
      <c r="AV355" s="181"/>
      <c r="AW355" s="181"/>
      <c r="AX355" s="181"/>
      <c r="AY355" s="181"/>
      <c r="AZ355" s="181"/>
      <c r="BA355" s="181"/>
      <c r="BB355" s="181"/>
      <c r="BC355" s="181"/>
      <c r="BD355" s="181"/>
      <c r="BE355" s="181"/>
    </row>
    <row r="356" spans="2:57" s="167" customFormat="1" ht="28.5" customHeight="1">
      <c r="B356" s="176" t="s">
        <v>1865</v>
      </c>
      <c r="C356" s="216" t="s">
        <v>1866</v>
      </c>
      <c r="D356" s="216"/>
      <c r="E356" s="216"/>
      <c r="F356" s="216"/>
      <c r="G356" s="179"/>
      <c r="J356" s="180"/>
      <c r="X356" s="181"/>
      <c r="Y356" s="181"/>
      <c r="Z356" s="181"/>
      <c r="AA356" s="181"/>
      <c r="AB356" s="181"/>
      <c r="AC356" s="181"/>
      <c r="AD356" s="181"/>
      <c r="AE356" s="181"/>
      <c r="AF356" s="181"/>
      <c r="AG356" s="181"/>
      <c r="AH356" s="181"/>
      <c r="AI356" s="181"/>
      <c r="AJ356" s="181"/>
      <c r="AK356" s="181"/>
      <c r="AL356" s="181"/>
      <c r="AM356" s="181"/>
      <c r="AN356" s="181"/>
      <c r="AO356" s="181"/>
      <c r="AP356" s="181"/>
      <c r="AQ356" s="181"/>
      <c r="AR356" s="181"/>
      <c r="AS356" s="181"/>
      <c r="AT356" s="181"/>
      <c r="AU356" s="181"/>
      <c r="AV356" s="181"/>
      <c r="AW356" s="181"/>
      <c r="AX356" s="181"/>
      <c r="AY356" s="181"/>
      <c r="AZ356" s="181"/>
      <c r="BA356" s="181"/>
      <c r="BB356" s="181"/>
      <c r="BC356" s="181"/>
      <c r="BD356" s="181"/>
      <c r="BE356" s="181"/>
    </row>
    <row r="357" spans="2:57" s="167" customFormat="1" ht="28.5" customHeight="1">
      <c r="B357" s="217" t="s">
        <v>1032</v>
      </c>
      <c r="C357" s="218" t="s">
        <v>1867</v>
      </c>
      <c r="D357" s="219"/>
      <c r="E357" s="220"/>
      <c r="F357" s="221" t="s">
        <v>1896</v>
      </c>
      <c r="G357" s="179"/>
      <c r="J357" s="180"/>
      <c r="X357" s="181"/>
      <c r="Y357" s="181"/>
      <c r="Z357" s="181"/>
      <c r="AA357" s="181"/>
      <c r="AB357" s="181"/>
      <c r="AC357" s="181"/>
      <c r="AD357" s="181"/>
      <c r="AE357" s="181"/>
      <c r="AF357" s="181"/>
      <c r="AG357" s="181"/>
      <c r="AH357" s="181"/>
      <c r="AI357" s="181"/>
      <c r="AJ357" s="181"/>
      <c r="AK357" s="181"/>
      <c r="AL357" s="181"/>
      <c r="AM357" s="181"/>
      <c r="AN357" s="181"/>
      <c r="AO357" s="181"/>
      <c r="AP357" s="181"/>
      <c r="AQ357" s="181"/>
      <c r="AR357" s="181"/>
      <c r="AS357" s="181"/>
      <c r="AT357" s="181"/>
      <c r="AU357" s="181"/>
      <c r="AV357" s="181"/>
      <c r="AW357" s="181"/>
      <c r="AX357" s="181"/>
      <c r="AY357" s="181"/>
      <c r="AZ357" s="181"/>
      <c r="BA357" s="181"/>
      <c r="BB357" s="181"/>
      <c r="BC357" s="181"/>
      <c r="BD357" s="181"/>
      <c r="BE357" s="181"/>
    </row>
    <row r="358" spans="2:57" s="167" customFormat="1">
      <c r="B358" s="222" t="s">
        <v>1032</v>
      </c>
      <c r="C358" s="223" t="s">
        <v>1869</v>
      </c>
      <c r="D358" s="222"/>
      <c r="E358" s="224"/>
      <c r="F358" s="225"/>
      <c r="G358" s="179"/>
      <c r="J358" s="180"/>
      <c r="X358" s="181"/>
      <c r="Y358" s="181"/>
      <c r="Z358" s="181"/>
      <c r="AA358" s="181"/>
      <c r="AB358" s="181"/>
      <c r="AC358" s="181"/>
      <c r="AD358" s="181"/>
      <c r="AE358" s="181"/>
      <c r="AF358" s="181"/>
      <c r="AG358" s="181"/>
      <c r="AH358" s="181"/>
      <c r="AI358" s="181"/>
      <c r="AJ358" s="181"/>
      <c r="AK358" s="181"/>
      <c r="AL358" s="181"/>
      <c r="AM358" s="181"/>
      <c r="AN358" s="181"/>
      <c r="AO358" s="181"/>
      <c r="AP358" s="181"/>
      <c r="AQ358" s="181"/>
      <c r="AR358" s="181"/>
      <c r="AS358" s="181"/>
      <c r="AT358" s="181"/>
      <c r="AU358" s="181"/>
      <c r="AV358" s="181"/>
      <c r="AW358" s="181"/>
      <c r="AX358" s="181"/>
      <c r="AY358" s="181"/>
      <c r="AZ358" s="181"/>
      <c r="BA358" s="181"/>
      <c r="BB358" s="181"/>
      <c r="BC358" s="181"/>
      <c r="BD358" s="181"/>
      <c r="BE358" s="181"/>
    </row>
    <row r="359" spans="2:57" s="167" customFormat="1">
      <c r="B359" s="93" t="s">
        <v>1622</v>
      </c>
      <c r="C359" s="94" t="s">
        <v>1624</v>
      </c>
      <c r="D359" s="513" t="s">
        <v>1625</v>
      </c>
      <c r="E359" s="511" t="s">
        <v>1870</v>
      </c>
      <c r="F359" s="97" t="s">
        <v>1871</v>
      </c>
      <c r="G359" s="179"/>
      <c r="J359" s="180"/>
      <c r="X359" s="181"/>
      <c r="Y359" s="181"/>
      <c r="Z359" s="181"/>
      <c r="AA359" s="181"/>
      <c r="AB359" s="181"/>
      <c r="AC359" s="181"/>
      <c r="AD359" s="181"/>
      <c r="AE359" s="181"/>
      <c r="AF359" s="181"/>
      <c r="AG359" s="181"/>
      <c r="AH359" s="181"/>
      <c r="AI359" s="181"/>
      <c r="AJ359" s="181"/>
      <c r="AK359" s="181"/>
      <c r="AL359" s="181"/>
      <c r="AM359" s="181"/>
      <c r="AN359" s="181"/>
      <c r="AO359" s="181"/>
      <c r="AP359" s="181"/>
      <c r="AQ359" s="181"/>
      <c r="AR359" s="181"/>
      <c r="AS359" s="181"/>
      <c r="AT359" s="181"/>
      <c r="AU359" s="181"/>
      <c r="AV359" s="181"/>
      <c r="AW359" s="181"/>
      <c r="AX359" s="181"/>
      <c r="AY359" s="181"/>
      <c r="AZ359" s="181"/>
      <c r="BA359" s="181"/>
      <c r="BB359" s="181"/>
      <c r="BC359" s="181"/>
      <c r="BD359" s="181"/>
      <c r="BE359" s="181"/>
    </row>
    <row r="360" spans="2:57" s="167" customFormat="1">
      <c r="B360" s="93" t="s">
        <v>1872</v>
      </c>
      <c r="C360" s="94"/>
      <c r="D360" s="95">
        <v>10</v>
      </c>
      <c r="E360" s="96"/>
      <c r="F360" s="97"/>
      <c r="G360" s="179"/>
      <c r="J360" s="180"/>
      <c r="X360" s="181"/>
      <c r="Y360" s="181"/>
      <c r="Z360" s="181"/>
      <c r="AA360" s="181"/>
      <c r="AB360" s="181"/>
      <c r="AC360" s="181"/>
      <c r="AD360" s="181"/>
      <c r="AE360" s="181"/>
      <c r="AF360" s="181"/>
      <c r="AG360" s="181"/>
      <c r="AH360" s="181"/>
      <c r="AI360" s="181"/>
      <c r="AJ360" s="181"/>
      <c r="AK360" s="181"/>
      <c r="AL360" s="181"/>
      <c r="AM360" s="181"/>
      <c r="AN360" s="181"/>
      <c r="AO360" s="181"/>
      <c r="AP360" s="181"/>
      <c r="AQ360" s="181"/>
      <c r="AR360" s="181"/>
      <c r="AS360" s="181"/>
      <c r="AT360" s="181"/>
      <c r="AU360" s="181"/>
      <c r="AV360" s="181"/>
      <c r="AW360" s="181"/>
      <c r="AX360" s="181"/>
      <c r="AY360" s="181"/>
      <c r="AZ360" s="181"/>
      <c r="BA360" s="181"/>
      <c r="BB360" s="181"/>
      <c r="BC360" s="181"/>
      <c r="BD360" s="181"/>
      <c r="BE360" s="181"/>
    </row>
    <row r="361" spans="2:57" s="167" customFormat="1">
      <c r="B361" s="222" t="s">
        <v>1032</v>
      </c>
      <c r="C361" s="223" t="s">
        <v>1873</v>
      </c>
      <c r="D361" s="222"/>
      <c r="E361" s="224"/>
      <c r="F361" s="225"/>
      <c r="G361" s="179"/>
      <c r="J361" s="180"/>
      <c r="X361" s="181"/>
      <c r="Y361" s="181"/>
      <c r="Z361" s="181"/>
      <c r="AA361" s="181"/>
      <c r="AB361" s="181"/>
      <c r="AC361" s="181"/>
      <c r="AD361" s="181"/>
      <c r="AE361" s="181"/>
      <c r="AF361" s="181"/>
      <c r="AG361" s="181"/>
      <c r="AH361" s="181"/>
      <c r="AI361" s="181"/>
      <c r="AJ361" s="181"/>
      <c r="AK361" s="181"/>
      <c r="AL361" s="181"/>
      <c r="AM361" s="181"/>
      <c r="AN361" s="181"/>
      <c r="AO361" s="181"/>
      <c r="AP361" s="181"/>
      <c r="AQ361" s="181"/>
      <c r="AR361" s="181"/>
      <c r="AS361" s="181"/>
      <c r="AT361" s="181"/>
      <c r="AU361" s="181"/>
      <c r="AV361" s="181"/>
      <c r="AW361" s="181"/>
      <c r="AX361" s="181"/>
      <c r="AY361" s="181"/>
      <c r="AZ361" s="181"/>
      <c r="BA361" s="181"/>
      <c r="BB361" s="181"/>
      <c r="BC361" s="181"/>
      <c r="BD361" s="181"/>
      <c r="BE361" s="181"/>
    </row>
    <row r="362" spans="2:57" s="167" customFormat="1">
      <c r="B362" s="90" t="s">
        <v>1874</v>
      </c>
      <c r="C362" s="226" t="s">
        <v>1648</v>
      </c>
      <c r="D362" s="510" t="s">
        <v>1649</v>
      </c>
      <c r="E362" s="189"/>
      <c r="F362" s="202" t="s">
        <v>1875</v>
      </c>
      <c r="G362" s="179"/>
      <c r="J362" s="180"/>
      <c r="X362" s="181"/>
      <c r="Y362" s="181"/>
      <c r="Z362" s="181"/>
      <c r="AA362" s="181"/>
      <c r="AB362" s="181"/>
      <c r="AC362" s="181"/>
      <c r="AD362" s="181"/>
      <c r="AE362" s="181"/>
      <c r="AF362" s="181"/>
      <c r="AG362" s="181"/>
      <c r="AH362" s="181"/>
      <c r="AI362" s="181"/>
      <c r="AJ362" s="181"/>
      <c r="AK362" s="181"/>
      <c r="AL362" s="181"/>
      <c r="AM362" s="181"/>
      <c r="AN362" s="181"/>
      <c r="AO362" s="181"/>
      <c r="AP362" s="181"/>
      <c r="AQ362" s="181"/>
      <c r="AR362" s="181"/>
      <c r="AS362" s="181"/>
      <c r="AT362" s="181"/>
      <c r="AU362" s="181"/>
      <c r="AV362" s="181"/>
      <c r="AW362" s="181"/>
      <c r="AX362" s="181"/>
      <c r="AY362" s="181"/>
      <c r="AZ362" s="181"/>
      <c r="BA362" s="181"/>
      <c r="BB362" s="181"/>
      <c r="BC362" s="181"/>
      <c r="BD362" s="181"/>
      <c r="BE362" s="181"/>
    </row>
    <row r="363" spans="2:57" s="167" customFormat="1">
      <c r="B363" s="90" t="s">
        <v>1874</v>
      </c>
      <c r="C363" s="226" t="s">
        <v>1876</v>
      </c>
      <c r="D363" s="510" t="s">
        <v>1877</v>
      </c>
      <c r="E363" s="189"/>
      <c r="F363" s="202" t="s">
        <v>1878</v>
      </c>
      <c r="G363" s="179"/>
      <c r="J363" s="180"/>
      <c r="X363" s="181"/>
      <c r="Y363" s="181"/>
      <c r="Z363" s="181"/>
      <c r="AA363" s="181"/>
      <c r="AB363" s="181"/>
      <c r="AC363" s="181"/>
      <c r="AD363" s="181"/>
      <c r="AE363" s="181"/>
      <c r="AF363" s="181"/>
      <c r="AG363" s="181"/>
      <c r="AH363" s="181"/>
      <c r="AI363" s="181"/>
      <c r="AJ363" s="181"/>
      <c r="AK363" s="181"/>
      <c r="AL363" s="181"/>
      <c r="AM363" s="181"/>
      <c r="AN363" s="181"/>
      <c r="AO363" s="181"/>
      <c r="AP363" s="181"/>
      <c r="AQ363" s="181"/>
      <c r="AR363" s="181"/>
      <c r="AS363" s="181"/>
      <c r="AT363" s="181"/>
      <c r="AU363" s="181"/>
      <c r="AV363" s="181"/>
      <c r="AW363" s="181"/>
      <c r="AX363" s="181"/>
      <c r="AY363" s="181"/>
      <c r="AZ363" s="181"/>
      <c r="BA363" s="181"/>
      <c r="BB363" s="181"/>
      <c r="BC363" s="181"/>
      <c r="BD363" s="181"/>
      <c r="BE363" s="181"/>
    </row>
    <row r="364" spans="2:57" s="167" customFormat="1">
      <c r="B364" s="90" t="s">
        <v>1841</v>
      </c>
      <c r="C364" s="226" t="s">
        <v>1635</v>
      </c>
      <c r="D364" s="510" t="s">
        <v>1636</v>
      </c>
      <c r="E364" s="189"/>
      <c r="F364" s="202" t="s">
        <v>1879</v>
      </c>
      <c r="G364" s="179"/>
      <c r="J364" s="180"/>
      <c r="X364" s="181"/>
      <c r="Y364" s="181"/>
      <c r="Z364" s="181"/>
      <c r="AA364" s="181"/>
      <c r="AB364" s="181"/>
      <c r="AC364" s="181"/>
      <c r="AD364" s="181"/>
      <c r="AE364" s="181"/>
      <c r="AF364" s="181"/>
      <c r="AG364" s="181"/>
      <c r="AH364" s="181"/>
      <c r="AI364" s="181"/>
      <c r="AJ364" s="181"/>
      <c r="AK364" s="181"/>
      <c r="AL364" s="181"/>
      <c r="AM364" s="181"/>
      <c r="AN364" s="181"/>
      <c r="AO364" s="181"/>
      <c r="AP364" s="181"/>
      <c r="AQ364" s="181"/>
      <c r="AR364" s="181"/>
      <c r="AS364" s="181"/>
      <c r="AT364" s="181"/>
      <c r="AU364" s="181"/>
      <c r="AV364" s="181"/>
      <c r="AW364" s="181"/>
      <c r="AX364" s="181"/>
      <c r="AY364" s="181"/>
      <c r="AZ364" s="181"/>
      <c r="BA364" s="181"/>
      <c r="BB364" s="181"/>
      <c r="BC364" s="181"/>
      <c r="BD364" s="181"/>
      <c r="BE364" s="181"/>
    </row>
    <row r="365" spans="2:57" s="167" customFormat="1">
      <c r="B365" s="90" t="s">
        <v>1841</v>
      </c>
      <c r="C365" s="226" t="s">
        <v>1646</v>
      </c>
      <c r="D365" s="510" t="s">
        <v>1647</v>
      </c>
      <c r="E365" s="189"/>
      <c r="F365" s="202" t="s">
        <v>1880</v>
      </c>
      <c r="G365" s="179"/>
      <c r="J365" s="180"/>
      <c r="X365" s="181"/>
      <c r="Y365" s="181"/>
      <c r="Z365" s="181"/>
      <c r="AA365" s="181"/>
      <c r="AB365" s="181"/>
      <c r="AC365" s="181"/>
      <c r="AD365" s="181"/>
      <c r="AE365" s="181"/>
      <c r="AF365" s="181"/>
      <c r="AG365" s="181"/>
      <c r="AH365" s="181"/>
      <c r="AI365" s="181"/>
      <c r="AJ365" s="181"/>
      <c r="AK365" s="181"/>
      <c r="AL365" s="181"/>
      <c r="AM365" s="181"/>
      <c r="AN365" s="181"/>
      <c r="AO365" s="181"/>
      <c r="AP365" s="181"/>
      <c r="AQ365" s="181"/>
      <c r="AR365" s="181"/>
      <c r="AS365" s="181"/>
      <c r="AT365" s="181"/>
      <c r="AU365" s="181"/>
      <c r="AV365" s="181"/>
      <c r="AW365" s="181"/>
      <c r="AX365" s="181"/>
      <c r="AY365" s="181"/>
      <c r="AZ365" s="181"/>
      <c r="BA365" s="181"/>
      <c r="BB365" s="181"/>
      <c r="BC365" s="181"/>
      <c r="BD365" s="181"/>
      <c r="BE365" s="181"/>
    </row>
    <row r="366" spans="2:57" s="167" customFormat="1">
      <c r="B366" s="90" t="s">
        <v>1841</v>
      </c>
      <c r="C366" s="226" t="s">
        <v>1881</v>
      </c>
      <c r="D366" s="510" t="s">
        <v>1842</v>
      </c>
      <c r="E366" s="189"/>
      <c r="F366" s="202" t="s">
        <v>1882</v>
      </c>
      <c r="G366" s="179"/>
      <c r="J366" s="180"/>
      <c r="X366" s="181"/>
      <c r="Y366" s="181"/>
      <c r="Z366" s="181"/>
      <c r="AA366" s="181"/>
      <c r="AB366" s="181"/>
      <c r="AC366" s="181"/>
      <c r="AD366" s="181"/>
      <c r="AE366" s="181"/>
      <c r="AF366" s="181"/>
      <c r="AG366" s="181"/>
      <c r="AH366" s="181"/>
      <c r="AI366" s="181"/>
      <c r="AJ366" s="181"/>
      <c r="AK366" s="181"/>
      <c r="AL366" s="181"/>
      <c r="AM366" s="181"/>
      <c r="AN366" s="181"/>
      <c r="AO366" s="181"/>
      <c r="AP366" s="181"/>
      <c r="AQ366" s="181"/>
      <c r="AR366" s="181"/>
      <c r="AS366" s="181"/>
      <c r="AT366" s="181"/>
      <c r="AU366" s="181"/>
      <c r="AV366" s="181"/>
      <c r="AW366" s="181"/>
      <c r="AX366" s="181"/>
      <c r="AY366" s="181"/>
      <c r="AZ366" s="181"/>
      <c r="BA366" s="181"/>
      <c r="BB366" s="181"/>
      <c r="BC366" s="181"/>
      <c r="BD366" s="181"/>
      <c r="BE366" s="181"/>
    </row>
    <row r="367" spans="2:57" s="167" customFormat="1">
      <c r="B367" s="90" t="s">
        <v>1622</v>
      </c>
      <c r="C367" s="227" t="s">
        <v>1631</v>
      </c>
      <c r="D367" s="510" t="s">
        <v>1632</v>
      </c>
      <c r="E367" s="514" t="s">
        <v>1633</v>
      </c>
      <c r="F367" s="228" t="s">
        <v>1883</v>
      </c>
      <c r="G367" s="179"/>
      <c r="J367" s="180"/>
      <c r="X367" s="181"/>
      <c r="Y367" s="181"/>
      <c r="Z367" s="181"/>
      <c r="AA367" s="181"/>
      <c r="AB367" s="181"/>
      <c r="AC367" s="181"/>
      <c r="AD367" s="181"/>
      <c r="AE367" s="181"/>
      <c r="AF367" s="181"/>
      <c r="AG367" s="181"/>
      <c r="AH367" s="181"/>
      <c r="AI367" s="181"/>
      <c r="AJ367" s="181"/>
      <c r="AK367" s="181"/>
      <c r="AL367" s="181"/>
      <c r="AM367" s="181"/>
      <c r="AN367" s="181"/>
      <c r="AO367" s="181"/>
      <c r="AP367" s="181"/>
      <c r="AQ367" s="181"/>
      <c r="AR367" s="181"/>
      <c r="AS367" s="181"/>
      <c r="AT367" s="181"/>
      <c r="AU367" s="181"/>
      <c r="AV367" s="181"/>
      <c r="AW367" s="181"/>
      <c r="AX367" s="181"/>
      <c r="AY367" s="181"/>
      <c r="AZ367" s="181"/>
      <c r="BA367" s="181"/>
      <c r="BB367" s="181"/>
      <c r="BC367" s="181"/>
      <c r="BD367" s="181"/>
      <c r="BE367" s="181"/>
    </row>
    <row r="368" spans="2:57" s="167" customFormat="1">
      <c r="B368" s="90" t="s">
        <v>1035</v>
      </c>
      <c r="C368" s="226" t="s">
        <v>1635</v>
      </c>
      <c r="D368" s="510" t="s">
        <v>1636</v>
      </c>
      <c r="E368" s="514" t="s">
        <v>1042</v>
      </c>
      <c r="F368" s="228" t="s">
        <v>1884</v>
      </c>
      <c r="G368" s="179"/>
      <c r="J368" s="180"/>
      <c r="X368" s="181"/>
      <c r="Y368" s="181"/>
      <c r="Z368" s="181"/>
      <c r="AA368" s="181"/>
      <c r="AB368" s="181"/>
      <c r="AC368" s="181"/>
      <c r="AD368" s="181"/>
      <c r="AE368" s="181"/>
      <c r="AF368" s="181"/>
      <c r="AG368" s="181"/>
      <c r="AH368" s="181"/>
      <c r="AI368" s="181"/>
      <c r="AJ368" s="181"/>
      <c r="AK368" s="181"/>
      <c r="AL368" s="181"/>
      <c r="AM368" s="181"/>
      <c r="AN368" s="181"/>
      <c r="AO368" s="181"/>
      <c r="AP368" s="181"/>
      <c r="AQ368" s="181"/>
      <c r="AR368" s="181"/>
      <c r="AS368" s="181"/>
      <c r="AT368" s="181"/>
      <c r="AU368" s="181"/>
      <c r="AV368" s="181"/>
      <c r="AW368" s="181"/>
      <c r="AX368" s="181"/>
      <c r="AY368" s="181"/>
      <c r="AZ368" s="181"/>
      <c r="BA368" s="181"/>
      <c r="BB368" s="181"/>
      <c r="BC368" s="181"/>
      <c r="BD368" s="181"/>
      <c r="BE368" s="181"/>
    </row>
    <row r="369" spans="1:57" s="167" customFormat="1">
      <c r="B369" s="90" t="s">
        <v>1035</v>
      </c>
      <c r="C369" s="226" t="s">
        <v>1646</v>
      </c>
      <c r="D369" s="510" t="s">
        <v>1647</v>
      </c>
      <c r="E369" s="514" t="s">
        <v>1042</v>
      </c>
      <c r="F369" s="228" t="s">
        <v>1884</v>
      </c>
      <c r="G369" s="179"/>
      <c r="J369" s="180"/>
      <c r="X369" s="181"/>
      <c r="Y369" s="181"/>
      <c r="Z369" s="181"/>
      <c r="AA369" s="181"/>
      <c r="AB369" s="181"/>
      <c r="AC369" s="181"/>
      <c r="AD369" s="181"/>
      <c r="AE369" s="181"/>
      <c r="AF369" s="181"/>
      <c r="AG369" s="181"/>
      <c r="AH369" s="181"/>
      <c r="AI369" s="181"/>
      <c r="AJ369" s="181"/>
      <c r="AK369" s="181"/>
      <c r="AL369" s="181"/>
      <c r="AM369" s="181"/>
      <c r="AN369" s="181"/>
      <c r="AO369" s="181"/>
      <c r="AP369" s="181"/>
      <c r="AQ369" s="181"/>
      <c r="AR369" s="181"/>
      <c r="AS369" s="181"/>
      <c r="AT369" s="181"/>
      <c r="AU369" s="181"/>
      <c r="AV369" s="181"/>
      <c r="AW369" s="181"/>
      <c r="AX369" s="181"/>
      <c r="AY369" s="181"/>
      <c r="AZ369" s="181"/>
      <c r="BA369" s="181"/>
      <c r="BB369" s="181"/>
      <c r="BC369" s="181"/>
      <c r="BD369" s="181"/>
      <c r="BE369" s="181"/>
    </row>
    <row r="370" spans="1:57" s="167" customFormat="1">
      <c r="B370" s="90" t="s">
        <v>1622</v>
      </c>
      <c r="C370" s="226" t="s">
        <v>1648</v>
      </c>
      <c r="D370" s="510" t="s">
        <v>1649</v>
      </c>
      <c r="E370" s="514" t="s">
        <v>1633</v>
      </c>
      <c r="F370" s="228" t="s">
        <v>1884</v>
      </c>
      <c r="G370" s="179"/>
      <c r="J370" s="180"/>
      <c r="X370" s="181"/>
      <c r="Y370" s="181"/>
      <c r="Z370" s="181"/>
      <c r="AA370" s="181"/>
      <c r="AB370" s="181"/>
      <c r="AC370" s="181"/>
      <c r="AD370" s="181"/>
      <c r="AE370" s="181"/>
      <c r="AF370" s="181"/>
      <c r="AG370" s="181"/>
      <c r="AH370" s="181"/>
      <c r="AI370" s="181"/>
      <c r="AJ370" s="181"/>
      <c r="AK370" s="181"/>
      <c r="AL370" s="181"/>
      <c r="AM370" s="181"/>
      <c r="AN370" s="181"/>
      <c r="AO370" s="181"/>
      <c r="AP370" s="181"/>
      <c r="AQ370" s="181"/>
      <c r="AR370" s="181"/>
      <c r="AS370" s="181"/>
      <c r="AT370" s="181"/>
      <c r="AU370" s="181"/>
      <c r="AV370" s="181"/>
      <c r="AW370" s="181"/>
      <c r="AX370" s="181"/>
      <c r="AY370" s="181"/>
      <c r="AZ370" s="181"/>
      <c r="BA370" s="181"/>
      <c r="BB370" s="181"/>
      <c r="BC370" s="181"/>
      <c r="BD370" s="181"/>
      <c r="BE370" s="181"/>
    </row>
    <row r="371" spans="1:57" s="167" customFormat="1" ht="57">
      <c r="B371" s="90"/>
      <c r="C371" s="226"/>
      <c r="D371" s="90"/>
      <c r="E371" s="189"/>
      <c r="F371" s="229" t="s">
        <v>1897</v>
      </c>
      <c r="G371" s="179"/>
      <c r="J371" s="180"/>
      <c r="X371" s="181"/>
      <c r="Y371" s="181"/>
      <c r="Z371" s="181"/>
      <c r="AA371" s="181"/>
      <c r="AB371" s="181"/>
      <c r="AC371" s="181"/>
      <c r="AD371" s="181"/>
      <c r="AE371" s="181"/>
      <c r="AF371" s="181"/>
      <c r="AG371" s="181"/>
      <c r="AH371" s="181"/>
      <c r="AI371" s="181"/>
      <c r="AJ371" s="181"/>
      <c r="AK371" s="181"/>
      <c r="AL371" s="181"/>
      <c r="AM371" s="181"/>
      <c r="AN371" s="181"/>
      <c r="AO371" s="181"/>
      <c r="AP371" s="181"/>
      <c r="AQ371" s="181"/>
      <c r="AR371" s="181"/>
      <c r="AS371" s="181"/>
      <c r="AT371" s="181"/>
      <c r="AU371" s="181"/>
      <c r="AV371" s="181"/>
      <c r="AW371" s="181"/>
      <c r="AX371" s="181"/>
      <c r="AY371" s="181"/>
      <c r="AZ371" s="181"/>
      <c r="BA371" s="181"/>
      <c r="BB371" s="181"/>
      <c r="BC371" s="181"/>
      <c r="BD371" s="181"/>
      <c r="BE371" s="181"/>
    </row>
    <row r="372" spans="1:57" s="167" customFormat="1">
      <c r="B372" s="222" t="s">
        <v>1886</v>
      </c>
      <c r="C372" s="223" t="s">
        <v>1887</v>
      </c>
      <c r="D372" s="222"/>
      <c r="E372" s="224"/>
      <c r="F372" s="225"/>
      <c r="G372" s="179"/>
      <c r="J372" s="180"/>
      <c r="X372" s="181"/>
      <c r="Y372" s="181"/>
      <c r="Z372" s="181"/>
      <c r="AA372" s="181"/>
      <c r="AB372" s="181"/>
      <c r="AC372" s="181"/>
      <c r="AD372" s="181"/>
      <c r="AE372" s="181"/>
      <c r="AF372" s="181"/>
      <c r="AG372" s="181"/>
      <c r="AH372" s="181"/>
      <c r="AI372" s="181"/>
      <c r="AJ372" s="181"/>
      <c r="AK372" s="181"/>
      <c r="AL372" s="181"/>
      <c r="AM372" s="181"/>
      <c r="AN372" s="181"/>
      <c r="AO372" s="181"/>
      <c r="AP372" s="181"/>
      <c r="AQ372" s="181"/>
      <c r="AR372" s="181"/>
      <c r="AS372" s="181"/>
      <c r="AT372" s="181"/>
      <c r="AU372" s="181"/>
      <c r="AV372" s="181"/>
      <c r="AW372" s="181"/>
      <c r="AX372" s="181"/>
      <c r="AY372" s="181"/>
      <c r="AZ372" s="181"/>
      <c r="BA372" s="181"/>
      <c r="BB372" s="181"/>
      <c r="BC372" s="181"/>
      <c r="BD372" s="181"/>
      <c r="BE372" s="181"/>
    </row>
    <row r="373" spans="1:57" s="167" customFormat="1">
      <c r="B373" s="173" t="s">
        <v>1864</v>
      </c>
      <c r="C373" s="89"/>
      <c r="D373" s="90"/>
      <c r="E373" s="166"/>
      <c r="F373" s="97"/>
      <c r="G373" s="179"/>
      <c r="J373" s="180"/>
      <c r="X373" s="181"/>
      <c r="Y373" s="181"/>
      <c r="Z373" s="181"/>
      <c r="AA373" s="181"/>
      <c r="AB373" s="181"/>
      <c r="AC373" s="181"/>
      <c r="AD373" s="181"/>
      <c r="AE373" s="181"/>
      <c r="AF373" s="181"/>
      <c r="AG373" s="181"/>
      <c r="AH373" s="181"/>
      <c r="AI373" s="181"/>
      <c r="AJ373" s="181"/>
      <c r="AK373" s="181"/>
      <c r="AL373" s="181"/>
      <c r="AM373" s="181"/>
      <c r="AN373" s="181"/>
      <c r="AO373" s="181"/>
      <c r="AP373" s="181"/>
      <c r="AQ373" s="181"/>
      <c r="AR373" s="181"/>
      <c r="AS373" s="181"/>
      <c r="AT373" s="181"/>
      <c r="AU373" s="181"/>
      <c r="AV373" s="181"/>
      <c r="AW373" s="181"/>
      <c r="AX373" s="181"/>
      <c r="AY373" s="181"/>
      <c r="AZ373" s="181"/>
      <c r="BA373" s="181"/>
      <c r="BB373" s="181"/>
      <c r="BC373" s="181"/>
      <c r="BD373" s="181"/>
      <c r="BE373" s="181"/>
    </row>
    <row r="374" spans="1:57" s="167" customFormat="1">
      <c r="B374" s="213"/>
      <c r="C374" s="181"/>
      <c r="D374" s="214"/>
      <c r="E374" s="215"/>
      <c r="F374" s="181"/>
      <c r="G374" s="179"/>
      <c r="J374" s="180"/>
      <c r="X374" s="181"/>
      <c r="Y374" s="181"/>
      <c r="Z374" s="181"/>
      <c r="AA374" s="181"/>
      <c r="AB374" s="181"/>
      <c r="AC374" s="181"/>
      <c r="AD374" s="181"/>
      <c r="AE374" s="181"/>
      <c r="AF374" s="181"/>
      <c r="AG374" s="181"/>
      <c r="AH374" s="181"/>
      <c r="AI374" s="181"/>
      <c r="AJ374" s="181"/>
      <c r="AK374" s="181"/>
      <c r="AL374" s="181"/>
      <c r="AM374" s="181"/>
      <c r="AN374" s="181"/>
      <c r="AO374" s="181"/>
      <c r="AP374" s="181"/>
      <c r="AQ374" s="181"/>
      <c r="AR374" s="181"/>
      <c r="AS374" s="181"/>
      <c r="AT374" s="181"/>
      <c r="AU374" s="181"/>
      <c r="AV374" s="181"/>
      <c r="AW374" s="181"/>
      <c r="AX374" s="181"/>
      <c r="AY374" s="181"/>
      <c r="AZ374" s="181"/>
      <c r="BA374" s="181"/>
      <c r="BB374" s="181"/>
      <c r="BC374" s="181"/>
      <c r="BD374" s="181"/>
      <c r="BE374" s="181"/>
    </row>
    <row r="375" spans="1:57" ht="29.25" customHeight="1">
      <c r="A375" s="234"/>
      <c r="B375" s="168" t="s">
        <v>1032</v>
      </c>
      <c r="C375" s="169" t="s">
        <v>1898</v>
      </c>
      <c r="D375" s="170"/>
      <c r="E375" s="171"/>
      <c r="F375" s="172" t="s">
        <v>1899</v>
      </c>
      <c r="G375"/>
      <c r="H375"/>
      <c r="I375"/>
      <c r="J375"/>
      <c r="K375"/>
      <c r="L375"/>
      <c r="M375"/>
      <c r="N375"/>
      <c r="O375"/>
      <c r="P375"/>
      <c r="Q375"/>
      <c r="R375"/>
      <c r="S375"/>
      <c r="T375"/>
      <c r="U375"/>
      <c r="V375"/>
      <c r="W375"/>
      <c r="X375"/>
      <c r="Y375" s="241"/>
      <c r="Z375" s="241"/>
      <c r="AA375" s="241"/>
      <c r="AB375" s="241"/>
      <c r="AC375" s="241"/>
      <c r="AD375" s="241"/>
      <c r="AE375" s="241"/>
      <c r="AF375" s="241"/>
      <c r="AG375" s="241"/>
      <c r="AH375" s="194"/>
      <c r="AI375" s="241"/>
      <c r="AJ375" s="241"/>
      <c r="AK375" s="241"/>
      <c r="AL375" s="241"/>
      <c r="AM375" s="241"/>
      <c r="AN375" s="241"/>
      <c r="AO375" s="65"/>
      <c r="AP375" s="65"/>
      <c r="AQ375" s="65"/>
      <c r="AR375" s="65"/>
      <c r="AS375" s="65"/>
      <c r="AT375" s="65"/>
      <c r="AU375" s="65"/>
      <c r="AV375" s="65"/>
      <c r="AW375" s="65"/>
      <c r="AX375" s="65"/>
      <c r="AY375" s="65"/>
      <c r="AZ375" s="65"/>
      <c r="BA375" s="65"/>
      <c r="BB375" s="65"/>
      <c r="BC375" s="65"/>
      <c r="BD375" s="65"/>
      <c r="BE375" s="65"/>
    </row>
    <row r="376" spans="1:57" ht="15">
      <c r="A376" s="234"/>
      <c r="B376" s="235" t="s">
        <v>1032</v>
      </c>
      <c r="C376" s="236" t="s">
        <v>1900</v>
      </c>
      <c r="D376" s="237"/>
      <c r="E376" s="238"/>
      <c r="F376" s="239" t="s">
        <v>1901</v>
      </c>
      <c r="G376"/>
      <c r="H376"/>
      <c r="I376"/>
      <c r="J376"/>
      <c r="K376"/>
      <c r="L376"/>
      <c r="M376"/>
      <c r="N376"/>
      <c r="O376"/>
      <c r="P376"/>
      <c r="Q376"/>
      <c r="R376"/>
      <c r="S376"/>
      <c r="T376"/>
      <c r="U376"/>
      <c r="V376"/>
      <c r="W376"/>
      <c r="X376" s="65"/>
      <c r="Y376" s="241"/>
      <c r="Z376" s="241"/>
      <c r="AA376" s="241"/>
      <c r="AB376" s="241"/>
      <c r="AC376" s="241"/>
      <c r="AD376" s="241"/>
      <c r="AE376" s="241"/>
      <c r="AF376" s="241"/>
      <c r="AG376" s="241"/>
      <c r="AH376" s="241"/>
      <c r="AI376" s="241"/>
      <c r="AJ376" s="241"/>
      <c r="AK376" s="241"/>
      <c r="AL376" s="241"/>
      <c r="AM376" s="241"/>
      <c r="AN376" s="241"/>
      <c r="AO376" s="65"/>
      <c r="AP376" s="65"/>
      <c r="AQ376" s="65"/>
      <c r="AR376" s="65"/>
      <c r="AS376" s="65"/>
      <c r="AT376" s="65"/>
      <c r="AU376" s="65"/>
      <c r="AV376" s="65"/>
      <c r="AW376" s="65"/>
      <c r="AX376" s="65"/>
      <c r="AY376" s="65"/>
      <c r="AZ376" s="65"/>
      <c r="BA376" s="65"/>
      <c r="BB376" s="65"/>
      <c r="BC376" s="65"/>
      <c r="BD376" s="65"/>
      <c r="BE376" s="65"/>
    </row>
    <row r="377" spans="1:57">
      <c r="A377" s="234"/>
      <c r="B377" s="90" t="s">
        <v>1872</v>
      </c>
      <c r="C377" s="226"/>
      <c r="D377" s="189">
        <v>5000000</v>
      </c>
      <c r="E377" s="189"/>
      <c r="F377" s="228" t="s">
        <v>1902</v>
      </c>
      <c r="G377"/>
      <c r="J377" s="1"/>
      <c r="X377" s="65"/>
      <c r="Y377" s="65"/>
      <c r="Z377" s="65"/>
      <c r="AA377" s="65"/>
      <c r="AB377" s="65"/>
      <c r="AC377" s="65"/>
      <c r="AD377" s="65"/>
      <c r="AE377" s="65"/>
      <c r="AF377" s="65"/>
      <c r="AG377" s="65"/>
      <c r="AH377" s="65"/>
      <c r="AI377" s="65"/>
      <c r="AJ377" s="65"/>
      <c r="AK377" s="65"/>
      <c r="AL377" s="65"/>
      <c r="AM377" s="65"/>
      <c r="AN377" s="65"/>
      <c r="AO377" s="65"/>
      <c r="AP377" s="65"/>
      <c r="AQ377" s="65"/>
      <c r="AR377" s="65"/>
      <c r="AS377" s="65"/>
      <c r="AT377" s="65"/>
      <c r="AU377" s="65"/>
      <c r="AV377" s="65"/>
      <c r="AW377" s="65"/>
      <c r="AX377" s="65"/>
      <c r="AY377" s="65"/>
      <c r="AZ377" s="65"/>
      <c r="BA377" s="65"/>
      <c r="BB377" s="65"/>
      <c r="BC377" s="65"/>
      <c r="BD377" s="65"/>
      <c r="BE377" s="65"/>
    </row>
    <row r="378" spans="1:57" ht="15">
      <c r="A378" s="234"/>
      <c r="B378" s="235" t="s">
        <v>1032</v>
      </c>
      <c r="C378" s="236" t="s">
        <v>1903</v>
      </c>
      <c r="D378" s="237"/>
      <c r="E378" s="238"/>
      <c r="F378" s="240"/>
      <c r="G378"/>
      <c r="H378"/>
      <c r="I378"/>
      <c r="J378"/>
      <c r="K378"/>
      <c r="L378"/>
      <c r="M378"/>
      <c r="N378"/>
      <c r="O378"/>
      <c r="P378"/>
      <c r="Q378"/>
      <c r="R378"/>
      <c r="S378"/>
      <c r="T378"/>
      <c r="U378"/>
      <c r="V378"/>
      <c r="W378"/>
      <c r="X378" s="65"/>
      <c r="Y378" s="241"/>
      <c r="Z378" s="241"/>
      <c r="AA378" s="241"/>
      <c r="AB378" s="241"/>
      <c r="AC378" s="241"/>
      <c r="AD378" s="241"/>
      <c r="AE378" s="241"/>
      <c r="AF378" s="241"/>
      <c r="AG378" s="241"/>
      <c r="AH378" s="241"/>
      <c r="AI378" s="241"/>
      <c r="AJ378" s="241"/>
      <c r="AK378" s="241"/>
      <c r="AL378" s="241"/>
      <c r="AM378" s="241"/>
      <c r="AN378" s="241"/>
      <c r="AO378" s="65"/>
      <c r="AP378" s="65"/>
      <c r="AQ378" s="65"/>
      <c r="AR378" s="65"/>
      <c r="AS378" s="65"/>
      <c r="AT378" s="65"/>
      <c r="AU378" s="65"/>
      <c r="AV378" s="65"/>
      <c r="AW378" s="65"/>
      <c r="AX378" s="65"/>
      <c r="AY378" s="65"/>
      <c r="AZ378" s="65"/>
      <c r="BA378" s="65"/>
      <c r="BB378" s="65"/>
      <c r="BC378" s="65"/>
      <c r="BD378" s="65"/>
      <c r="BE378" s="65"/>
    </row>
    <row r="379" spans="1:57" s="167" customFormat="1">
      <c r="B379" s="84" t="s">
        <v>1032</v>
      </c>
      <c r="C379" s="85" t="s">
        <v>1904</v>
      </c>
      <c r="D379" s="85"/>
      <c r="E379" s="86"/>
      <c r="F379" s="87"/>
      <c r="G379" s="179"/>
      <c r="J379" s="180"/>
      <c r="X379" s="181"/>
      <c r="Y379" s="181"/>
      <c r="Z379" s="181"/>
      <c r="AA379" s="181"/>
      <c r="AB379" s="181"/>
      <c r="AC379" s="181"/>
      <c r="AD379" s="181"/>
      <c r="AE379" s="181"/>
      <c r="AF379" s="181"/>
      <c r="AG379" s="181"/>
      <c r="AH379" s="181"/>
      <c r="AI379" s="181"/>
      <c r="AJ379" s="181"/>
      <c r="AK379" s="181"/>
      <c r="AL379" s="181"/>
      <c r="AM379" s="181"/>
      <c r="AN379" s="181"/>
      <c r="AO379" s="181"/>
      <c r="AP379" s="181"/>
      <c r="AQ379" s="181"/>
      <c r="AR379" s="181"/>
      <c r="AS379" s="181"/>
      <c r="AT379" s="181"/>
      <c r="AU379" s="181"/>
      <c r="AV379" s="181"/>
      <c r="AW379" s="181"/>
      <c r="AX379" s="181"/>
      <c r="AY379" s="181"/>
      <c r="AZ379" s="181"/>
      <c r="BA379" s="181"/>
      <c r="BB379" s="181"/>
      <c r="BC379" s="181"/>
      <c r="BD379" s="181"/>
      <c r="BE379" s="181"/>
    </row>
    <row r="380" spans="1:57">
      <c r="B380" s="93" t="s">
        <v>1622</v>
      </c>
      <c r="C380" s="89" t="s">
        <v>1623</v>
      </c>
      <c r="D380" s="510" t="s">
        <v>954</v>
      </c>
      <c r="E380" s="91" t="str">
        <f>DEC2HEX(Main_Parameters!$D$119-3,4)</f>
        <v>0C34</v>
      </c>
      <c r="F380" s="97"/>
      <c r="G380"/>
      <c r="H380"/>
      <c r="I380"/>
      <c r="J380"/>
      <c r="K380"/>
      <c r="L380"/>
      <c r="M380"/>
      <c r="N380"/>
      <c r="O380"/>
      <c r="P380"/>
      <c r="Q380"/>
      <c r="R380"/>
      <c r="S380"/>
      <c r="T380"/>
      <c r="U380"/>
      <c r="V380"/>
      <c r="W380"/>
    </row>
    <row r="381" spans="1:57">
      <c r="A381" s="234"/>
      <c r="B381" s="84" t="s">
        <v>1032</v>
      </c>
      <c r="C381" s="85" t="s">
        <v>1905</v>
      </c>
      <c r="D381" s="85"/>
      <c r="E381" s="86"/>
      <c r="F381" s="87"/>
      <c r="G381"/>
      <c r="H381"/>
      <c r="I381"/>
      <c r="J381"/>
      <c r="K381"/>
      <c r="L381"/>
      <c r="M381"/>
      <c r="N381"/>
      <c r="O381"/>
      <c r="P381"/>
      <c r="Q381"/>
      <c r="R381"/>
      <c r="S381"/>
      <c r="T381"/>
      <c r="U381"/>
      <c r="V381"/>
      <c r="W381"/>
      <c r="X381"/>
      <c r="AH381" s="131"/>
      <c r="AO381" s="65"/>
      <c r="AP381" s="65"/>
      <c r="AQ381" s="65"/>
      <c r="AR381" s="65"/>
      <c r="AS381" s="65"/>
      <c r="AT381" s="65"/>
      <c r="AU381" s="65"/>
      <c r="AV381" s="65"/>
      <c r="AW381" s="65"/>
      <c r="AX381" s="65"/>
      <c r="AY381" s="65"/>
      <c r="AZ381" s="65"/>
      <c r="BA381" s="65"/>
      <c r="BB381" s="65"/>
      <c r="BC381" s="65"/>
      <c r="BD381" s="65"/>
      <c r="BE381" s="65"/>
    </row>
    <row r="382" spans="1:57">
      <c r="A382" s="234"/>
      <c r="B382" s="93" t="s">
        <v>1622</v>
      </c>
      <c r="C382" s="94" t="s">
        <v>1624</v>
      </c>
      <c r="D382" s="513" t="s">
        <v>1625</v>
      </c>
      <c r="E382" s="511" t="s">
        <v>1906</v>
      </c>
      <c r="F382" s="97" t="s">
        <v>1907</v>
      </c>
      <c r="G382"/>
      <c r="H382"/>
      <c r="I382"/>
      <c r="J382"/>
      <c r="K382"/>
      <c r="L382"/>
      <c r="M382"/>
      <c r="N382"/>
      <c r="O382"/>
      <c r="P382"/>
      <c r="Q382"/>
      <c r="R382"/>
      <c r="S382"/>
      <c r="T382"/>
      <c r="U382"/>
      <c r="V382"/>
      <c r="W382"/>
      <c r="X382"/>
      <c r="Y382" s="242"/>
      <c r="Z382" s="242"/>
      <c r="AA382" s="242"/>
      <c r="AB382" s="242"/>
      <c r="AC382" s="242"/>
      <c r="AD382" s="242"/>
      <c r="AE382" s="242"/>
      <c r="AF382" s="242"/>
      <c r="AG382" s="242"/>
      <c r="AH382"/>
      <c r="AI382" s="65"/>
      <c r="AJ382" s="65"/>
      <c r="AK382" s="65"/>
      <c r="AL382" s="65"/>
      <c r="AM382" s="65"/>
      <c r="AN382" s="65"/>
      <c r="AO382" s="65"/>
      <c r="AP382" s="65"/>
      <c r="AQ382" s="65"/>
      <c r="AR382" s="65"/>
      <c r="AS382" s="65"/>
      <c r="AT382" s="65"/>
      <c r="AU382" s="65"/>
      <c r="AV382" s="65"/>
      <c r="AW382" s="65"/>
      <c r="AX382" s="65"/>
      <c r="AY382" s="65"/>
      <c r="AZ382" s="65"/>
      <c r="BA382" s="65"/>
      <c r="BB382" s="65"/>
      <c r="BC382" s="65"/>
      <c r="BD382" s="65"/>
      <c r="BE382" s="65"/>
    </row>
    <row r="383" spans="1:57">
      <c r="A383" s="234"/>
      <c r="B383" s="93" t="s">
        <v>1622</v>
      </c>
      <c r="C383" s="94" t="s">
        <v>1624</v>
      </c>
      <c r="D383" s="513" t="s">
        <v>1625</v>
      </c>
      <c r="E383" s="511" t="s">
        <v>1870</v>
      </c>
      <c r="F383" s="97" t="s">
        <v>1908</v>
      </c>
      <c r="G383"/>
      <c r="H383"/>
      <c r="I383"/>
      <c r="J383"/>
      <c r="K383"/>
      <c r="L383"/>
      <c r="M383"/>
      <c r="N383"/>
      <c r="O383"/>
      <c r="P383"/>
      <c r="Q383"/>
      <c r="R383"/>
      <c r="S383"/>
      <c r="T383"/>
      <c r="U383"/>
      <c r="V383"/>
      <c r="W383"/>
      <c r="X383"/>
      <c r="Y383" s="242"/>
      <c r="Z383" s="242"/>
      <c r="AA383" s="242"/>
      <c r="AB383" s="242"/>
      <c r="AC383" s="242"/>
      <c r="AD383" s="242"/>
      <c r="AE383" s="242"/>
      <c r="AF383" s="242"/>
      <c r="AG383" s="242"/>
      <c r="AH383"/>
      <c r="AI383" s="65"/>
      <c r="AJ383" s="65"/>
      <c r="AK383" s="65"/>
      <c r="AL383" s="65"/>
      <c r="AM383" s="65"/>
      <c r="AN383" s="65"/>
      <c r="AO383" s="65"/>
      <c r="AP383" s="65"/>
      <c r="AQ383" s="65"/>
      <c r="AR383" s="65"/>
      <c r="AS383" s="65"/>
      <c r="AT383" s="65"/>
      <c r="AU383" s="65"/>
      <c r="AV383" s="65"/>
      <c r="AW383" s="65"/>
      <c r="AX383" s="65"/>
      <c r="AY383" s="65"/>
      <c r="AZ383" s="65"/>
      <c r="BA383" s="65"/>
      <c r="BB383" s="65"/>
      <c r="BC383" s="65"/>
      <c r="BD383" s="65"/>
      <c r="BE383" s="65"/>
    </row>
    <row r="384" spans="1:57">
      <c r="B384" s="84" t="s">
        <v>1032</v>
      </c>
      <c r="C384" s="163" t="s">
        <v>1909</v>
      </c>
      <c r="D384" s="164"/>
      <c r="E384" s="165"/>
      <c r="F384" s="87"/>
      <c r="G384"/>
      <c r="H384"/>
      <c r="I384" s="109"/>
      <c r="Q384"/>
      <c r="R384"/>
      <c r="S384"/>
      <c r="T384"/>
      <c r="U384"/>
      <c r="V384"/>
      <c r="W384"/>
      <c r="X384" s="131"/>
      <c r="AH384" s="131"/>
    </row>
    <row r="385" spans="1:71">
      <c r="B385" s="101" t="str">
        <f>IF(Main_Parameters!$B$53=0,"REMnd","WR8")</f>
        <v>REMnd</v>
      </c>
      <c r="C385" s="89" t="s">
        <v>1910</v>
      </c>
      <c r="D385" s="510" t="s">
        <v>1003</v>
      </c>
      <c r="E385" s="91" t="str">
        <f>Main_Parameters!$C$188</f>
        <v>02</v>
      </c>
      <c r="F385" s="97"/>
      <c r="G385"/>
      <c r="H385"/>
      <c r="I385"/>
      <c r="J385"/>
      <c r="K385"/>
      <c r="L385"/>
      <c r="M385"/>
      <c r="N385"/>
      <c r="O385"/>
      <c r="P385"/>
      <c r="Q385"/>
      <c r="R385"/>
      <c r="S385"/>
      <c r="T385"/>
      <c r="U385"/>
      <c r="V385"/>
      <c r="W385"/>
      <c r="X385" s="131"/>
      <c r="Y385" s="131"/>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c r="AY385" s="131"/>
      <c r="AZ385" s="131"/>
      <c r="BA385" s="131"/>
      <c r="BB385" s="131"/>
      <c r="BC385" s="131"/>
      <c r="BD385" s="131"/>
      <c r="BE385" s="131"/>
      <c r="BF385"/>
      <c r="BG385"/>
      <c r="BH385"/>
      <c r="BI385"/>
      <c r="BJ385"/>
      <c r="BK385"/>
      <c r="BL385"/>
      <c r="BM385"/>
      <c r="BN385"/>
      <c r="BO385"/>
      <c r="BP385"/>
      <c r="BQ385"/>
      <c r="BR385"/>
      <c r="BS385"/>
    </row>
    <row r="386" spans="1:71">
      <c r="B386" s="101" t="str">
        <f>IF(Main_Parameters!$B$53=0,"REMnd","WR8")</f>
        <v>REMnd</v>
      </c>
      <c r="C386" s="89" t="s">
        <v>1911</v>
      </c>
      <c r="D386" s="510" t="s">
        <v>1004</v>
      </c>
      <c r="E386" s="91" t="str">
        <f>Main_Parameters!$C$189</f>
        <v>14</v>
      </c>
      <c r="F386" s="97"/>
      <c r="G386"/>
      <c r="H386"/>
      <c r="I386"/>
      <c r="J386"/>
      <c r="K386"/>
      <c r="L386"/>
      <c r="M386"/>
      <c r="N386"/>
      <c r="O386"/>
      <c r="P386"/>
      <c r="Q386"/>
      <c r="R386"/>
      <c r="S386"/>
      <c r="T386"/>
      <c r="U386"/>
      <c r="V386"/>
      <c r="W386"/>
      <c r="X386" s="131"/>
      <c r="Y386" s="131"/>
      <c r="Z386" s="131"/>
      <c r="AA386" s="131"/>
      <c r="AB386" s="131"/>
      <c r="AC386" s="131"/>
      <c r="AD386" s="131"/>
      <c r="AE386" s="131"/>
      <c r="AF386" s="131"/>
      <c r="AG386" s="131"/>
      <c r="AH386" s="131"/>
      <c r="AI386" s="131"/>
      <c r="AJ386" s="131"/>
      <c r="AK386" s="131"/>
      <c r="AL386" s="131"/>
      <c r="AM386" s="131"/>
    </row>
    <row r="387" spans="1:71">
      <c r="B387" s="93" t="s">
        <v>1035</v>
      </c>
      <c r="C387" s="89" t="s">
        <v>1912</v>
      </c>
      <c r="D387" s="510" t="s">
        <v>1913</v>
      </c>
      <c r="E387" s="91" t="str">
        <f>DEC2HEX(AW387*2^7+AX387*2^6+AY387*2^5+AZ387*2^4+BA387*2^3+BB387*2^2+BC387*2^1+BD387*2^0,2)</f>
        <v>42</v>
      </c>
      <c r="F387" s="97"/>
      <c r="G387"/>
      <c r="H387" s="603" t="s">
        <v>1914</v>
      </c>
      <c r="I387" s="604"/>
      <c r="J387" s="605"/>
      <c r="K387" s="104">
        <v>1</v>
      </c>
      <c r="L387" s="603" t="s">
        <v>1915</v>
      </c>
      <c r="M387" s="604"/>
      <c r="N387" s="605"/>
      <c r="O387" s="104">
        <v>0</v>
      </c>
      <c r="P387" s="178" t="s">
        <v>1717</v>
      </c>
      <c r="Q387" s="196"/>
      <c r="R387" s="178" t="s">
        <v>1718</v>
      </c>
      <c r="S387" s="196"/>
      <c r="T387" s="603" t="s">
        <v>1916</v>
      </c>
      <c r="U387" s="604"/>
      <c r="V387" s="605"/>
      <c r="W387" s="135" t="str">
        <f>IF(Main_Parameters!$L$20="YCbCr422","Mode3","Mode2")</f>
        <v>Mode2</v>
      </c>
      <c r="X387" s="131"/>
      <c r="AH387" s="131"/>
      <c r="AW387" s="64">
        <v>0</v>
      </c>
      <c r="AX387" s="64">
        <f>K387</f>
        <v>1</v>
      </c>
      <c r="AY387" s="64">
        <v>0</v>
      </c>
      <c r="AZ387" s="64">
        <f>O387</f>
        <v>0</v>
      </c>
      <c r="BA387" s="64">
        <v>0</v>
      </c>
      <c r="BB387" s="64">
        <v>0</v>
      </c>
      <c r="BC387" s="64">
        <v>0</v>
      </c>
      <c r="BD387" s="64">
        <f>IF(W387="Mode2",2,3)</f>
        <v>2</v>
      </c>
    </row>
    <row r="388" spans="1:71">
      <c r="B388" s="101" t="str">
        <f>IF(Main_Parameters!$B$53=0,"REMnd","WR8")</f>
        <v>REMnd</v>
      </c>
      <c r="C388" s="89" t="s">
        <v>1917</v>
      </c>
      <c r="D388" s="510" t="s">
        <v>1006</v>
      </c>
      <c r="E388" s="91" t="str">
        <f>Main_Parameters!$C$191</f>
        <v>31</v>
      </c>
      <c r="F388" s="97"/>
      <c r="G388"/>
      <c r="H388"/>
      <c r="I388"/>
      <c r="J388"/>
      <c r="K388"/>
      <c r="L388"/>
      <c r="M388"/>
      <c r="N388"/>
      <c r="O388"/>
      <c r="P388"/>
      <c r="Q388"/>
      <c r="R388"/>
      <c r="S388"/>
      <c r="T388"/>
      <c r="U388"/>
      <c r="V388"/>
      <c r="W388"/>
      <c r="X388" s="131"/>
      <c r="Y388" s="131"/>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c r="AY388" s="131"/>
      <c r="AZ388" s="131"/>
      <c r="BA388" s="131"/>
      <c r="BB388" s="131"/>
      <c r="BC388" s="131"/>
    </row>
    <row r="389" spans="1:71" s="64" customFormat="1">
      <c r="A389" s="65"/>
      <c r="B389" s="84" t="s">
        <v>1032</v>
      </c>
      <c r="C389" s="99" t="s">
        <v>1918</v>
      </c>
      <c r="D389" s="84"/>
      <c r="E389" s="100"/>
      <c r="F389" s="87"/>
      <c r="G389"/>
      <c r="H389"/>
      <c r="I389"/>
      <c r="J389"/>
      <c r="K389"/>
      <c r="L389"/>
      <c r="M389"/>
      <c r="N389"/>
      <c r="O389"/>
      <c r="P389"/>
      <c r="Q389"/>
      <c r="R389"/>
      <c r="S389"/>
      <c r="T389"/>
      <c r="U389"/>
      <c r="V389"/>
      <c r="W389"/>
      <c r="X389" s="131"/>
      <c r="AH389" s="131"/>
      <c r="BF389" s="65"/>
      <c r="BG389" s="65"/>
      <c r="BH389" s="65"/>
      <c r="BI389" s="65"/>
      <c r="BJ389" s="65"/>
      <c r="BK389" s="65"/>
      <c r="BL389" s="65"/>
      <c r="BM389" s="65"/>
      <c r="BN389" s="65"/>
      <c r="BO389" s="65"/>
      <c r="BP389" s="65"/>
      <c r="BQ389" s="65"/>
      <c r="BR389" s="65"/>
      <c r="BS389" s="65"/>
    </row>
    <row r="390" spans="1:71" s="64" customFormat="1">
      <c r="A390" s="65"/>
      <c r="B390" s="101" t="str">
        <f>IF(Main_Parameters!$C$43="TX1 Enable","REMend","WR32")</f>
        <v>WR32</v>
      </c>
      <c r="C390" s="102" t="s">
        <v>1919</v>
      </c>
      <c r="D390" s="515" t="s">
        <v>1920</v>
      </c>
      <c r="E390" s="511" t="s">
        <v>1921</v>
      </c>
      <c r="F390" s="92"/>
      <c r="G390"/>
      <c r="H390"/>
      <c r="I390"/>
      <c r="J390"/>
      <c r="K390"/>
      <c r="L390"/>
      <c r="M390"/>
      <c r="N390"/>
      <c r="O390"/>
      <c r="P390"/>
      <c r="Q390"/>
      <c r="R390"/>
      <c r="S390"/>
      <c r="T390"/>
      <c r="U390"/>
      <c r="V390"/>
      <c r="W390"/>
      <c r="X390" s="131"/>
      <c r="Y390" s="64">
        <v>31</v>
      </c>
      <c r="Z390" s="64">
        <v>30</v>
      </c>
      <c r="AA390" s="64">
        <v>29</v>
      </c>
      <c r="AB390" s="64">
        <v>28</v>
      </c>
      <c r="AC390" s="64">
        <v>27</v>
      </c>
      <c r="AD390" s="64">
        <v>26</v>
      </c>
      <c r="AE390" s="64">
        <v>25</v>
      </c>
      <c r="AF390" s="64">
        <v>24</v>
      </c>
      <c r="AG390" s="64">
        <v>23</v>
      </c>
      <c r="AH390" s="131">
        <v>22</v>
      </c>
      <c r="AI390" s="64">
        <v>21</v>
      </c>
      <c r="AJ390" s="64">
        <v>20</v>
      </c>
      <c r="AK390" s="64">
        <v>19</v>
      </c>
      <c r="AL390" s="64">
        <v>18</v>
      </c>
      <c r="AM390" s="64">
        <v>17</v>
      </c>
      <c r="AN390" s="64">
        <v>16</v>
      </c>
      <c r="AO390" s="64">
        <v>15</v>
      </c>
      <c r="AP390" s="64">
        <v>14</v>
      </c>
      <c r="AQ390" s="64">
        <v>13</v>
      </c>
      <c r="AR390" s="64">
        <v>12</v>
      </c>
      <c r="AS390" s="64">
        <v>11</v>
      </c>
      <c r="AT390" s="64">
        <v>10</v>
      </c>
      <c r="AU390" s="64">
        <v>9</v>
      </c>
      <c r="AV390" s="64">
        <v>8</v>
      </c>
      <c r="AW390" s="64">
        <v>7</v>
      </c>
      <c r="AX390" s="64">
        <v>6</v>
      </c>
      <c r="AY390" s="64">
        <v>5</v>
      </c>
      <c r="AZ390" s="64">
        <v>4</v>
      </c>
      <c r="BA390" s="64">
        <v>3</v>
      </c>
      <c r="BB390" s="64">
        <v>2</v>
      </c>
      <c r="BC390" s="64">
        <v>1</v>
      </c>
      <c r="BD390" s="64">
        <v>0</v>
      </c>
      <c r="BF390" s="65"/>
      <c r="BG390" s="65"/>
      <c r="BH390" s="65"/>
      <c r="BI390" s="65"/>
      <c r="BJ390" s="65"/>
      <c r="BK390" s="65"/>
      <c r="BL390" s="65"/>
      <c r="BM390" s="65"/>
      <c r="BN390" s="65"/>
      <c r="BO390" s="65"/>
      <c r="BP390" s="65"/>
      <c r="BQ390" s="65"/>
      <c r="BR390" s="65"/>
      <c r="BS390" s="65"/>
    </row>
    <row r="391" spans="1:71" s="64" customFormat="1">
      <c r="A391" s="65"/>
      <c r="B391" s="101" t="str">
        <f>IF(Main_Parameters!$C$43="TX1 Enable","REMend","WR32")</f>
        <v>WR32</v>
      </c>
      <c r="C391" s="102" t="s">
        <v>1922</v>
      </c>
      <c r="D391" s="515" t="s">
        <v>1923</v>
      </c>
      <c r="E391" s="91" t="str">
        <f>DEC2HEX(Y391*2^31+Z391*2^30+AA391*2^29+AB391*2^28+AC391*2^27+AD391*2^26+AE391*2^25+AF391*2^24+AG391*2^23+AH391*2^22+AI391*2^21+AJ391*2^20+AK391*2^19+AL391*2^18+AM391*2^17+AN391*2^16+AO391*2^15+AP391*2^14+AQ391*2^13+AR391*2^12+AS391*2^11+AT391*2^10+AU391*2^9+AV391*2^8+AW391*2^7+AX391*2^6+AY391*2^5+AZ391*2^4+BA391*2^3+BB391*2^2+BC391*2^1+BD391*2^0,8)</f>
        <v>00000001</v>
      </c>
      <c r="F391" s="92"/>
      <c r="G391" s="20"/>
      <c r="H391" s="103"/>
      <c r="I391" s="110"/>
      <c r="J391" s="110"/>
      <c r="K391" s="111"/>
      <c r="L391" s="106" t="s">
        <v>1924</v>
      </c>
      <c r="M391" s="104" t="s">
        <v>1925</v>
      </c>
      <c r="N391" s="106" t="s">
        <v>1926</v>
      </c>
      <c r="O391" s="104" t="s">
        <v>1925</v>
      </c>
      <c r="P391" s="153"/>
      <c r="Q391" s="114"/>
      <c r="R391" s="114"/>
      <c r="S391" s="114"/>
      <c r="T391" s="114"/>
      <c r="U391" s="132"/>
      <c r="V391" s="106" t="s">
        <v>1927</v>
      </c>
      <c r="W391" s="104" t="s">
        <v>721</v>
      </c>
      <c r="X391" s="63"/>
      <c r="Y391" s="47">
        <v>0</v>
      </c>
      <c r="Z391" s="47">
        <v>0</v>
      </c>
      <c r="AA391" s="47">
        <v>0</v>
      </c>
      <c r="AB391" s="47">
        <v>0</v>
      </c>
      <c r="AC391" s="47">
        <v>0</v>
      </c>
      <c r="AD391" s="47">
        <v>0</v>
      </c>
      <c r="AE391" s="47">
        <v>0</v>
      </c>
      <c r="AF391" s="47">
        <v>0</v>
      </c>
      <c r="AG391" s="47">
        <v>0</v>
      </c>
      <c r="AH391" s="63">
        <v>0</v>
      </c>
      <c r="AI391" s="47">
        <v>0</v>
      </c>
      <c r="AJ391" s="47">
        <v>0</v>
      </c>
      <c r="AK391" s="47">
        <v>0</v>
      </c>
      <c r="AL391" s="47">
        <v>0</v>
      </c>
      <c r="AM391" s="47">
        <v>0</v>
      </c>
      <c r="AN391" s="47">
        <v>0</v>
      </c>
      <c r="AO391" s="47">
        <v>0</v>
      </c>
      <c r="AP391" s="47">
        <v>0</v>
      </c>
      <c r="AQ391" s="47">
        <v>0</v>
      </c>
      <c r="AR391" s="47">
        <v>0</v>
      </c>
      <c r="AS391" s="47">
        <v>0</v>
      </c>
      <c r="AT391" s="47">
        <f>IF(M391="HSCK/8",0,IF(M391="HSCK/4",1,2))</f>
        <v>0</v>
      </c>
      <c r="AU391" s="47">
        <v>0</v>
      </c>
      <c r="AV391" s="47">
        <f>IF(O391="HSCK/8",0,IF(O391="HSCK/4",1,2))</f>
        <v>0</v>
      </c>
      <c r="AW391" s="47">
        <v>0</v>
      </c>
      <c r="AX391" s="47">
        <v>0</v>
      </c>
      <c r="AY391" s="47">
        <v>0</v>
      </c>
      <c r="AZ391" s="47">
        <v>0</v>
      </c>
      <c r="BA391" s="47">
        <v>0</v>
      </c>
      <c r="BB391" s="47">
        <v>0</v>
      </c>
      <c r="BC391" s="47">
        <v>0</v>
      </c>
      <c r="BD391" s="47">
        <f>IF(W391="Enable",1,0)</f>
        <v>1</v>
      </c>
      <c r="BF391" s="65"/>
      <c r="BG391" s="65"/>
      <c r="BH391" s="65"/>
      <c r="BI391" s="65"/>
      <c r="BJ391" s="65"/>
      <c r="BK391" s="65"/>
      <c r="BL391" s="65"/>
      <c r="BM391" s="65"/>
      <c r="BN391" s="65"/>
      <c r="BO391" s="65"/>
      <c r="BP391" s="65"/>
      <c r="BQ391" s="65"/>
      <c r="BR391" s="65"/>
      <c r="BS391" s="65"/>
    </row>
    <row r="392" spans="1:71" s="64" customFormat="1">
      <c r="A392" s="65"/>
      <c r="B392" s="101" t="str">
        <f>IF(Main_Parameters!$C$43="TX1 Enable","REMend","WR32")</f>
        <v>WR32</v>
      </c>
      <c r="C392" s="89" t="s">
        <v>1928</v>
      </c>
      <c r="D392" s="513" t="s">
        <v>1929</v>
      </c>
      <c r="E392" s="511" t="s">
        <v>1921</v>
      </c>
      <c r="F392" s="97"/>
      <c r="G392"/>
      <c r="H392"/>
      <c r="I392"/>
      <c r="J392"/>
      <c r="K392"/>
      <c r="L392"/>
      <c r="M392"/>
      <c r="N392"/>
      <c r="O392"/>
      <c r="P392"/>
      <c r="Q392"/>
      <c r="R392"/>
      <c r="S392"/>
      <c r="T392"/>
      <c r="U392"/>
      <c r="V392"/>
      <c r="W392"/>
      <c r="BF392" s="65"/>
      <c r="BG392" s="65"/>
      <c r="BH392" s="65"/>
      <c r="BI392" s="65"/>
      <c r="BJ392" s="65"/>
      <c r="BK392" s="65"/>
      <c r="BL392" s="65"/>
      <c r="BM392" s="65"/>
      <c r="BN392" s="65"/>
      <c r="BO392" s="65"/>
      <c r="BP392" s="65"/>
      <c r="BQ392" s="65"/>
      <c r="BR392" s="65"/>
      <c r="BS392" s="65"/>
    </row>
    <row r="393" spans="1:71">
      <c r="B393" s="101" t="str">
        <f>IF(Main_Parameters!$C$43="TX1 Enable","REMend","WR32")</f>
        <v>WR32</v>
      </c>
      <c r="C393" s="102" t="s">
        <v>1930</v>
      </c>
      <c r="D393" s="515" t="s">
        <v>957</v>
      </c>
      <c r="E393" s="91" t="str">
        <f>Main_Parameters!$C$124</f>
        <v>000090CF</v>
      </c>
      <c r="F393" s="92" t="s">
        <v>1931</v>
      </c>
      <c r="G393"/>
      <c r="H393"/>
      <c r="I393"/>
      <c r="J393"/>
      <c r="K393"/>
      <c r="L393"/>
      <c r="M393"/>
      <c r="N393"/>
      <c r="O393"/>
      <c r="P393"/>
      <c r="Q393"/>
      <c r="R393"/>
      <c r="S393"/>
      <c r="T393"/>
      <c r="U393"/>
      <c r="V393"/>
      <c r="W393"/>
      <c r="X393" s="131"/>
      <c r="AH393" s="131"/>
    </row>
    <row r="394" spans="1:71">
      <c r="B394" s="101" t="str">
        <f>IF(Main_Parameters!$C$43="TX1 Enable","REMend","delay")</f>
        <v>delay</v>
      </c>
      <c r="C394" s="102"/>
      <c r="D394" s="96">
        <v>1000</v>
      </c>
      <c r="E394" s="96"/>
      <c r="F394" s="92"/>
      <c r="G394"/>
      <c r="H394"/>
      <c r="I394"/>
      <c r="J394"/>
      <c r="K394"/>
      <c r="L394"/>
      <c r="M394"/>
      <c r="N394"/>
      <c r="O394"/>
      <c r="P394"/>
      <c r="Q394"/>
      <c r="R394"/>
      <c r="S394"/>
      <c r="T394"/>
      <c r="U394"/>
      <c r="V394"/>
      <c r="W394"/>
      <c r="X394" s="131"/>
      <c r="AH394" s="131"/>
    </row>
    <row r="395" spans="1:71">
      <c r="B395" s="101" t="str">
        <f>IF(Main_Parameters!$C$43="TX1 Enable","REMend","WR32")</f>
        <v>WR32</v>
      </c>
      <c r="C395" s="89" t="s">
        <v>1928</v>
      </c>
      <c r="D395" s="513" t="s">
        <v>1929</v>
      </c>
      <c r="E395" s="511" t="s">
        <v>1932</v>
      </c>
      <c r="F395" s="97"/>
      <c r="G395"/>
      <c r="H395"/>
      <c r="I395"/>
      <c r="J395"/>
      <c r="K395"/>
      <c r="L395"/>
      <c r="M395"/>
      <c r="N395"/>
      <c r="O395"/>
      <c r="P395"/>
      <c r="Q395"/>
      <c r="R395"/>
      <c r="S395"/>
      <c r="T395"/>
      <c r="U395"/>
      <c r="V395"/>
      <c r="W395"/>
    </row>
    <row r="396" spans="1:71">
      <c r="B396" s="101" t="str">
        <f>IF(Main_Parameters!$C$43="TX1 Enable","REMend","WR32")</f>
        <v>WR32</v>
      </c>
      <c r="C396" s="102" t="s">
        <v>1933</v>
      </c>
      <c r="D396" s="515" t="s">
        <v>959</v>
      </c>
      <c r="E396" s="91" t="str">
        <f>Main_Parameters!$C$127</f>
        <v>00000014</v>
      </c>
      <c r="F396" s="92"/>
      <c r="G396"/>
      <c r="H396"/>
      <c r="I396"/>
      <c r="J396"/>
      <c r="K396"/>
      <c r="L396"/>
      <c r="M396"/>
      <c r="N396"/>
      <c r="O396"/>
      <c r="P396"/>
      <c r="Q396"/>
      <c r="R396"/>
      <c r="S396"/>
      <c r="T396"/>
      <c r="U396"/>
      <c r="V396"/>
      <c r="W396"/>
      <c r="X396" s="131"/>
      <c r="AH396" s="131"/>
    </row>
    <row r="397" spans="1:71">
      <c r="B397" s="101" t="str">
        <f>IF(Main_Parameters!$C$43="TX1 Enable","REMend","WR32")</f>
        <v>WR32</v>
      </c>
      <c r="C397" s="102" t="s">
        <v>1934</v>
      </c>
      <c r="D397" s="515" t="s">
        <v>960</v>
      </c>
      <c r="E397" s="91" t="str">
        <f>Main_Parameters!$C$128</f>
        <v>00001770</v>
      </c>
      <c r="F397" s="92"/>
      <c r="G397"/>
      <c r="H397"/>
      <c r="I397"/>
      <c r="J397"/>
      <c r="K397"/>
      <c r="L397"/>
      <c r="M397"/>
      <c r="N397"/>
      <c r="O397"/>
      <c r="P397"/>
      <c r="Q397"/>
      <c r="R397"/>
      <c r="S397"/>
      <c r="T397"/>
      <c r="U397"/>
      <c r="V397"/>
      <c r="W397"/>
      <c r="X397" s="131"/>
      <c r="AH397" s="131"/>
    </row>
    <row r="398" spans="1:71" ht="15">
      <c r="B398" s="101" t="str">
        <f>IF(Main_Parameters!$C$43="TX1 Enable","REMend","WR32")</f>
        <v>WR32</v>
      </c>
      <c r="C398" s="102" t="s">
        <v>1935</v>
      </c>
      <c r="D398" s="515" t="s">
        <v>1936</v>
      </c>
      <c r="E398" s="91" t="str">
        <f>DEC2HEX(HEX2DEC(K398),8)</f>
        <v>00000000</v>
      </c>
      <c r="F398" s="92"/>
      <c r="G398"/>
      <c r="H398" s="597" t="s">
        <v>1937</v>
      </c>
      <c r="I398" s="598"/>
      <c r="J398" s="599"/>
      <c r="K398" s="116">
        <v>0</v>
      </c>
      <c r="L398" s="117" t="str">
        <f>IF(HEX2DEC(K398)&lt;0,"NG",IF(HEX2DEC(K398)&gt;4294967295,"NG","OK"))</f>
        <v>OK</v>
      </c>
      <c r="M398" s="103"/>
      <c r="N398" s="110"/>
      <c r="O398" s="110"/>
      <c r="P398" s="110"/>
      <c r="Q398" s="110"/>
      <c r="R398" s="110"/>
      <c r="S398" s="110"/>
      <c r="T398" s="110"/>
      <c r="U398" s="110"/>
      <c r="V398" s="110"/>
      <c r="W398" s="111"/>
      <c r="X398" s="131"/>
      <c r="AH398" s="131"/>
    </row>
    <row r="399" spans="1:71">
      <c r="B399" s="101" t="str">
        <f>IF(Main_Parameters!$C$43="TX1 Enable","REMend","WR32")</f>
        <v>WR32</v>
      </c>
      <c r="C399" s="102" t="s">
        <v>1938</v>
      </c>
      <c r="D399" s="515" t="s">
        <v>1939</v>
      </c>
      <c r="E399" s="91" t="str">
        <f>DEC2HEX(Y399*2^31+Z399*2^30+AA399*2^29+AB399*2^28+AC399*2^27+AD399*2^26+AE399*2^25+AF399*2^24+AG399*2^23+AH399*2^22+AI399*2^21+AJ399*2^20+AK399*2^19+AL399*2^18+AM399*2^17+AN399*2^16+AO399*2^15+AP399*2^14+AQ399*2^13+AR399*2^12+AS399*2^11+AT399*2^10+AU399*2^9+AV399*2^8+AW399*2^7+AX399*2^6+AY399*2^5+AZ399*2^4+BA399*2^3+BB399*2^2+BC399*2^1+BD399*2^0,8)</f>
        <v>00000101</v>
      </c>
      <c r="F399" s="92"/>
      <c r="G399"/>
      <c r="H399" s="103"/>
      <c r="I399" s="110"/>
      <c r="J399" s="110"/>
      <c r="K399" s="110"/>
      <c r="L399" s="118" t="s">
        <v>1940</v>
      </c>
      <c r="M399" s="118" t="s">
        <v>1941</v>
      </c>
      <c r="N399" s="118" t="s">
        <v>1942</v>
      </c>
      <c r="O399" s="118" t="s">
        <v>1943</v>
      </c>
      <c r="P399" s="118" t="s">
        <v>1944</v>
      </c>
      <c r="Q399" s="118" t="s">
        <v>1945</v>
      </c>
      <c r="R399" s="118" t="s">
        <v>1946</v>
      </c>
      <c r="S399" s="118" t="s">
        <v>1947</v>
      </c>
      <c r="T399" s="118" t="s">
        <v>1948</v>
      </c>
      <c r="U399" s="118" t="s">
        <v>1949</v>
      </c>
      <c r="V399" s="133" t="s">
        <v>1950</v>
      </c>
      <c r="W399" s="104" t="s">
        <v>1951</v>
      </c>
      <c r="X399" s="131"/>
      <c r="Y399" s="64">
        <v>0</v>
      </c>
      <c r="Z399" s="64">
        <v>0</v>
      </c>
      <c r="AA399" s="64">
        <v>0</v>
      </c>
      <c r="AB399" s="64">
        <v>0</v>
      </c>
      <c r="AC399" s="64">
        <v>0</v>
      </c>
      <c r="AD399" s="64">
        <v>0</v>
      </c>
      <c r="AE399" s="64">
        <v>0</v>
      </c>
      <c r="AF399" s="64">
        <v>0</v>
      </c>
      <c r="AG399" s="64">
        <v>0</v>
      </c>
      <c r="AH399" s="131">
        <f>IF(L399="INIT Int Enb",1,0)</f>
        <v>0</v>
      </c>
      <c r="AI399" s="131">
        <f>IF(M399="ApErr Int Enb",1,0)</f>
        <v>0</v>
      </c>
      <c r="AJ399" s="131">
        <f>IF(N399="DSIPrto Int Enb",1,0)</f>
        <v>0</v>
      </c>
      <c r="AK399" s="131">
        <f>IF(O399="DSIrErr Int Enb",1,0)</f>
        <v>0</v>
      </c>
      <c r="AL399" s="131">
        <f>IF(P399="DSILPTX Int Enb",1,0)</f>
        <v>0</v>
      </c>
      <c r="AM399" s="131">
        <f>IF(Q399="DSIrTrg Int Enb",1,0)</f>
        <v>0</v>
      </c>
      <c r="AN399" s="131">
        <f>IF(R399="DSIrStat Int Enb",1,0)</f>
        <v>0</v>
      </c>
      <c r="AO399" s="64">
        <v>0</v>
      </c>
      <c r="AP399" s="131">
        <f>IF(S399="PRESP_TO Enb",1,0)</f>
        <v>0</v>
      </c>
      <c r="AQ399" s="131">
        <v>0</v>
      </c>
      <c r="AR399" s="131">
        <v>0</v>
      </c>
      <c r="AS399" s="131">
        <v>0</v>
      </c>
      <c r="AT399" s="131">
        <f>IF(T399="HSTX_TO Enb",1,0)</f>
        <v>0</v>
      </c>
      <c r="AU399" s="131">
        <f>IF(U399="IND_TO Enb",1,0)</f>
        <v>0</v>
      </c>
      <c r="AV399" s="131">
        <f>IF(V399="INDMdSel Reg",1,0)</f>
        <v>1</v>
      </c>
      <c r="AW399" s="64">
        <v>0</v>
      </c>
      <c r="AX399" s="64">
        <v>0</v>
      </c>
      <c r="AY399" s="64">
        <v>0</v>
      </c>
      <c r="AZ399" s="64">
        <v>0</v>
      </c>
      <c r="BA399" s="64">
        <v>0</v>
      </c>
      <c r="BB399" s="64">
        <v>0</v>
      </c>
      <c r="BC399" s="64">
        <v>0</v>
      </c>
      <c r="BD399" s="131">
        <f>IF(W399="VHDELAY Reg",1,0)</f>
        <v>1</v>
      </c>
    </row>
    <row r="400" spans="1:71" ht="15">
      <c r="B400" s="101" t="str">
        <f>IF(Main_Parameters!$C$43="TX1 Enable","REMend",IF(G400="Disable","REMend","WR32"))</f>
        <v>REMend</v>
      </c>
      <c r="C400" s="102" t="s">
        <v>1952</v>
      </c>
      <c r="D400" s="515" t="s">
        <v>1953</v>
      </c>
      <c r="E400" s="91" t="str">
        <f>DEC2HEX(Y400*2^31+Z400*2^30+AA400*2^29+AB400*2^28+AC400*2^27+AD400*2^26+AE400*2^25+AF400*2^24+AG400*2^23+AH400*2^22+AI400*2^21+AJ400*2^20+AK400*2^19+AL400*2^18+AM400*2^17+AN400*2^16+AO400*2^15+AP400*2^14+AQ400*2^13+AR400*2^12+AS400*2^11+AT400*2^10+AU400*2^9+AV400*2^8+AW400*2^7+AX400*2^6+AY400*2^5+AZ400*2^4+BA400*2^3+BB400*2^2+BC400*2^1+BD400*2^0,8)</f>
        <v>00000000</v>
      </c>
      <c r="F400" s="92"/>
      <c r="G400" s="104" t="s">
        <v>780</v>
      </c>
      <c r="H400" s="103"/>
      <c r="I400" s="110"/>
      <c r="J400" s="110"/>
      <c r="K400" s="110"/>
      <c r="L400" s="110"/>
      <c r="M400" s="110"/>
      <c r="N400" s="119"/>
      <c r="O400" s="119"/>
      <c r="P400" s="119"/>
      <c r="Q400" s="115" t="s">
        <v>1954</v>
      </c>
      <c r="R400" s="120" t="str">
        <f>IF(S400&gt;8191,"NG",IF(S400&lt;0,"NG","OK"))</f>
        <v>OK</v>
      </c>
      <c r="S400" s="134">
        <v>0</v>
      </c>
      <c r="T400" s="112" t="s">
        <v>1955</v>
      </c>
      <c r="U400" s="118" t="s">
        <v>1302</v>
      </c>
      <c r="V400" s="112" t="s">
        <v>1956</v>
      </c>
      <c r="W400" s="104" t="s">
        <v>1957</v>
      </c>
      <c r="X400" s="131"/>
      <c r="Y400" s="64">
        <v>0</v>
      </c>
      <c r="Z400" s="64">
        <v>0</v>
      </c>
      <c r="AA400" s="64">
        <v>0</v>
      </c>
      <c r="AB400" s="64">
        <v>0</v>
      </c>
      <c r="AC400" s="64">
        <v>0</v>
      </c>
      <c r="AD400" s="64">
        <v>0</v>
      </c>
      <c r="AE400" s="64">
        <v>0</v>
      </c>
      <c r="AF400" s="64">
        <v>0</v>
      </c>
      <c r="AG400" s="64">
        <v>0</v>
      </c>
      <c r="AH400" s="64">
        <v>0</v>
      </c>
      <c r="AI400" s="64">
        <v>0</v>
      </c>
      <c r="AJ400" s="64">
        <v>0</v>
      </c>
      <c r="AK400" s="64">
        <v>0</v>
      </c>
      <c r="AL400" s="64">
        <v>0</v>
      </c>
      <c r="AM400" s="64">
        <v>0</v>
      </c>
      <c r="AN400" s="64">
        <v>0</v>
      </c>
      <c r="AO400" s="64">
        <v>0</v>
      </c>
      <c r="AP400" s="64">
        <v>0</v>
      </c>
      <c r="AQ400" s="64">
        <v>0</v>
      </c>
      <c r="AR400" s="64">
        <v>0</v>
      </c>
      <c r="AS400" s="64">
        <v>0</v>
      </c>
      <c r="AT400" s="64">
        <v>0</v>
      </c>
      <c r="AU400" s="64">
        <v>0</v>
      </c>
      <c r="AV400" s="64">
        <v>0</v>
      </c>
      <c r="AW400" s="64">
        <v>0</v>
      </c>
      <c r="AX400" s="64">
        <v>0</v>
      </c>
      <c r="AY400" s="64">
        <v>0</v>
      </c>
      <c r="AZ400" s="64">
        <v>0</v>
      </c>
      <c r="BA400" s="64">
        <f>S400</f>
        <v>0</v>
      </c>
      <c r="BB400" s="64">
        <v>0</v>
      </c>
      <c r="BC400" s="64">
        <f>IF(U400="VFP",0,IF(U400="Immediate",2,1))</f>
        <v>0</v>
      </c>
      <c r="BD400" s="64">
        <f>IF(W400="Input",0,1)</f>
        <v>0</v>
      </c>
      <c r="BE400" s="131"/>
    </row>
    <row r="401" spans="2:57" ht="15">
      <c r="B401" s="101" t="str">
        <f>IF(Main_Parameters!$C$43="TX1 Enable","REMend","WR32")</f>
        <v>WR32</v>
      </c>
      <c r="C401" s="102" t="s">
        <v>1958</v>
      </c>
      <c r="D401" s="515" t="s">
        <v>1959</v>
      </c>
      <c r="E401" s="91" t="str">
        <f t="shared" ref="E401:E408" si="16">DEC2HEX(HEX2DEC(K401),8)</f>
        <v>00010000</v>
      </c>
      <c r="F401" s="92"/>
      <c r="G401"/>
      <c r="H401" s="597" t="s">
        <v>1960</v>
      </c>
      <c r="I401" s="598"/>
      <c r="J401" s="599"/>
      <c r="K401" s="516" t="s">
        <v>1961</v>
      </c>
      <c r="L401" s="120" t="str">
        <f t="shared" ref="L401:L408" si="17">IF(HEX2DEC(K401)&lt;0,"NG",IF(HEX2DEC(K401)&gt;4294967295,"NG","OK"))</f>
        <v>OK</v>
      </c>
      <c r="M401" s="103"/>
      <c r="N401" s="110"/>
      <c r="O401" s="110"/>
      <c r="P401" s="110"/>
      <c r="Q401" s="110"/>
      <c r="R401" s="110"/>
      <c r="S401" s="110"/>
      <c r="T401" s="110"/>
      <c r="U401" s="110"/>
      <c r="V401" s="110"/>
      <c r="W401" s="111"/>
    </row>
    <row r="402" spans="2:57" ht="15">
      <c r="B402" s="101" t="str">
        <f>IF(Main_Parameters!$C$43="TX1 Enable","REMend","WR32")</f>
        <v>WR32</v>
      </c>
      <c r="C402" s="102" t="s">
        <v>1962</v>
      </c>
      <c r="D402" s="515" t="s">
        <v>1963</v>
      </c>
      <c r="E402" s="91" t="str">
        <f t="shared" si="16"/>
        <v>00005000</v>
      </c>
      <c r="F402" s="92"/>
      <c r="G402"/>
      <c r="H402" s="597" t="s">
        <v>1964</v>
      </c>
      <c r="I402" s="598"/>
      <c r="J402" s="599"/>
      <c r="K402" s="516" t="s">
        <v>995</v>
      </c>
      <c r="L402" s="120" t="str">
        <f t="shared" si="17"/>
        <v>OK</v>
      </c>
      <c r="M402" s="103"/>
      <c r="N402" s="110"/>
      <c r="O402" s="110"/>
      <c r="P402" s="110"/>
      <c r="Q402" s="110"/>
      <c r="R402" s="110"/>
      <c r="S402" s="110"/>
      <c r="T402" s="110"/>
      <c r="U402" s="110"/>
      <c r="V402" s="110"/>
      <c r="W402" s="111"/>
      <c r="X402" s="131"/>
      <c r="AH402" s="131"/>
    </row>
    <row r="403" spans="2:57" ht="15">
      <c r="B403" s="101" t="str">
        <f>IF(Main_Parameters!$C$43="TX1 Enable","REMend","WR32")</f>
        <v>WR32</v>
      </c>
      <c r="C403" s="102" t="s">
        <v>1965</v>
      </c>
      <c r="D403" s="515" t="s">
        <v>1966</v>
      </c>
      <c r="E403" s="91" t="str">
        <f t="shared" si="16"/>
        <v>00010000</v>
      </c>
      <c r="F403" s="92"/>
      <c r="G403"/>
      <c r="H403" s="597" t="s">
        <v>1967</v>
      </c>
      <c r="I403" s="598"/>
      <c r="J403" s="599"/>
      <c r="K403" s="516" t="s">
        <v>1961</v>
      </c>
      <c r="L403" s="120" t="str">
        <f t="shared" si="17"/>
        <v>OK</v>
      </c>
      <c r="M403" s="103"/>
      <c r="N403" s="110"/>
      <c r="O403" s="110"/>
      <c r="P403" s="110"/>
      <c r="Q403" s="110"/>
      <c r="R403" s="110"/>
      <c r="S403" s="110"/>
      <c r="T403" s="110"/>
      <c r="U403" s="110"/>
      <c r="V403" s="110"/>
      <c r="W403" s="111"/>
      <c r="X403" s="131"/>
      <c r="AH403" s="131"/>
    </row>
    <row r="404" spans="2:57" ht="15">
      <c r="B404" s="101" t="str">
        <f>IF(Main_Parameters!$C$43="TX1 Enable","REMend","WR32")</f>
        <v>WR32</v>
      </c>
      <c r="C404" s="102" t="s">
        <v>1968</v>
      </c>
      <c r="D404" s="515" t="s">
        <v>1969</v>
      </c>
      <c r="E404" s="91" t="str">
        <f t="shared" si="16"/>
        <v>00010000</v>
      </c>
      <c r="F404" s="92"/>
      <c r="G404"/>
      <c r="H404" s="597" t="s">
        <v>1970</v>
      </c>
      <c r="I404" s="598"/>
      <c r="J404" s="599"/>
      <c r="K404" s="516" t="s">
        <v>1961</v>
      </c>
      <c r="L404" s="120" t="str">
        <f t="shared" si="17"/>
        <v>OK</v>
      </c>
      <c r="M404" s="103"/>
      <c r="N404" s="110"/>
      <c r="O404" s="110"/>
      <c r="P404" s="110"/>
      <c r="Q404" s="110"/>
      <c r="R404" s="110"/>
      <c r="S404" s="110"/>
      <c r="T404" s="110"/>
      <c r="U404" s="110"/>
      <c r="V404" s="110"/>
      <c r="W404" s="111"/>
      <c r="X404" s="131"/>
      <c r="AH404" s="131"/>
    </row>
    <row r="405" spans="2:57" ht="15">
      <c r="B405" s="101" t="str">
        <f>IF(Main_Parameters!$C$43="TX1 Enable","REMend","WR32")</f>
        <v>WR32</v>
      </c>
      <c r="C405" s="102" t="s">
        <v>1971</v>
      </c>
      <c r="D405" s="515" t="s">
        <v>1972</v>
      </c>
      <c r="E405" s="91" t="str">
        <f t="shared" si="16"/>
        <v>00010000</v>
      </c>
      <c r="F405" s="92"/>
      <c r="G405"/>
      <c r="H405" s="597" t="s">
        <v>1973</v>
      </c>
      <c r="I405" s="598"/>
      <c r="J405" s="599"/>
      <c r="K405" s="516" t="s">
        <v>1961</v>
      </c>
      <c r="L405" s="120" t="str">
        <f t="shared" si="17"/>
        <v>OK</v>
      </c>
      <c r="M405" s="103"/>
      <c r="N405" s="110"/>
      <c r="O405" s="110"/>
      <c r="P405" s="110"/>
      <c r="Q405" s="110"/>
      <c r="R405" s="110"/>
      <c r="S405" s="110"/>
      <c r="T405" s="110"/>
      <c r="U405" s="110"/>
      <c r="V405" s="110"/>
      <c r="W405" s="111"/>
      <c r="X405" s="131"/>
      <c r="AH405" s="131"/>
    </row>
    <row r="406" spans="2:57" ht="15">
      <c r="B406" s="101" t="str">
        <f>IF(Main_Parameters!$C$43="TX1 Enable","REMend","WR32")</f>
        <v>WR32</v>
      </c>
      <c r="C406" s="102" t="s">
        <v>1974</v>
      </c>
      <c r="D406" s="515" t="s">
        <v>1975</v>
      </c>
      <c r="E406" s="91" t="str">
        <f t="shared" si="16"/>
        <v>00010000</v>
      </c>
      <c r="F406" s="92"/>
      <c r="G406"/>
      <c r="H406" s="597" t="s">
        <v>1976</v>
      </c>
      <c r="I406" s="598"/>
      <c r="J406" s="599"/>
      <c r="K406" s="516" t="s">
        <v>1961</v>
      </c>
      <c r="L406" s="120" t="str">
        <f t="shared" si="17"/>
        <v>OK</v>
      </c>
      <c r="M406" s="103"/>
      <c r="N406" s="110"/>
      <c r="O406" s="110"/>
      <c r="P406" s="110"/>
      <c r="Q406" s="110"/>
      <c r="R406" s="110"/>
      <c r="S406" s="110"/>
      <c r="T406" s="110"/>
      <c r="U406" s="110"/>
      <c r="V406" s="110"/>
      <c r="W406" s="111"/>
      <c r="X406" s="131"/>
      <c r="AH406" s="131"/>
    </row>
    <row r="407" spans="2:57" ht="15">
      <c r="B407" s="101" t="str">
        <f>IF(Main_Parameters!$C$43="TX1 Enable","REMend","WR32")</f>
        <v>WR32</v>
      </c>
      <c r="C407" s="102" t="s">
        <v>1977</v>
      </c>
      <c r="D407" s="515" t="s">
        <v>1978</v>
      </c>
      <c r="E407" s="91" t="str">
        <f t="shared" si="16"/>
        <v>00001000</v>
      </c>
      <c r="F407" s="92"/>
      <c r="G407"/>
      <c r="H407" s="597" t="s">
        <v>1979</v>
      </c>
      <c r="I407" s="598"/>
      <c r="J407" s="599"/>
      <c r="K407" s="516" t="s">
        <v>1980</v>
      </c>
      <c r="L407" s="120" t="str">
        <f t="shared" si="17"/>
        <v>OK</v>
      </c>
      <c r="M407" s="103"/>
      <c r="N407" s="110"/>
      <c r="O407" s="110"/>
      <c r="P407" s="110"/>
      <c r="Q407" s="110"/>
      <c r="R407" s="110"/>
      <c r="S407" s="110"/>
      <c r="T407" s="110"/>
      <c r="U407" s="110"/>
      <c r="V407" s="110"/>
      <c r="W407" s="111"/>
      <c r="X407" s="131"/>
      <c r="AH407" s="131"/>
    </row>
    <row r="408" spans="2:57" ht="15">
      <c r="B408" s="101" t="str">
        <f>IF(Main_Parameters!$C$43="TX1 Enable","REMend","WR32")</f>
        <v>WR32</v>
      </c>
      <c r="C408" s="102" t="s">
        <v>1981</v>
      </c>
      <c r="D408" s="515" t="s">
        <v>1982</v>
      </c>
      <c r="E408" s="91" t="str">
        <f t="shared" si="16"/>
        <v>00010000</v>
      </c>
      <c r="F408" s="92"/>
      <c r="G408"/>
      <c r="H408" s="597" t="s">
        <v>1983</v>
      </c>
      <c r="I408" s="598"/>
      <c r="J408" s="599"/>
      <c r="K408" s="516" t="s">
        <v>1961</v>
      </c>
      <c r="L408" s="120" t="str">
        <f t="shared" si="17"/>
        <v>OK</v>
      </c>
      <c r="M408" s="103"/>
      <c r="N408" s="110"/>
      <c r="O408" s="110"/>
      <c r="P408" s="110"/>
      <c r="Q408" s="110"/>
      <c r="R408" s="110"/>
      <c r="S408" s="110"/>
      <c r="T408" s="110"/>
      <c r="U408" s="110"/>
      <c r="V408" s="110"/>
      <c r="W408" s="111"/>
      <c r="X408" s="131"/>
      <c r="AH408" s="131"/>
    </row>
    <row r="409" spans="2:57">
      <c r="B409" s="101" t="str">
        <f>IF(Main_Parameters!$C$43="TX1 Enable","REMend","WR32")</f>
        <v>WR32</v>
      </c>
      <c r="C409" s="102" t="s">
        <v>1984</v>
      </c>
      <c r="D409" s="515" t="s">
        <v>1985</v>
      </c>
      <c r="E409" s="91" t="str">
        <f t="shared" ref="E409:E412" si="18">DEC2HEX(Y409*2^31+Z409*2^30+AA409*2^29+AB409*2^28+AC409*2^27+AD409*2^26+AE409*2^25+AF409*2^24+AG409*2^23+AH409*2^22+AI409*2^21+AJ409*2^20+AK409*2^19+AL409*2^18+AM409*2^17+AN409*2^16+AO409*2^15+AP409*2^14+AQ409*2^13+AR409*2^12+AS409*2^11+AT409*2^10+AU409*2^9+AV409*2^8+AW409*2^7+AX409*2^6+AY409*2^5+AZ409*2^4+BA409*2^3+BB409*2^2+BC409*2^1+BD409*2^0,8)</f>
        <v>00000161</v>
      </c>
      <c r="F409" s="92"/>
      <c r="G409"/>
      <c r="H409" s="105"/>
      <c r="I409" s="121"/>
      <c r="J409" s="121"/>
      <c r="K409" s="122"/>
      <c r="L409" s="125" t="s">
        <v>1986</v>
      </c>
      <c r="M409" s="104" t="s">
        <v>1987</v>
      </c>
      <c r="N409" s="125" t="s">
        <v>1988</v>
      </c>
      <c r="O409" s="104" t="s">
        <v>721</v>
      </c>
      <c r="P409" s="125" t="s">
        <v>1989</v>
      </c>
      <c r="Q409" s="104" t="s">
        <v>780</v>
      </c>
      <c r="R409" s="125" t="s">
        <v>1990</v>
      </c>
      <c r="S409" s="113" t="s">
        <v>780</v>
      </c>
      <c r="T409" s="112" t="s">
        <v>1991</v>
      </c>
      <c r="U409" s="135" t="str">
        <f>IF(Main_Parameters!$C$80="Enable","Continuous","Discontinuous")</f>
        <v>Continuous</v>
      </c>
      <c r="V409" s="112" t="s">
        <v>1992</v>
      </c>
      <c r="W409" s="135" t="str">
        <f>IF(Main_Parameters!$C$79="Yes","Yes","No")</f>
        <v>Yes</v>
      </c>
      <c r="X409" s="63"/>
      <c r="Y409" s="47">
        <v>0</v>
      </c>
      <c r="Z409" s="47">
        <v>0</v>
      </c>
      <c r="AA409" s="47">
        <v>0</v>
      </c>
      <c r="AB409" s="47">
        <v>0</v>
      </c>
      <c r="AC409" s="47">
        <v>0</v>
      </c>
      <c r="AD409" s="47">
        <v>0</v>
      </c>
      <c r="AE409" s="47">
        <v>0</v>
      </c>
      <c r="AF409" s="47">
        <v>0</v>
      </c>
      <c r="AG409" s="47">
        <v>0</v>
      </c>
      <c r="AH409" s="63">
        <v>0</v>
      </c>
      <c r="AI409" s="47">
        <v>0</v>
      </c>
      <c r="AJ409" s="47">
        <v>0</v>
      </c>
      <c r="AK409" s="47">
        <v>0</v>
      </c>
      <c r="AL409" s="47">
        <v>0</v>
      </c>
      <c r="AM409" s="47">
        <v>0</v>
      </c>
      <c r="AN409" s="47">
        <v>0</v>
      </c>
      <c r="AO409" s="47">
        <v>0</v>
      </c>
      <c r="AP409" s="47">
        <v>0</v>
      </c>
      <c r="AQ409" s="47">
        <v>0</v>
      </c>
      <c r="AR409" s="47">
        <v>0</v>
      </c>
      <c r="AS409" s="47">
        <v>0</v>
      </c>
      <c r="AT409" s="47">
        <f>IF(M409="Forced to STOP",1,0)</f>
        <v>0</v>
      </c>
      <c r="AU409" s="47">
        <f>IF(O409="Disable",1,0)</f>
        <v>0</v>
      </c>
      <c r="AV409" s="47">
        <f>IF(Q409="Disable",1,0)</f>
        <v>1</v>
      </c>
      <c r="AW409" s="47">
        <v>0</v>
      </c>
      <c r="AX409" s="47">
        <f>IF(S409="Disable",1,0)</f>
        <v>1</v>
      </c>
      <c r="AY409" s="47">
        <f>IF(U409="Continuous",1,0)</f>
        <v>1</v>
      </c>
      <c r="AZ409" s="47">
        <v>0</v>
      </c>
      <c r="BA409" s="47">
        <v>0</v>
      </c>
      <c r="BB409" s="47">
        <v>0</v>
      </c>
      <c r="BC409" s="47">
        <v>0</v>
      </c>
      <c r="BD409" s="47">
        <f>IF(W409="Yes",1,0)</f>
        <v>1</v>
      </c>
    </row>
    <row r="410" spans="2:57">
      <c r="B410" s="101" t="str">
        <f>IF(Main_Parameters!$C$43="TX1 Enable","REMend","WR32")</f>
        <v>WR32</v>
      </c>
      <c r="C410" s="102" t="s">
        <v>1993</v>
      </c>
      <c r="D410" s="515" t="s">
        <v>1994</v>
      </c>
      <c r="E410" s="91" t="str">
        <f t="shared" si="18"/>
        <v>00000001</v>
      </c>
      <c r="F410" s="92"/>
      <c r="G410"/>
      <c r="H410" s="103"/>
      <c r="I410" s="110"/>
      <c r="J410" s="110"/>
      <c r="K410" s="110"/>
      <c r="L410" s="110"/>
      <c r="M410" s="110"/>
      <c r="N410" s="110"/>
      <c r="O410" s="111"/>
      <c r="P410" s="106" t="s">
        <v>1995</v>
      </c>
      <c r="Q410" s="104" t="s">
        <v>780</v>
      </c>
      <c r="R410" s="106" t="s">
        <v>1996</v>
      </c>
      <c r="S410" s="104" t="s">
        <v>780</v>
      </c>
      <c r="T410" s="106" t="s">
        <v>1997</v>
      </c>
      <c r="U410" s="104" t="s">
        <v>780</v>
      </c>
      <c r="V410" s="106" t="s">
        <v>1998</v>
      </c>
      <c r="W410" s="104" t="s">
        <v>721</v>
      </c>
      <c r="X410" s="63"/>
      <c r="Y410" s="47">
        <v>0</v>
      </c>
      <c r="Z410" s="47">
        <v>0</v>
      </c>
      <c r="AA410" s="47">
        <v>0</v>
      </c>
      <c r="AB410" s="47">
        <v>0</v>
      </c>
      <c r="AC410" s="47">
        <v>0</v>
      </c>
      <c r="AD410" s="47">
        <v>0</v>
      </c>
      <c r="AE410" s="47">
        <v>0</v>
      </c>
      <c r="AF410" s="47">
        <v>0</v>
      </c>
      <c r="AG410" s="47">
        <v>0</v>
      </c>
      <c r="AH410" s="63">
        <v>0</v>
      </c>
      <c r="AI410" s="47">
        <v>0</v>
      </c>
      <c r="AJ410" s="47">
        <v>0</v>
      </c>
      <c r="AK410" s="47">
        <v>0</v>
      </c>
      <c r="AL410" s="47">
        <v>0</v>
      </c>
      <c r="AM410" s="47">
        <v>0</v>
      </c>
      <c r="AN410" s="47">
        <v>0</v>
      </c>
      <c r="AO410" s="47">
        <v>0</v>
      </c>
      <c r="AP410" s="47">
        <v>0</v>
      </c>
      <c r="AQ410" s="47">
        <v>0</v>
      </c>
      <c r="AR410" s="47">
        <v>0</v>
      </c>
      <c r="AS410" s="47">
        <v>0</v>
      </c>
      <c r="AT410" s="47">
        <v>0</v>
      </c>
      <c r="AU410" s="47">
        <v>0</v>
      </c>
      <c r="AV410" s="47">
        <v>0</v>
      </c>
      <c r="AW410" s="47">
        <v>0</v>
      </c>
      <c r="AX410" s="47">
        <v>0</v>
      </c>
      <c r="AY410" s="47">
        <v>0</v>
      </c>
      <c r="AZ410" s="47">
        <v>0</v>
      </c>
      <c r="BA410" s="47">
        <f>IF(Q410="Enable",1,0)</f>
        <v>0</v>
      </c>
      <c r="BB410" s="47">
        <f>IF(S410="Enable",1,0)</f>
        <v>0</v>
      </c>
      <c r="BC410" s="47">
        <f>IF(U410="Enable",1,0)</f>
        <v>0</v>
      </c>
      <c r="BD410" s="47">
        <f>IF(W410="Enable",1,0)</f>
        <v>1</v>
      </c>
    </row>
    <row r="411" spans="2:57" ht="15">
      <c r="B411" s="101" t="str">
        <f>IF(Main_Parameters!$C$43="TX1 Enable","REMend","WR32")</f>
        <v>WR32</v>
      </c>
      <c r="C411" s="102" t="s">
        <v>1999</v>
      </c>
      <c r="D411" s="515" t="s">
        <v>2000</v>
      </c>
      <c r="E411" s="91" t="str">
        <f>DEC2HEX(HEX2DEC(K411),8)</f>
        <v>000000C8</v>
      </c>
      <c r="F411" s="92"/>
      <c r="G411"/>
      <c r="H411" s="597" t="s">
        <v>2001</v>
      </c>
      <c r="I411" s="598"/>
      <c r="J411" s="599"/>
      <c r="K411" s="516" t="s">
        <v>2002</v>
      </c>
      <c r="L411" s="120" t="str">
        <f>IF(HEX2DEC(K411)&lt;0,"NG",IF(HEX2DEC(K411)&gt;4294967295,"NG","OK"))</f>
        <v>OK</v>
      </c>
      <c r="M411" s="103"/>
      <c r="N411" s="110"/>
      <c r="O411" s="110"/>
      <c r="P411" s="110"/>
      <c r="Q411" s="110"/>
      <c r="R411" s="110"/>
      <c r="S411" s="110"/>
      <c r="T411" s="110"/>
      <c r="U411" s="110"/>
      <c r="V411" s="110"/>
      <c r="W411" s="111"/>
      <c r="X411" s="131"/>
      <c r="AH411" s="131"/>
    </row>
    <row r="412" spans="2:57">
      <c r="B412" s="101" t="str">
        <f>IF(Main_Parameters!$C$43="TX1 Enable","REMend",IF(G412="Disable","REMend","WR32"))</f>
        <v>REMend</v>
      </c>
      <c r="C412" s="102" t="s">
        <v>2003</v>
      </c>
      <c r="D412" s="515" t="s">
        <v>2004</v>
      </c>
      <c r="E412" s="91" t="str">
        <f t="shared" si="18"/>
        <v>00000014</v>
      </c>
      <c r="F412" s="92"/>
      <c r="G412" s="104" t="s">
        <v>780</v>
      </c>
      <c r="H412" s="103"/>
      <c r="I412" s="110"/>
      <c r="J412" s="110"/>
      <c r="K412" s="110"/>
      <c r="L412" s="110"/>
      <c r="M412" s="110"/>
      <c r="N412" s="114"/>
      <c r="O412" s="114"/>
      <c r="P412" s="119"/>
      <c r="Q412" s="132"/>
      <c r="R412" s="136" t="s">
        <v>2005</v>
      </c>
      <c r="S412" s="104" t="s">
        <v>2006</v>
      </c>
      <c r="T412" s="137" t="s">
        <v>2007</v>
      </c>
      <c r="U412" s="104" t="s">
        <v>2006</v>
      </c>
      <c r="V412" s="137" t="s">
        <v>2008</v>
      </c>
      <c r="W412" s="104" t="s">
        <v>2009</v>
      </c>
      <c r="X412" s="131"/>
      <c r="Y412" s="64">
        <v>0</v>
      </c>
      <c r="Z412" s="64">
        <v>0</v>
      </c>
      <c r="AA412" s="64">
        <v>0</v>
      </c>
      <c r="AB412" s="64">
        <v>0</v>
      </c>
      <c r="AC412" s="64">
        <v>0</v>
      </c>
      <c r="AD412" s="64">
        <v>0</v>
      </c>
      <c r="AE412" s="64">
        <v>0</v>
      </c>
      <c r="AF412" s="64">
        <v>0</v>
      </c>
      <c r="AG412" s="64">
        <v>0</v>
      </c>
      <c r="AH412" s="64">
        <v>0</v>
      </c>
      <c r="AI412" s="64">
        <v>0</v>
      </c>
      <c r="AJ412" s="64">
        <v>0</v>
      </c>
      <c r="AK412" s="64">
        <v>0</v>
      </c>
      <c r="AL412" s="64">
        <v>0</v>
      </c>
      <c r="AM412" s="64">
        <v>0</v>
      </c>
      <c r="AN412" s="64">
        <v>0</v>
      </c>
      <c r="AO412" s="64">
        <v>0</v>
      </c>
      <c r="AP412" s="64">
        <v>0</v>
      </c>
      <c r="AQ412" s="64">
        <v>0</v>
      </c>
      <c r="AR412" s="64">
        <v>0</v>
      </c>
      <c r="AS412" s="64">
        <v>0</v>
      </c>
      <c r="AT412" s="64">
        <v>0</v>
      </c>
      <c r="AU412" s="64">
        <v>0</v>
      </c>
      <c r="AV412" s="64">
        <v>0</v>
      </c>
      <c r="AW412" s="64">
        <v>0</v>
      </c>
      <c r="AX412" s="64">
        <v>0</v>
      </c>
      <c r="AY412" s="64">
        <v>0</v>
      </c>
      <c r="AZ412" s="64">
        <f t="shared" ref="AZ412:BD412" si="19">IF(S412="Mask",1,0)</f>
        <v>1</v>
      </c>
      <c r="BA412" s="64">
        <v>0</v>
      </c>
      <c r="BB412" s="64">
        <f t="shared" si="19"/>
        <v>1</v>
      </c>
      <c r="BC412" s="64">
        <v>0</v>
      </c>
      <c r="BD412" s="64">
        <f t="shared" si="19"/>
        <v>0</v>
      </c>
      <c r="BE412" s="131"/>
    </row>
    <row r="413" spans="2:57" ht="15">
      <c r="B413" s="101" t="str">
        <f>IF(Main_Parameters!$C$43="TX1 Enable","REMend","WR32")</f>
        <v>WR32</v>
      </c>
      <c r="C413" s="102" t="s">
        <v>2010</v>
      </c>
      <c r="D413" s="515" t="s">
        <v>2011</v>
      </c>
      <c r="E413" s="91" t="str">
        <f>DEC2HEX(HEX2DEC(K413),8)</f>
        <v>0000002A</v>
      </c>
      <c r="F413" s="92"/>
      <c r="G413"/>
      <c r="H413" s="597" t="s">
        <v>2012</v>
      </c>
      <c r="I413" s="598"/>
      <c r="J413" s="599"/>
      <c r="K413" s="516" t="s">
        <v>2013</v>
      </c>
      <c r="L413" s="120" t="str">
        <f>IF(HEX2DEC(K413)&lt;0,"NG",IF(HEX2DEC(K413)&gt;65535,"NG","OK"))</f>
        <v>OK</v>
      </c>
      <c r="M413" s="103"/>
      <c r="N413" s="110"/>
      <c r="O413" s="110"/>
      <c r="P413" s="110"/>
      <c r="Q413" s="110"/>
      <c r="R413" s="110"/>
      <c r="S413" s="110"/>
      <c r="T413" s="110"/>
      <c r="U413" s="110"/>
      <c r="V413" s="110"/>
      <c r="W413" s="111"/>
      <c r="X413" s="131"/>
      <c r="AH413" s="131"/>
    </row>
    <row r="414" spans="2:57">
      <c r="B414" s="101" t="str">
        <f>IF(Main_Parameters!$C$43="TX1 Enable","REMend","WR32")</f>
        <v>WR32</v>
      </c>
      <c r="C414" s="102" t="s">
        <v>2014</v>
      </c>
      <c r="D414" s="515" t="s">
        <v>2015</v>
      </c>
      <c r="E414" s="91" t="str">
        <f>Main_Parameters!$C$130</f>
        <v>0000040D</v>
      </c>
      <c r="F414" s="92"/>
      <c r="G414"/>
      <c r="H414"/>
      <c r="I414"/>
      <c r="J414"/>
      <c r="K414"/>
      <c r="L414"/>
      <c r="M414"/>
      <c r="N414"/>
      <c r="O414"/>
      <c r="P414"/>
      <c r="Q414"/>
      <c r="R414"/>
      <c r="S414"/>
      <c r="T414"/>
      <c r="U414"/>
      <c r="V414"/>
      <c r="W414"/>
      <c r="X414" s="131"/>
      <c r="AH414" s="131"/>
    </row>
    <row r="415" spans="2:57">
      <c r="B415" s="101" t="str">
        <f>IF(Main_Parameters!$C$43="TX1 Enable","REMend",IF(G415="Disable","REMend","WR32"))</f>
        <v>REMend</v>
      </c>
      <c r="C415" s="102" t="s">
        <v>2016</v>
      </c>
      <c r="D415" s="515" t="s">
        <v>2017</v>
      </c>
      <c r="E415" s="91" t="str">
        <f t="shared" ref="E415:E420" si="20">DEC2HEX(Y415*2^31+Z415*2^30+AA415*2^29+AB415*2^28+AC415*2^27+AD415*2^26+AE415*2^25+AF415*2^24+AG415*2^23+AH415*2^22+AI415*2^21+AJ415*2^20+AK415*2^19+AL415*2^18+AM415*2^17+AN415*2^16+AO415*2^15+AP415*2^14+AQ415*2^13+AR415*2^12+AS415*2^11+AT415*2^10+AU415*2^9+AV415*2^8+AW415*2^7+AX415*2^6+AY415*2^5+AZ415*2^4+BA415*2^3+BB415*2^2+BC415*2^1+BD415*2^0,8)</f>
        <v>00000001</v>
      </c>
      <c r="F415" s="92"/>
      <c r="G415" s="104" t="s">
        <v>780</v>
      </c>
      <c r="H415" s="105"/>
      <c r="I415" s="121"/>
      <c r="J415" s="121"/>
      <c r="K415" s="121"/>
      <c r="L415" s="121"/>
      <c r="M415" s="121"/>
      <c r="N415" s="121"/>
      <c r="O415" s="121"/>
      <c r="P415" s="119"/>
      <c r="Q415" s="119"/>
      <c r="R415" s="138"/>
      <c r="S415" s="126"/>
      <c r="T415" s="126" t="s">
        <v>2018</v>
      </c>
      <c r="U415" s="124">
        <v>0</v>
      </c>
      <c r="V415" s="112" t="s">
        <v>2019</v>
      </c>
      <c r="W415" s="104" t="s">
        <v>2020</v>
      </c>
      <c r="X415" s="63"/>
      <c r="Y415" s="47">
        <v>0</v>
      </c>
      <c r="Z415" s="47">
        <v>0</v>
      </c>
      <c r="AA415" s="47">
        <v>0</v>
      </c>
      <c r="AB415" s="47">
        <v>0</v>
      </c>
      <c r="AC415" s="47">
        <v>0</v>
      </c>
      <c r="AD415" s="47">
        <v>0</v>
      </c>
      <c r="AE415" s="47">
        <v>0</v>
      </c>
      <c r="AF415" s="47">
        <v>0</v>
      </c>
      <c r="AG415" s="47">
        <v>0</v>
      </c>
      <c r="AH415" s="47">
        <v>0</v>
      </c>
      <c r="AI415" s="47">
        <v>0</v>
      </c>
      <c r="AJ415" s="47">
        <v>0</v>
      </c>
      <c r="AK415" s="47">
        <v>0</v>
      </c>
      <c r="AL415" s="47">
        <v>0</v>
      </c>
      <c r="AM415" s="47">
        <v>0</v>
      </c>
      <c r="AN415" s="47">
        <v>0</v>
      </c>
      <c r="AO415" s="47">
        <v>0</v>
      </c>
      <c r="AP415" s="47">
        <v>0</v>
      </c>
      <c r="AQ415" s="47">
        <v>0</v>
      </c>
      <c r="AR415" s="47">
        <v>0</v>
      </c>
      <c r="AS415" s="47">
        <v>0</v>
      </c>
      <c r="AT415" s="47">
        <v>0</v>
      </c>
      <c r="AU415" s="47">
        <v>0</v>
      </c>
      <c r="AV415" s="47">
        <v>0</v>
      </c>
      <c r="AW415" s="47">
        <v>0</v>
      </c>
      <c r="AX415" s="47">
        <v>0</v>
      </c>
      <c r="AY415" s="47">
        <v>0</v>
      </c>
      <c r="AZ415" s="47">
        <v>0</v>
      </c>
      <c r="BA415" s="47">
        <v>0</v>
      </c>
      <c r="BB415" s="47">
        <v>0</v>
      </c>
      <c r="BC415" s="47">
        <f>U415</f>
        <v>0</v>
      </c>
      <c r="BD415" s="47">
        <f>IF(W415="By Reg",1,0)</f>
        <v>1</v>
      </c>
    </row>
    <row r="416" spans="2:57">
      <c r="B416" s="101" t="str">
        <f>IF(Main_Parameters!$C$43="TX1 Enable","REMend","WR32")</f>
        <v>WR32</v>
      </c>
      <c r="C416" s="102" t="s">
        <v>2021</v>
      </c>
      <c r="D416" s="515" t="s">
        <v>964</v>
      </c>
      <c r="E416" s="91" t="str">
        <f>Main_Parameters!$C$133</f>
        <v>00000081</v>
      </c>
      <c r="F416" s="92"/>
      <c r="G416"/>
      <c r="H416"/>
      <c r="I416"/>
      <c r="J416"/>
      <c r="K416"/>
      <c r="L416"/>
      <c r="M416"/>
      <c r="N416"/>
      <c r="O416"/>
      <c r="P416"/>
      <c r="Q416"/>
      <c r="R416"/>
      <c r="S416"/>
      <c r="T416"/>
      <c r="U416"/>
      <c r="V416"/>
      <c r="W416"/>
      <c r="X416" s="131"/>
      <c r="Y416" s="131"/>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c r="AY416" s="131"/>
      <c r="AZ416" s="131"/>
      <c r="BA416" s="131"/>
      <c r="BB416" s="131"/>
      <c r="BC416" s="131"/>
      <c r="BD416" s="131"/>
    </row>
    <row r="417" spans="1:71">
      <c r="B417" s="101" t="str">
        <f>IF(Main_Parameters!$C$43="TX1 Enable","REMend","WR32")</f>
        <v>WR32</v>
      </c>
      <c r="C417" s="102" t="s">
        <v>2022</v>
      </c>
      <c r="D417" s="515" t="s">
        <v>965</v>
      </c>
      <c r="E417" s="91" t="str">
        <f>Main_Parameters!$C$134</f>
        <v>000000A3</v>
      </c>
      <c r="F417" s="92"/>
      <c r="G417"/>
      <c r="H417"/>
      <c r="I417"/>
      <c r="J417"/>
      <c r="K417"/>
      <c r="L417"/>
      <c r="M417"/>
      <c r="N417"/>
      <c r="O417"/>
      <c r="P417"/>
      <c r="Q417"/>
      <c r="R417"/>
      <c r="S417"/>
      <c r="T417"/>
      <c r="U417"/>
      <c r="V417"/>
      <c r="W417"/>
      <c r="X417" s="131"/>
      <c r="AH417" s="131"/>
    </row>
    <row r="418" spans="1:71">
      <c r="B418" s="101" t="str">
        <f>IF(Main_Parameters!$C$43="TX1 Enable","REMend","WR32")</f>
        <v>WR32</v>
      </c>
      <c r="C418" s="102" t="s">
        <v>2023</v>
      </c>
      <c r="D418" s="515" t="s">
        <v>966</v>
      </c>
      <c r="E418" s="91" t="str">
        <f>Main_Parameters!$C$135</f>
        <v>00000104</v>
      </c>
      <c r="F418" s="92"/>
      <c r="G418"/>
      <c r="H418"/>
      <c r="I418"/>
      <c r="J418"/>
      <c r="K418"/>
      <c r="L418"/>
      <c r="M418"/>
      <c r="N418"/>
      <c r="O418"/>
      <c r="P418"/>
      <c r="Q418"/>
      <c r="R418"/>
      <c r="S418"/>
      <c r="T418"/>
      <c r="U418"/>
      <c r="V418"/>
      <c r="W418"/>
      <c r="X418" s="131"/>
      <c r="AH418" s="131"/>
    </row>
    <row r="419" spans="1:71">
      <c r="B419" s="101" t="str">
        <f>IF(Main_Parameters!$C$43="TX1 Enable","REMend",IF(G419="Disable","REMend","WR32"))</f>
        <v>WR32</v>
      </c>
      <c r="C419" s="102" t="s">
        <v>2024</v>
      </c>
      <c r="D419" s="515" t="s">
        <v>2025</v>
      </c>
      <c r="E419" s="91" t="str">
        <f t="shared" si="20"/>
        <v>00000000</v>
      </c>
      <c r="F419" s="92"/>
      <c r="G419" s="104" t="s">
        <v>721</v>
      </c>
      <c r="H419" s="105"/>
      <c r="I419" s="121"/>
      <c r="J419" s="121"/>
      <c r="K419" s="121"/>
      <c r="L419" s="121"/>
      <c r="M419" s="122"/>
      <c r="N419" s="126" t="s">
        <v>2026</v>
      </c>
      <c r="O419" s="124" t="s">
        <v>2009</v>
      </c>
      <c r="P419" s="106" t="s">
        <v>2027</v>
      </c>
      <c r="Q419" s="113" t="s">
        <v>2009</v>
      </c>
      <c r="R419" s="125" t="s">
        <v>2028</v>
      </c>
      <c r="S419" s="113" t="s">
        <v>2009</v>
      </c>
      <c r="T419" s="112" t="s">
        <v>2029</v>
      </c>
      <c r="U419" s="113" t="s">
        <v>2009</v>
      </c>
      <c r="V419" s="112" t="s">
        <v>2030</v>
      </c>
      <c r="W419" s="104" t="s">
        <v>2009</v>
      </c>
      <c r="X419" s="63"/>
      <c r="Y419" s="47">
        <v>0</v>
      </c>
      <c r="Z419" s="47">
        <v>0</v>
      </c>
      <c r="AA419" s="47">
        <v>0</v>
      </c>
      <c r="AB419" s="47">
        <v>0</v>
      </c>
      <c r="AC419" s="47">
        <v>0</v>
      </c>
      <c r="AD419" s="47">
        <v>0</v>
      </c>
      <c r="AE419" s="47">
        <v>0</v>
      </c>
      <c r="AF419" s="47">
        <v>0</v>
      </c>
      <c r="AG419" s="47">
        <v>0</v>
      </c>
      <c r="AH419" s="47">
        <v>0</v>
      </c>
      <c r="AI419" s="47">
        <v>0</v>
      </c>
      <c r="AJ419" s="47">
        <v>0</v>
      </c>
      <c r="AK419" s="47">
        <v>0</v>
      </c>
      <c r="AL419" s="47">
        <v>0</v>
      </c>
      <c r="AM419" s="47">
        <v>0</v>
      </c>
      <c r="AN419" s="47">
        <v>0</v>
      </c>
      <c r="AO419" s="47">
        <v>0</v>
      </c>
      <c r="AP419" s="47">
        <v>0</v>
      </c>
      <c r="AQ419" s="47">
        <v>0</v>
      </c>
      <c r="AR419" s="47">
        <v>0</v>
      </c>
      <c r="AS419" s="47">
        <v>0</v>
      </c>
      <c r="AT419" s="47">
        <v>0</v>
      </c>
      <c r="AU419" s="47">
        <v>0</v>
      </c>
      <c r="AV419" s="47">
        <v>0</v>
      </c>
      <c r="AW419" s="47">
        <v>0</v>
      </c>
      <c r="AX419" s="47">
        <v>0</v>
      </c>
      <c r="AY419" s="47">
        <v>0</v>
      </c>
      <c r="AZ419" s="47">
        <f>IF(O419="Mask",1,0)</f>
        <v>0</v>
      </c>
      <c r="BA419" s="47">
        <f t="shared" ref="BA419:BA423" si="21">IF(Q419="Mask",1,0)</f>
        <v>0</v>
      </c>
      <c r="BB419" s="47">
        <f t="shared" ref="BB419:BB423" si="22">IF(S419="Mask",1,0)</f>
        <v>0</v>
      </c>
      <c r="BC419" s="47">
        <f t="shared" ref="BC419:BC423" si="23">IF(U419="Mask",1,0)</f>
        <v>0</v>
      </c>
      <c r="BD419" s="47">
        <f t="shared" ref="BD419:BD423" si="24">IF(W419="Mask",1,0)</f>
        <v>0</v>
      </c>
    </row>
    <row r="420" spans="1:71">
      <c r="B420" s="101" t="str">
        <f>IF(Main_Parameters!$C$43="TX1 Enable","REMend",IF(G420="Disable","REMend","WR32"))</f>
        <v>REMend</v>
      </c>
      <c r="C420" s="102" t="s">
        <v>2031</v>
      </c>
      <c r="D420" s="515" t="s">
        <v>2032</v>
      </c>
      <c r="E420" s="91" t="str">
        <f t="shared" si="20"/>
        <v>00000000</v>
      </c>
      <c r="F420" s="92"/>
      <c r="G420" s="104" t="s">
        <v>780</v>
      </c>
      <c r="H420" s="103"/>
      <c r="I420" s="110"/>
      <c r="J420" s="110"/>
      <c r="K420" s="110"/>
      <c r="L420" s="110"/>
      <c r="M420" s="110"/>
      <c r="N420" s="119"/>
      <c r="O420" s="112"/>
      <c r="P420" s="111" t="s">
        <v>2033</v>
      </c>
      <c r="Q420" s="113" t="s">
        <v>2009</v>
      </c>
      <c r="R420" s="122" t="s">
        <v>2034</v>
      </c>
      <c r="S420" s="124" t="s">
        <v>2009</v>
      </c>
      <c r="T420" s="111" t="s">
        <v>2035</v>
      </c>
      <c r="U420" s="113" t="s">
        <v>2009</v>
      </c>
      <c r="V420" s="122" t="s">
        <v>2036</v>
      </c>
      <c r="W420" s="127" t="s">
        <v>2009</v>
      </c>
      <c r="X420" s="63"/>
      <c r="Y420" s="47">
        <v>0</v>
      </c>
      <c r="Z420" s="47">
        <v>0</v>
      </c>
      <c r="AA420" s="47">
        <v>0</v>
      </c>
      <c r="AB420" s="47">
        <v>0</v>
      </c>
      <c r="AC420" s="47">
        <v>0</v>
      </c>
      <c r="AD420" s="47">
        <v>0</v>
      </c>
      <c r="AE420" s="47">
        <v>0</v>
      </c>
      <c r="AF420" s="47">
        <v>0</v>
      </c>
      <c r="AG420" s="47">
        <v>0</v>
      </c>
      <c r="AH420" s="47">
        <v>0</v>
      </c>
      <c r="AI420" s="47">
        <v>0</v>
      </c>
      <c r="AJ420" s="47">
        <v>0</v>
      </c>
      <c r="AK420" s="47">
        <v>0</v>
      </c>
      <c r="AL420" s="47">
        <v>0</v>
      </c>
      <c r="AM420" s="47">
        <v>0</v>
      </c>
      <c r="AN420" s="47">
        <v>0</v>
      </c>
      <c r="AO420" s="47">
        <v>0</v>
      </c>
      <c r="AP420" s="47">
        <v>0</v>
      </c>
      <c r="AQ420" s="47">
        <v>0</v>
      </c>
      <c r="AR420" s="47">
        <v>0</v>
      </c>
      <c r="AS420" s="47">
        <v>0</v>
      </c>
      <c r="AT420" s="47">
        <v>0</v>
      </c>
      <c r="AU420" s="47">
        <v>0</v>
      </c>
      <c r="AV420" s="47">
        <v>0</v>
      </c>
      <c r="AW420" s="47">
        <v>0</v>
      </c>
      <c r="AX420" s="47">
        <v>0</v>
      </c>
      <c r="AY420" s="47">
        <v>0</v>
      </c>
      <c r="AZ420" s="47">
        <v>0</v>
      </c>
      <c r="BA420" s="47">
        <f t="shared" si="21"/>
        <v>0</v>
      </c>
      <c r="BB420" s="47">
        <f t="shared" si="22"/>
        <v>0</v>
      </c>
      <c r="BC420" s="47">
        <f t="shared" si="23"/>
        <v>0</v>
      </c>
      <c r="BD420" s="47">
        <f t="shared" si="24"/>
        <v>0</v>
      </c>
    </row>
    <row r="421" spans="1:71" ht="15">
      <c r="B421" s="101" t="str">
        <f>IF(Main_Parameters!$C$43="TX1 Enable","REMend",IF(G421="Disable","REMend","WR32"))</f>
        <v>WR32</v>
      </c>
      <c r="C421" s="102" t="s">
        <v>2037</v>
      </c>
      <c r="D421" s="515" t="s">
        <v>2038</v>
      </c>
      <c r="E421" s="91" t="str">
        <f>DEC2HEX(HEX2DEC(K421),8)</f>
        <v>00000015</v>
      </c>
      <c r="F421" s="92"/>
      <c r="G421" s="104" t="s">
        <v>721</v>
      </c>
      <c r="H421" s="597" t="s">
        <v>2039</v>
      </c>
      <c r="I421" s="598"/>
      <c r="J421" s="599"/>
      <c r="K421" s="516" t="s">
        <v>2040</v>
      </c>
      <c r="L421" s="120" t="str">
        <f>IF(HEX2DEC(K421)&lt;0,"NG",IF(HEX2DEC(K421)&gt;31,"NG","OK"))</f>
        <v>OK</v>
      </c>
      <c r="M421" s="103"/>
      <c r="N421" s="110"/>
      <c r="O421" s="110"/>
      <c r="P421" s="110"/>
      <c r="Q421" s="110"/>
      <c r="R421" s="110"/>
      <c r="S421" s="110"/>
      <c r="T421" s="110"/>
      <c r="U421" s="110"/>
      <c r="V421" s="110"/>
      <c r="W421" s="111"/>
      <c r="X421" s="131"/>
      <c r="AH421" s="131"/>
    </row>
    <row r="422" spans="1:71">
      <c r="B422" s="101" t="str">
        <f>IF(Main_Parameters!$C$43="TX1 Enable","REMend",IF(G422="Disable","REMend","WR32"))</f>
        <v>REMend</v>
      </c>
      <c r="C422" s="102" t="s">
        <v>2041</v>
      </c>
      <c r="D422" s="515" t="s">
        <v>2042</v>
      </c>
      <c r="E422" s="91" t="str">
        <f t="shared" ref="E422:E426" si="25">DEC2HEX(Y422*2^31+Z422*2^30+AA422*2^29+AB422*2^28+AC422*2^27+AD422*2^26+AE422*2^25+AF422*2^24+AG422*2^23+AH422*2^22+AI422*2^21+AJ422*2^20+AK422*2^19+AL422*2^18+AM422*2^17+AN422*2^16+AO422*2^15+AP422*2^14+AQ422*2^13+AR422*2^12+AS422*2^11+AT422*2^10+AU422*2^9+AV422*2^8+AW422*2^7+AX422*2^6+AY422*2^5+AZ422*2^4+BA422*2^3+BB422*2^2+BC422*2^1+BD422*2^0,8)</f>
        <v>00000000</v>
      </c>
      <c r="F422" s="92"/>
      <c r="G422" s="104" t="s">
        <v>780</v>
      </c>
      <c r="H422" s="103"/>
      <c r="I422" s="110"/>
      <c r="J422" s="110"/>
      <c r="K422" s="110"/>
      <c r="L422" s="110"/>
      <c r="M422" s="110"/>
      <c r="N422" s="119"/>
      <c r="O422" s="112"/>
      <c r="P422" s="111" t="s">
        <v>2043</v>
      </c>
      <c r="Q422" s="113" t="s">
        <v>2009</v>
      </c>
      <c r="R422" s="103"/>
      <c r="S422" s="111"/>
      <c r="T422" s="111" t="s">
        <v>2044</v>
      </c>
      <c r="U422" s="113" t="s">
        <v>2009</v>
      </c>
      <c r="V422" s="103"/>
      <c r="W422" s="111"/>
      <c r="X422" s="63"/>
      <c r="Y422" s="47">
        <v>0</v>
      </c>
      <c r="Z422" s="47">
        <v>0</v>
      </c>
      <c r="AA422" s="47">
        <v>0</v>
      </c>
      <c r="AB422" s="47">
        <v>0</v>
      </c>
      <c r="AC422" s="47">
        <v>0</v>
      </c>
      <c r="AD422" s="47">
        <v>0</v>
      </c>
      <c r="AE422" s="47">
        <v>0</v>
      </c>
      <c r="AF422" s="47">
        <v>0</v>
      </c>
      <c r="AG422" s="47">
        <v>0</v>
      </c>
      <c r="AH422" s="47">
        <v>0</v>
      </c>
      <c r="AI422" s="47">
        <v>0</v>
      </c>
      <c r="AJ422" s="47">
        <v>0</v>
      </c>
      <c r="AK422" s="47">
        <v>0</v>
      </c>
      <c r="AL422" s="47">
        <v>0</v>
      </c>
      <c r="AM422" s="47">
        <v>0</v>
      </c>
      <c r="AN422" s="47">
        <v>0</v>
      </c>
      <c r="AO422" s="47">
        <v>0</v>
      </c>
      <c r="AP422" s="47">
        <v>0</v>
      </c>
      <c r="AQ422" s="47">
        <v>0</v>
      </c>
      <c r="AR422" s="47">
        <v>0</v>
      </c>
      <c r="AS422" s="47">
        <v>0</v>
      </c>
      <c r="AT422" s="47">
        <v>0</v>
      </c>
      <c r="AU422" s="47">
        <v>0</v>
      </c>
      <c r="AV422" s="47">
        <v>0</v>
      </c>
      <c r="AW422" s="47">
        <v>0</v>
      </c>
      <c r="AX422" s="47">
        <v>0</v>
      </c>
      <c r="AY422" s="47">
        <v>0</v>
      </c>
      <c r="AZ422" s="47">
        <v>0</v>
      </c>
      <c r="BA422" s="47">
        <f t="shared" si="21"/>
        <v>0</v>
      </c>
      <c r="BB422" s="47">
        <v>0</v>
      </c>
      <c r="BC422" s="47">
        <f t="shared" si="23"/>
        <v>0</v>
      </c>
      <c r="BD422" s="47">
        <v>0</v>
      </c>
    </row>
    <row r="423" spans="1:71">
      <c r="B423" s="101" t="str">
        <f>IF(Main_Parameters!$C$43="TX1 Enable","REMend",IF(G423="Disable","REMend","WR32"))</f>
        <v>WR32</v>
      </c>
      <c r="C423" s="102" t="s">
        <v>2045</v>
      </c>
      <c r="D423" s="515" t="s">
        <v>2046</v>
      </c>
      <c r="E423" s="91" t="str">
        <f t="shared" si="25"/>
        <v>00000000</v>
      </c>
      <c r="F423" s="92"/>
      <c r="G423" s="104" t="s">
        <v>721</v>
      </c>
      <c r="H423" s="106" t="s">
        <v>2047</v>
      </c>
      <c r="I423" s="104" t="s">
        <v>2009</v>
      </c>
      <c r="J423" s="106" t="s">
        <v>2048</v>
      </c>
      <c r="K423" s="104" t="s">
        <v>2009</v>
      </c>
      <c r="L423" s="106" t="s">
        <v>2049</v>
      </c>
      <c r="M423" s="104" t="s">
        <v>2009</v>
      </c>
      <c r="N423" s="106" t="s">
        <v>2050</v>
      </c>
      <c r="O423" s="104" t="s">
        <v>2009</v>
      </c>
      <c r="P423" s="106" t="s">
        <v>2051</v>
      </c>
      <c r="Q423" s="104" t="s">
        <v>2009</v>
      </c>
      <c r="R423" s="155" t="s">
        <v>2052</v>
      </c>
      <c r="S423" s="156" t="s">
        <v>2009</v>
      </c>
      <c r="T423" s="106" t="s">
        <v>2053</v>
      </c>
      <c r="U423" s="127" t="s">
        <v>2009</v>
      </c>
      <c r="V423" s="157" t="s">
        <v>2054</v>
      </c>
      <c r="W423" s="158" t="s">
        <v>2009</v>
      </c>
      <c r="X423" s="131"/>
      <c r="Y423" s="47">
        <v>0</v>
      </c>
      <c r="Z423" s="47">
        <v>0</v>
      </c>
      <c r="AA423" s="47">
        <v>0</v>
      </c>
      <c r="AB423" s="47">
        <v>0</v>
      </c>
      <c r="AC423" s="47">
        <v>0</v>
      </c>
      <c r="AD423" s="47">
        <v>0</v>
      </c>
      <c r="AE423" s="47">
        <v>0</v>
      </c>
      <c r="AF423" s="47">
        <v>0</v>
      </c>
      <c r="AG423" s="47">
        <v>0</v>
      </c>
      <c r="AH423" s="47">
        <v>0</v>
      </c>
      <c r="AI423" s="47">
        <v>0</v>
      </c>
      <c r="AJ423" s="47">
        <v>0</v>
      </c>
      <c r="AK423" s="47">
        <v>0</v>
      </c>
      <c r="AL423" s="47">
        <v>0</v>
      </c>
      <c r="AM423" s="47">
        <v>0</v>
      </c>
      <c r="AN423" s="47">
        <v>0</v>
      </c>
      <c r="AO423" s="47">
        <v>0</v>
      </c>
      <c r="AP423" s="47">
        <v>0</v>
      </c>
      <c r="AQ423" s="47">
        <v>0</v>
      </c>
      <c r="AR423" s="47">
        <v>0</v>
      </c>
      <c r="AS423" s="47">
        <v>0</v>
      </c>
      <c r="AT423" s="47">
        <v>0</v>
      </c>
      <c r="AU423" s="47">
        <f>IF(I423="Mask",1,0)</f>
        <v>0</v>
      </c>
      <c r="AV423" s="47">
        <f t="shared" ref="AV423:AZ423" si="26">IF(K423="Mask",1,0)</f>
        <v>0</v>
      </c>
      <c r="AW423" s="47">
        <v>0</v>
      </c>
      <c r="AX423" s="47">
        <f t="shared" si="26"/>
        <v>0</v>
      </c>
      <c r="AY423" s="47">
        <v>0</v>
      </c>
      <c r="AZ423" s="47">
        <f t="shared" si="26"/>
        <v>0</v>
      </c>
      <c r="BA423" s="47">
        <f t="shared" si="21"/>
        <v>0</v>
      </c>
      <c r="BB423" s="47">
        <f t="shared" si="22"/>
        <v>0</v>
      </c>
      <c r="BC423" s="47">
        <f t="shared" si="23"/>
        <v>0</v>
      </c>
      <c r="BD423" s="47">
        <f t="shared" si="24"/>
        <v>0</v>
      </c>
    </row>
    <row r="424" spans="1:71">
      <c r="B424" s="101" t="str">
        <f>IF(Main_Parameters!$C$43="TX1 Enable","REMend",IF(G424="Disable","REMend","WR32"))</f>
        <v>WR32</v>
      </c>
      <c r="C424" s="102" t="s">
        <v>2055</v>
      </c>
      <c r="D424" s="515" t="s">
        <v>2056</v>
      </c>
      <c r="E424" s="91" t="str">
        <f t="shared" si="25"/>
        <v>00000080</v>
      </c>
      <c r="F424" s="92"/>
      <c r="G424" s="104" t="s">
        <v>721</v>
      </c>
      <c r="H424" s="595" t="s">
        <v>2057</v>
      </c>
      <c r="I424" s="596"/>
      <c r="J424" s="127" t="s">
        <v>2009</v>
      </c>
      <c r="K424" s="127" t="s">
        <v>2009</v>
      </c>
      <c r="L424" s="104" t="s">
        <v>2009</v>
      </c>
      <c r="M424" s="104" t="s">
        <v>2009</v>
      </c>
      <c r="N424" s="104" t="s">
        <v>2009</v>
      </c>
      <c r="O424" s="104" t="s">
        <v>2009</v>
      </c>
      <c r="P424" s="128" t="s">
        <v>2006</v>
      </c>
      <c r="Q424" s="127" t="s">
        <v>2009</v>
      </c>
      <c r="R424" s="139"/>
      <c r="S424" s="127" t="s">
        <v>2009</v>
      </c>
      <c r="T424" s="124" t="s">
        <v>2009</v>
      </c>
      <c r="U424" s="140"/>
      <c r="V424" s="119"/>
      <c r="W424" s="112"/>
      <c r="X424" s="131"/>
      <c r="Y424" s="47">
        <v>0</v>
      </c>
      <c r="Z424" s="47">
        <v>0</v>
      </c>
      <c r="AA424" s="47">
        <v>0</v>
      </c>
      <c r="AB424" s="47">
        <v>0</v>
      </c>
      <c r="AC424" s="47">
        <v>0</v>
      </c>
      <c r="AD424" s="47">
        <v>0</v>
      </c>
      <c r="AE424" s="47">
        <v>0</v>
      </c>
      <c r="AF424" s="47">
        <v>0</v>
      </c>
      <c r="AG424" s="47">
        <v>0</v>
      </c>
      <c r="AH424" s="47">
        <v>0</v>
      </c>
      <c r="AI424" s="47">
        <v>0</v>
      </c>
      <c r="AJ424" s="47">
        <v>0</v>
      </c>
      <c r="AK424" s="47">
        <v>0</v>
      </c>
      <c r="AL424" s="47">
        <v>0</v>
      </c>
      <c r="AM424" s="47">
        <v>0</v>
      </c>
      <c r="AN424" s="47">
        <v>0</v>
      </c>
      <c r="AO424" s="47">
        <v>0</v>
      </c>
      <c r="AP424" s="47">
        <v>0</v>
      </c>
      <c r="AQ424" s="47">
        <f t="shared" ref="AQ424" si="27">IF(J424="Mask",1,0)</f>
        <v>0</v>
      </c>
      <c r="AR424" s="47">
        <f t="shared" ref="AR424" si="28">IF(K424="Mask",1,0)</f>
        <v>0</v>
      </c>
      <c r="AS424" s="47">
        <f t="shared" ref="AS424" si="29">IF(L424="Mask",1,0)</f>
        <v>0</v>
      </c>
      <c r="AT424" s="47">
        <f t="shared" ref="AT424" si="30">IF(M424="Mask",1,0)</f>
        <v>0</v>
      </c>
      <c r="AU424" s="47">
        <f t="shared" ref="AU424" si="31">IF(N424="Mask",1,0)</f>
        <v>0</v>
      </c>
      <c r="AV424" s="47">
        <f t="shared" ref="AV424:AV425" si="32">IF(O424="Mask",1,0)</f>
        <v>0</v>
      </c>
      <c r="AW424" s="47">
        <f t="shared" ref="AW424" si="33">IF(P424="Mask",1,0)</f>
        <v>1</v>
      </c>
      <c r="AX424" s="47">
        <f t="shared" ref="AX424" si="34">IF(Q424="Mask",1,0)</f>
        <v>0</v>
      </c>
      <c r="AY424" s="47">
        <v>0</v>
      </c>
      <c r="AZ424" s="47">
        <f>IF(S424="Mask",1,0)</f>
        <v>0</v>
      </c>
      <c r="BA424" s="47">
        <f>IF(T424="Mask",1,0)</f>
        <v>0</v>
      </c>
      <c r="BB424" s="47">
        <v>0</v>
      </c>
      <c r="BC424" s="47">
        <v>0</v>
      </c>
      <c r="BD424" s="47">
        <v>0</v>
      </c>
    </row>
    <row r="425" spans="1:71" s="64" customFormat="1">
      <c r="A425" s="65"/>
      <c r="B425" s="101" t="str">
        <f>IF(Main_Parameters!$C$43="TX1 Enable","REMend",IF(G425="Disable","REMend","WR32"))</f>
        <v>WR32</v>
      </c>
      <c r="C425" s="102" t="s">
        <v>2058</v>
      </c>
      <c r="D425" s="515" t="s">
        <v>2059</v>
      </c>
      <c r="E425" s="91" t="str">
        <f t="shared" si="25"/>
        <v>00000000</v>
      </c>
      <c r="F425" s="92"/>
      <c r="G425" s="104" t="s">
        <v>721</v>
      </c>
      <c r="H425" s="107"/>
      <c r="I425" s="119"/>
      <c r="J425" s="119"/>
      <c r="K425" s="112"/>
      <c r="L425" s="112" t="s">
        <v>2060</v>
      </c>
      <c r="M425" s="104" t="s">
        <v>2009</v>
      </c>
      <c r="N425" s="106" t="s">
        <v>2061</v>
      </c>
      <c r="O425" s="113" t="s">
        <v>2009</v>
      </c>
      <c r="P425" s="107"/>
      <c r="Q425" s="119"/>
      <c r="R425" s="119"/>
      <c r="S425" s="119"/>
      <c r="T425" s="119"/>
      <c r="U425" s="112"/>
      <c r="V425" s="106" t="s">
        <v>2062</v>
      </c>
      <c r="W425" s="104" t="s">
        <v>2009</v>
      </c>
      <c r="X425" s="131"/>
      <c r="Y425" s="47">
        <v>0</v>
      </c>
      <c r="Z425" s="47">
        <v>0</v>
      </c>
      <c r="AA425" s="47">
        <v>0</v>
      </c>
      <c r="AB425" s="47">
        <v>0</v>
      </c>
      <c r="AC425" s="47">
        <v>0</v>
      </c>
      <c r="AD425" s="47">
        <v>0</v>
      </c>
      <c r="AE425" s="47">
        <v>0</v>
      </c>
      <c r="AF425" s="47">
        <v>0</v>
      </c>
      <c r="AG425" s="47">
        <v>0</v>
      </c>
      <c r="AH425" s="47">
        <v>0</v>
      </c>
      <c r="AI425" s="47">
        <v>0</v>
      </c>
      <c r="AJ425" s="47">
        <v>0</v>
      </c>
      <c r="AK425" s="47">
        <v>0</v>
      </c>
      <c r="AL425" s="47">
        <v>0</v>
      </c>
      <c r="AM425" s="47">
        <v>0</v>
      </c>
      <c r="AN425" s="47">
        <v>0</v>
      </c>
      <c r="AO425" s="47">
        <v>0</v>
      </c>
      <c r="AP425" s="47">
        <v>0</v>
      </c>
      <c r="AQ425" s="47">
        <v>0</v>
      </c>
      <c r="AR425" s="47">
        <v>0</v>
      </c>
      <c r="AS425" s="47">
        <v>0</v>
      </c>
      <c r="AT425" s="47">
        <v>0</v>
      </c>
      <c r="AU425" s="47">
        <f>IF(M425="Mask",1,0)</f>
        <v>0</v>
      </c>
      <c r="AV425" s="47">
        <f t="shared" si="32"/>
        <v>0</v>
      </c>
      <c r="AW425" s="47">
        <v>0</v>
      </c>
      <c r="AX425" s="47">
        <v>0</v>
      </c>
      <c r="AY425" s="47">
        <v>0</v>
      </c>
      <c r="AZ425" s="47">
        <v>0</v>
      </c>
      <c r="BA425" s="47">
        <v>0</v>
      </c>
      <c r="BB425" s="47">
        <v>0</v>
      </c>
      <c r="BC425" s="47">
        <v>0</v>
      </c>
      <c r="BD425" s="47">
        <f>IF(W425="Mask",1,0)</f>
        <v>0</v>
      </c>
      <c r="BF425" s="65"/>
      <c r="BG425" s="65"/>
      <c r="BH425" s="65"/>
      <c r="BI425" s="65"/>
      <c r="BJ425" s="65"/>
      <c r="BK425" s="65"/>
      <c r="BL425" s="65"/>
      <c r="BM425" s="65"/>
      <c r="BN425" s="65"/>
      <c r="BO425" s="65"/>
      <c r="BP425" s="65"/>
      <c r="BQ425" s="65"/>
      <c r="BR425" s="65"/>
      <c r="BS425" s="65"/>
    </row>
    <row r="426" spans="1:71" s="64" customFormat="1">
      <c r="A426" s="65"/>
      <c r="B426" s="101" t="str">
        <f>IF(Main_Parameters!$C$43="TX1 Enable","REMend",IF(G426="Disable","REMend","WR32"))</f>
        <v>REMend</v>
      </c>
      <c r="C426" s="94" t="s">
        <v>2063</v>
      </c>
      <c r="D426" s="513" t="s">
        <v>2064</v>
      </c>
      <c r="E426" s="91" t="str">
        <f t="shared" si="25"/>
        <v>00000000</v>
      </c>
      <c r="F426" s="97"/>
      <c r="G426" s="104" t="s">
        <v>780</v>
      </c>
      <c r="H426" s="107"/>
      <c r="I426" s="119"/>
      <c r="J426" s="119"/>
      <c r="K426" s="119"/>
      <c r="L426" s="119"/>
      <c r="M426" s="112"/>
      <c r="N426" s="129" t="s">
        <v>2065</v>
      </c>
      <c r="O426" s="104">
        <v>0</v>
      </c>
      <c r="P426" s="129" t="s">
        <v>2066</v>
      </c>
      <c r="Q426" s="104">
        <v>0</v>
      </c>
      <c r="R426" s="129" t="s">
        <v>2067</v>
      </c>
      <c r="S426" s="104">
        <v>0</v>
      </c>
      <c r="T426" s="129" t="s">
        <v>2068</v>
      </c>
      <c r="U426" s="104">
        <v>0</v>
      </c>
      <c r="V426" s="129" t="s">
        <v>2069</v>
      </c>
      <c r="W426" s="104">
        <v>0</v>
      </c>
      <c r="X426" s="131"/>
      <c r="Y426" s="47">
        <v>0</v>
      </c>
      <c r="Z426" s="47">
        <v>0</v>
      </c>
      <c r="AA426" s="47">
        <v>0</v>
      </c>
      <c r="AB426" s="47">
        <v>0</v>
      </c>
      <c r="AC426" s="47">
        <v>0</v>
      </c>
      <c r="AD426" s="47">
        <v>0</v>
      </c>
      <c r="AE426" s="47">
        <v>0</v>
      </c>
      <c r="AF426" s="47">
        <v>0</v>
      </c>
      <c r="AG426" s="47">
        <v>0</v>
      </c>
      <c r="AH426" s="47">
        <v>0</v>
      </c>
      <c r="AI426" s="47">
        <v>0</v>
      </c>
      <c r="AJ426" s="47">
        <v>0</v>
      </c>
      <c r="AK426" s="47">
        <v>0</v>
      </c>
      <c r="AL426" s="47">
        <v>0</v>
      </c>
      <c r="AM426" s="47">
        <v>0</v>
      </c>
      <c r="AN426" s="47">
        <f>O426</f>
        <v>0</v>
      </c>
      <c r="AO426" s="47">
        <v>0</v>
      </c>
      <c r="AP426" s="47">
        <v>0</v>
      </c>
      <c r="AQ426" s="47">
        <v>0</v>
      </c>
      <c r="AR426" s="47">
        <f>Q426</f>
        <v>0</v>
      </c>
      <c r="AS426" s="47">
        <v>0</v>
      </c>
      <c r="AT426" s="47">
        <v>0</v>
      </c>
      <c r="AU426" s="47">
        <v>0</v>
      </c>
      <c r="AV426" s="47">
        <f>S426</f>
        <v>0</v>
      </c>
      <c r="AW426" s="47">
        <v>0</v>
      </c>
      <c r="AX426" s="47">
        <v>0</v>
      </c>
      <c r="AY426" s="47">
        <v>0</v>
      </c>
      <c r="AZ426" s="47">
        <f>U426</f>
        <v>0</v>
      </c>
      <c r="BA426" s="47">
        <v>0</v>
      </c>
      <c r="BB426" s="47">
        <v>0</v>
      </c>
      <c r="BC426" s="47">
        <v>0</v>
      </c>
      <c r="BD426" s="47">
        <f>W426</f>
        <v>0</v>
      </c>
      <c r="BF426" s="65"/>
      <c r="BG426" s="65"/>
      <c r="BH426" s="65"/>
      <c r="BI426" s="65"/>
      <c r="BJ426" s="65"/>
      <c r="BK426" s="65"/>
      <c r="BL426" s="65"/>
      <c r="BM426" s="65"/>
      <c r="BN426" s="65"/>
      <c r="BO426" s="65"/>
      <c r="BP426" s="65"/>
      <c r="BQ426" s="65"/>
      <c r="BR426" s="65"/>
      <c r="BS426" s="65"/>
    </row>
    <row r="427" spans="1:71" s="64" customFormat="1">
      <c r="A427" s="65"/>
      <c r="B427" s="101" t="str">
        <f>IF(Main_Parameters!$C$43="TX1 Enable","REMend","WR32")</f>
        <v>WR32</v>
      </c>
      <c r="C427" s="94" t="s">
        <v>871</v>
      </c>
      <c r="D427" s="513" t="s">
        <v>967</v>
      </c>
      <c r="E427" s="91" t="str">
        <f>Main_Parameters!$C$137</f>
        <v>00000006</v>
      </c>
      <c r="F427" s="97"/>
      <c r="G427"/>
      <c r="H427"/>
      <c r="I427"/>
      <c r="J427"/>
      <c r="K427"/>
      <c r="L427"/>
      <c r="M427"/>
      <c r="N427"/>
      <c r="O427"/>
      <c r="P427"/>
      <c r="Q427"/>
      <c r="R427"/>
      <c r="S427"/>
      <c r="T427"/>
      <c r="U427"/>
      <c r="V427"/>
      <c r="W427"/>
      <c r="X427" s="131"/>
      <c r="AH427" s="131"/>
      <c r="BF427" s="65"/>
      <c r="BG427" s="65"/>
      <c r="BH427" s="65"/>
      <c r="BI427" s="65"/>
      <c r="BJ427" s="65"/>
      <c r="BK427" s="65"/>
      <c r="BL427" s="65"/>
      <c r="BM427" s="65"/>
      <c r="BN427" s="65"/>
      <c r="BO427" s="65"/>
      <c r="BP427" s="65"/>
      <c r="BQ427" s="65"/>
      <c r="BR427" s="65"/>
      <c r="BS427" s="65"/>
    </row>
    <row r="428" spans="1:71" s="64" customFormat="1">
      <c r="A428" s="65"/>
      <c r="B428" s="101" t="str">
        <f>IF(Main_Parameters!$C$43="TX1 Enable","REMend","WR32")</f>
        <v>WR32</v>
      </c>
      <c r="C428" s="94" t="s">
        <v>878</v>
      </c>
      <c r="D428" s="513" t="s">
        <v>968</v>
      </c>
      <c r="E428" s="91" t="str">
        <f>Main_Parameters!$C$138</f>
        <v>00240204</v>
      </c>
      <c r="F428" s="97"/>
      <c r="G428"/>
      <c r="H428"/>
      <c r="I428"/>
      <c r="J428"/>
      <c r="K428"/>
      <c r="L428"/>
      <c r="M428"/>
      <c r="N428"/>
      <c r="O428"/>
      <c r="P428"/>
      <c r="Q428"/>
      <c r="R428"/>
      <c r="S428"/>
      <c r="T428"/>
      <c r="U428"/>
      <c r="V428"/>
      <c r="W428"/>
      <c r="X428" s="131"/>
      <c r="AH428" s="131"/>
      <c r="BF428" s="65"/>
      <c r="BG428" s="65"/>
      <c r="BH428" s="65"/>
      <c r="BI428" s="65"/>
      <c r="BJ428" s="65"/>
      <c r="BK428" s="65"/>
      <c r="BL428" s="65"/>
      <c r="BM428" s="65"/>
      <c r="BN428" s="65"/>
      <c r="BO428" s="65"/>
      <c r="BP428" s="65"/>
      <c r="BQ428" s="65"/>
      <c r="BR428" s="65"/>
      <c r="BS428" s="65"/>
    </row>
    <row r="429" spans="1:71" s="64" customFormat="1">
      <c r="A429" s="65"/>
      <c r="B429" s="101" t="str">
        <f>IF(Main_Parameters!$C$43="TX1 Enable","REMend","WR32")</f>
        <v>WR32</v>
      </c>
      <c r="C429" s="94" t="s">
        <v>2070</v>
      </c>
      <c r="D429" s="513" t="s">
        <v>969</v>
      </c>
      <c r="E429" s="91" t="str">
        <f>Main_Parameters!$C$139</f>
        <v>000D0008</v>
      </c>
      <c r="F429" s="97"/>
      <c r="G429"/>
      <c r="H429"/>
      <c r="I429"/>
      <c r="J429"/>
      <c r="K429"/>
      <c r="L429"/>
      <c r="M429"/>
      <c r="N429"/>
      <c r="O429"/>
      <c r="P429"/>
      <c r="Q429"/>
      <c r="R429"/>
      <c r="S429"/>
      <c r="T429"/>
      <c r="U429"/>
      <c r="V429"/>
      <c r="W429"/>
      <c r="X429" s="131"/>
      <c r="AH429" s="131"/>
      <c r="BF429" s="65"/>
      <c r="BG429" s="65"/>
      <c r="BH429" s="65"/>
      <c r="BI429" s="65"/>
      <c r="BJ429" s="65"/>
      <c r="BK429" s="65"/>
      <c r="BL429" s="65"/>
      <c r="BM429" s="65"/>
      <c r="BN429" s="65"/>
      <c r="BO429" s="65"/>
      <c r="BP429" s="65"/>
      <c r="BQ429" s="65"/>
      <c r="BR429" s="65"/>
      <c r="BS429" s="65"/>
    </row>
    <row r="430" spans="1:71" s="64" customFormat="1">
      <c r="A430" s="65"/>
      <c r="B430" s="101" t="str">
        <f>IF(Main_Parameters!$C$43="TX1 Enable","REMend","WR32")</f>
        <v>WR32</v>
      </c>
      <c r="C430" s="94" t="s">
        <v>899</v>
      </c>
      <c r="D430" s="513" t="s">
        <v>970</v>
      </c>
      <c r="E430" s="91" t="str">
        <f>Main_Parameters!$C$140</f>
        <v>00140006</v>
      </c>
      <c r="F430" s="97"/>
      <c r="G430"/>
      <c r="H430"/>
      <c r="I430"/>
      <c r="J430"/>
      <c r="K430"/>
      <c r="L430"/>
      <c r="M430"/>
      <c r="N430"/>
      <c r="O430"/>
      <c r="P430"/>
      <c r="Q430"/>
      <c r="R430"/>
      <c r="S430"/>
      <c r="T430"/>
      <c r="U430"/>
      <c r="V430"/>
      <c r="W430"/>
      <c r="X430" s="131"/>
      <c r="AH430" s="131"/>
      <c r="BF430" s="65"/>
      <c r="BG430" s="65"/>
      <c r="BH430" s="65"/>
      <c r="BI430" s="65"/>
      <c r="BJ430" s="65"/>
      <c r="BK430" s="65"/>
      <c r="BL430" s="65"/>
      <c r="BM430" s="65"/>
      <c r="BN430" s="65"/>
      <c r="BO430" s="65"/>
      <c r="BP430" s="65"/>
      <c r="BQ430" s="65"/>
      <c r="BR430" s="65"/>
      <c r="BS430" s="65"/>
    </row>
    <row r="431" spans="1:71" s="64" customFormat="1">
      <c r="A431" s="65"/>
      <c r="B431" s="101" t="str">
        <f>IF(Main_Parameters!$C$43="TX1 Enable","REMend","WR32")</f>
        <v>WR32</v>
      </c>
      <c r="C431" s="94" t="s">
        <v>907</v>
      </c>
      <c r="D431" s="513" t="s">
        <v>971</v>
      </c>
      <c r="E431" s="91" t="str">
        <f>Main_Parameters!$C$141</f>
        <v>00004268</v>
      </c>
      <c r="F431" s="97"/>
      <c r="G431"/>
      <c r="H431"/>
      <c r="I431"/>
      <c r="J431"/>
      <c r="K431"/>
      <c r="L431"/>
      <c r="M431"/>
      <c r="N431"/>
      <c r="O431"/>
      <c r="P431"/>
      <c r="Q431"/>
      <c r="R431"/>
      <c r="S431"/>
      <c r="T431"/>
      <c r="U431"/>
      <c r="V431"/>
      <c r="W431"/>
      <c r="X431" s="131"/>
      <c r="AH431" s="131"/>
      <c r="BF431" s="65"/>
      <c r="BG431" s="65"/>
      <c r="BH431" s="65"/>
      <c r="BI431" s="65"/>
      <c r="BJ431" s="65"/>
      <c r="BK431" s="65"/>
      <c r="BL431" s="65"/>
      <c r="BM431" s="65"/>
      <c r="BN431" s="65"/>
      <c r="BO431" s="65"/>
      <c r="BP431" s="65"/>
      <c r="BQ431" s="65"/>
      <c r="BR431" s="65"/>
      <c r="BS431" s="65"/>
    </row>
    <row r="432" spans="1:71" s="64" customFormat="1">
      <c r="A432" s="65"/>
      <c r="B432" s="101" t="str">
        <f>IF(Main_Parameters!$C$43="TX1 Enable","REMend","WR32")</f>
        <v>WR32</v>
      </c>
      <c r="C432" s="94" t="s">
        <v>2071</v>
      </c>
      <c r="D432" s="513" t="s">
        <v>972</v>
      </c>
      <c r="E432" s="91" t="str">
        <f>Main_Parameters!$C$142</f>
        <v>0000000F</v>
      </c>
      <c r="F432" s="97"/>
      <c r="G432"/>
      <c r="H432"/>
      <c r="I432"/>
      <c r="J432"/>
      <c r="K432"/>
      <c r="L432"/>
      <c r="M432"/>
      <c r="N432"/>
      <c r="O432"/>
      <c r="P432"/>
      <c r="Q432"/>
      <c r="R432"/>
      <c r="S432"/>
      <c r="T432"/>
      <c r="U432"/>
      <c r="V432"/>
      <c r="W432"/>
      <c r="X432" s="131"/>
      <c r="AH432" s="131"/>
      <c r="BF432" s="65"/>
      <c r="BG432" s="65"/>
      <c r="BH432" s="65"/>
      <c r="BI432" s="65"/>
      <c r="BJ432" s="65"/>
      <c r="BK432" s="65"/>
      <c r="BL432" s="65"/>
      <c r="BM432" s="65"/>
      <c r="BN432" s="65"/>
      <c r="BO432" s="65"/>
      <c r="BP432" s="65"/>
      <c r="BQ432" s="65"/>
      <c r="BR432" s="65"/>
      <c r="BS432" s="65"/>
    </row>
    <row r="433" spans="1:71" s="64" customFormat="1">
      <c r="A433" s="65"/>
      <c r="B433" s="101" t="str">
        <f>IF(Main_Parameters!$C$43="TX1 Enable","REMend","WR32")</f>
        <v>WR32</v>
      </c>
      <c r="C433" s="94" t="s">
        <v>2072</v>
      </c>
      <c r="D433" s="513" t="s">
        <v>973</v>
      </c>
      <c r="E433" s="91" t="str">
        <f>Main_Parameters!$C$143</f>
        <v>000D0008</v>
      </c>
      <c r="F433" s="97"/>
      <c r="G433"/>
      <c r="H433"/>
      <c r="I433"/>
      <c r="J433"/>
      <c r="K433" s="130"/>
      <c r="L433"/>
      <c r="M433"/>
      <c r="N433"/>
      <c r="O433"/>
      <c r="P433"/>
      <c r="Q433"/>
      <c r="R433"/>
      <c r="S433"/>
      <c r="T433"/>
      <c r="U433"/>
      <c r="V433"/>
      <c r="W433"/>
      <c r="X433" s="131"/>
      <c r="AH433" s="131"/>
      <c r="BF433" s="65"/>
      <c r="BG433" s="65"/>
      <c r="BH433" s="65"/>
      <c r="BI433" s="65"/>
      <c r="BJ433" s="65"/>
      <c r="BK433" s="65"/>
      <c r="BL433" s="65"/>
      <c r="BM433" s="65"/>
      <c r="BN433" s="65"/>
      <c r="BO433" s="65"/>
      <c r="BP433" s="65"/>
      <c r="BQ433" s="65"/>
      <c r="BR433" s="65"/>
      <c r="BS433" s="65"/>
    </row>
    <row r="434" spans="1:71" s="64" customFormat="1">
      <c r="A434" s="65"/>
      <c r="B434" s="101" t="str">
        <f>IF(Main_Parameters!$C$43="TX1 Enable","REMend","WR32")</f>
        <v>WR32</v>
      </c>
      <c r="C434" s="94" t="s">
        <v>2073</v>
      </c>
      <c r="D434" s="513" t="s">
        <v>2074</v>
      </c>
      <c r="E434" s="511" t="s">
        <v>2075</v>
      </c>
      <c r="F434" s="97"/>
      <c r="G434"/>
      <c r="H434"/>
      <c r="I434"/>
      <c r="J434"/>
      <c r="K434"/>
      <c r="L434"/>
      <c r="M434"/>
      <c r="N434"/>
      <c r="O434"/>
      <c r="P434"/>
      <c r="Q434"/>
      <c r="R434"/>
      <c r="S434"/>
      <c r="T434"/>
      <c r="U434"/>
      <c r="V434"/>
      <c r="W434"/>
      <c r="X434" s="131"/>
      <c r="AH434" s="131"/>
      <c r="BF434" s="65"/>
      <c r="BG434" s="65"/>
      <c r="BH434" s="65"/>
      <c r="BI434" s="65"/>
      <c r="BJ434" s="65"/>
      <c r="BK434" s="65"/>
      <c r="BL434" s="65"/>
      <c r="BM434" s="65"/>
      <c r="BN434" s="65"/>
      <c r="BO434" s="65"/>
      <c r="BP434" s="65"/>
      <c r="BQ434" s="65"/>
      <c r="BR434" s="65"/>
      <c r="BS434" s="65"/>
    </row>
    <row r="435" spans="1:71" s="64" customFormat="1">
      <c r="A435" s="65"/>
      <c r="B435" s="101" t="str">
        <f>IF(Main_Parameters!$C$43="TX1 Enable","REMend","WR32")</f>
        <v>WR32</v>
      </c>
      <c r="C435" s="94" t="s">
        <v>2076</v>
      </c>
      <c r="D435" s="513" t="s">
        <v>974</v>
      </c>
      <c r="E435" s="91" t="str">
        <f>Main_Parameters!$C$145</f>
        <v>0000001F</v>
      </c>
      <c r="F435" s="97"/>
      <c r="G435"/>
      <c r="H435"/>
      <c r="I435"/>
      <c r="J435"/>
      <c r="K435"/>
      <c r="L435"/>
      <c r="M435"/>
      <c r="N435"/>
      <c r="O435"/>
      <c r="P435"/>
      <c r="Q435"/>
      <c r="R435"/>
      <c r="S435"/>
      <c r="T435"/>
      <c r="U435"/>
      <c r="V435"/>
      <c r="W435"/>
      <c r="X435" s="131"/>
      <c r="AH435" s="131"/>
      <c r="BF435" s="65"/>
      <c r="BG435" s="65"/>
      <c r="BH435" s="65"/>
      <c r="BI435" s="65"/>
      <c r="BJ435" s="65"/>
      <c r="BK435" s="65"/>
      <c r="BL435" s="65"/>
      <c r="BM435" s="65"/>
      <c r="BN435" s="65"/>
      <c r="BO435" s="65"/>
      <c r="BP435" s="65"/>
      <c r="BQ435" s="65"/>
      <c r="BR435" s="65"/>
      <c r="BS435" s="65"/>
    </row>
    <row r="436" spans="1:71" s="64" customFormat="1">
      <c r="A436" s="65"/>
      <c r="B436" s="101" t="str">
        <f>IF(Main_Parameters!$C$43="TX1 Enable","REMend","WR32")</f>
        <v>WR32</v>
      </c>
      <c r="C436" s="94" t="s">
        <v>925</v>
      </c>
      <c r="D436" s="513" t="s">
        <v>975</v>
      </c>
      <c r="E436" s="91" t="str">
        <f>Main_Parameters!$C$146</f>
        <v>00060005</v>
      </c>
      <c r="F436" s="97"/>
      <c r="G436"/>
      <c r="H436"/>
      <c r="I436"/>
      <c r="J436"/>
      <c r="K436"/>
      <c r="L436"/>
      <c r="M436"/>
      <c r="N436"/>
      <c r="O436"/>
      <c r="P436"/>
      <c r="Q436"/>
      <c r="R436"/>
      <c r="S436"/>
      <c r="T436"/>
      <c r="U436"/>
      <c r="V436"/>
      <c r="W436"/>
      <c r="X436" s="131"/>
      <c r="AH436" s="131"/>
      <c r="BF436" s="65"/>
      <c r="BG436" s="65"/>
      <c r="BH436" s="65"/>
      <c r="BI436" s="65"/>
      <c r="BJ436" s="65"/>
      <c r="BK436" s="65"/>
      <c r="BL436" s="65"/>
      <c r="BM436" s="65"/>
      <c r="BN436" s="65"/>
      <c r="BO436" s="65"/>
      <c r="BP436" s="65"/>
      <c r="BQ436" s="65"/>
      <c r="BR436" s="65"/>
      <c r="BS436" s="65"/>
    </row>
    <row r="437" spans="1:71" s="64" customFormat="1">
      <c r="A437" s="65"/>
      <c r="B437" s="101" t="str">
        <f>IF(Main_Parameters!$C$43="TX1 Enable","REMend",IF(G437="Disable","REMend","WR32"))</f>
        <v>WR32</v>
      </c>
      <c r="C437" s="94" t="s">
        <v>2077</v>
      </c>
      <c r="D437" s="513" t="s">
        <v>2078</v>
      </c>
      <c r="E437" s="91" t="str">
        <f t="shared" ref="E437:E442" si="35">DEC2HEX(Y437*2^31+Z437*2^30+AA437*2^29+AB437*2^28+AC437*2^27+AD437*2^26+AE437*2^25+AF437*2^24+AG437*2^23+AH437*2^22+AI437*2^21+AJ437*2^20+AK437*2^19+AL437*2^18+AM437*2^17+AN437*2^16+AO437*2^15+AP437*2^14+AQ437*2^13+AR437*2^12+AS437*2^11+AT437*2^10+AU437*2^9+AV437*2^8+AW437*2^7+AX437*2^6+AY437*2^5+AZ437*2^4+BA437*2^3+BB437*2^2+BC437*2^1+BD437*2^0,8)</f>
        <v>00000002</v>
      </c>
      <c r="F437" s="97"/>
      <c r="G437" s="104" t="s">
        <v>721</v>
      </c>
      <c r="H437" s="107"/>
      <c r="I437" s="119"/>
      <c r="J437" s="119"/>
      <c r="K437" s="119"/>
      <c r="L437" s="119"/>
      <c r="M437" s="112"/>
      <c r="N437" s="112" t="s">
        <v>2079</v>
      </c>
      <c r="O437" s="104" t="s">
        <v>2080</v>
      </c>
      <c r="P437" s="106" t="s">
        <v>2081</v>
      </c>
      <c r="Q437" s="104" t="s">
        <v>2080</v>
      </c>
      <c r="R437" s="106" t="s">
        <v>2082</v>
      </c>
      <c r="S437" s="104" t="s">
        <v>2080</v>
      </c>
      <c r="T437" s="106" t="s">
        <v>2083</v>
      </c>
      <c r="U437" s="104" t="s">
        <v>2080</v>
      </c>
      <c r="V437" s="106" t="s">
        <v>2084</v>
      </c>
      <c r="W437" s="104" t="s">
        <v>2085</v>
      </c>
      <c r="X437" s="131"/>
      <c r="Y437" s="47">
        <v>0</v>
      </c>
      <c r="Z437" s="47">
        <v>0</v>
      </c>
      <c r="AA437" s="47">
        <v>0</v>
      </c>
      <c r="AB437" s="47">
        <v>0</v>
      </c>
      <c r="AC437" s="47">
        <v>0</v>
      </c>
      <c r="AD437" s="47">
        <v>0</v>
      </c>
      <c r="AE437" s="47">
        <v>0</v>
      </c>
      <c r="AF437" s="47">
        <v>0</v>
      </c>
      <c r="AG437" s="47">
        <v>0</v>
      </c>
      <c r="AH437" s="47">
        <v>0</v>
      </c>
      <c r="AI437" s="47">
        <v>0</v>
      </c>
      <c r="AJ437" s="47">
        <v>0</v>
      </c>
      <c r="AK437" s="47">
        <v>0</v>
      </c>
      <c r="AL437" s="47">
        <v>0</v>
      </c>
      <c r="AM437" s="47">
        <v>0</v>
      </c>
      <c r="AN437" s="47">
        <v>0</v>
      </c>
      <c r="AO437" s="47">
        <v>0</v>
      </c>
      <c r="AP437" s="47">
        <v>0</v>
      </c>
      <c r="AQ437" s="47">
        <v>0</v>
      </c>
      <c r="AR437" s="47">
        <v>0</v>
      </c>
      <c r="AS437" s="47">
        <v>0</v>
      </c>
      <c r="AT437" s="47">
        <v>0</v>
      </c>
      <c r="AU437" s="47">
        <v>0</v>
      </c>
      <c r="AV437" s="47">
        <f t="shared" ref="AV437:AZ437" si="36">IF(O437="No Add",0,IF(O437="25% Add",2,3))</f>
        <v>0</v>
      </c>
      <c r="AW437" s="47">
        <v>0</v>
      </c>
      <c r="AX437" s="47">
        <f t="shared" si="36"/>
        <v>0</v>
      </c>
      <c r="AY437" s="47">
        <v>0</v>
      </c>
      <c r="AZ437" s="47">
        <f t="shared" si="36"/>
        <v>0</v>
      </c>
      <c r="BA437" s="47">
        <v>0</v>
      </c>
      <c r="BB437" s="47">
        <f>IF(U437="No Add",0,IF(U437="25% Add",2,3))</f>
        <v>0</v>
      </c>
      <c r="BC437" s="47">
        <v>0</v>
      </c>
      <c r="BD437" s="47">
        <f>IF(W437="No Add",0,IF(W437="25% Add",2,3))</f>
        <v>2</v>
      </c>
      <c r="BF437" s="65"/>
      <c r="BG437" s="65"/>
      <c r="BH437" s="65"/>
      <c r="BI437" s="65"/>
      <c r="BJ437" s="65"/>
      <c r="BK437" s="65"/>
      <c r="BL437" s="65"/>
      <c r="BM437" s="65"/>
      <c r="BN437" s="65"/>
      <c r="BO437" s="65"/>
      <c r="BP437" s="65"/>
      <c r="BQ437" s="65"/>
      <c r="BR437" s="65"/>
      <c r="BS437" s="65"/>
    </row>
    <row r="438" spans="1:71" s="64" customFormat="1">
      <c r="A438" s="65"/>
      <c r="B438" s="101" t="str">
        <f>IF(Main_Parameters!$C$43="TX1 Enable","REMend",IF(G438="Disable","REMend","WR32"))</f>
        <v>REMend</v>
      </c>
      <c r="C438" s="94" t="s">
        <v>2086</v>
      </c>
      <c r="D438" s="513" t="s">
        <v>2087</v>
      </c>
      <c r="E438" s="91" t="str">
        <f t="shared" si="35"/>
        <v>000002AA</v>
      </c>
      <c r="F438" s="97"/>
      <c r="G438" s="104" t="s">
        <v>780</v>
      </c>
      <c r="H438" s="107"/>
      <c r="I438" s="119"/>
      <c r="J438" s="119"/>
      <c r="K438" s="119"/>
      <c r="L438" s="119"/>
      <c r="M438" s="112"/>
      <c r="N438" s="106" t="s">
        <v>2088</v>
      </c>
      <c r="O438" s="104">
        <v>2</v>
      </c>
      <c r="P438" s="106" t="s">
        <v>2089</v>
      </c>
      <c r="Q438" s="104">
        <v>2</v>
      </c>
      <c r="R438" s="106" t="s">
        <v>2090</v>
      </c>
      <c r="S438" s="104">
        <v>2</v>
      </c>
      <c r="T438" s="106" t="s">
        <v>2091</v>
      </c>
      <c r="U438" s="104">
        <v>2</v>
      </c>
      <c r="V438" s="106" t="s">
        <v>2092</v>
      </c>
      <c r="W438" s="104">
        <v>2</v>
      </c>
      <c r="X438" s="131"/>
      <c r="Y438" s="47">
        <v>0</v>
      </c>
      <c r="Z438" s="47">
        <v>0</v>
      </c>
      <c r="AA438" s="47">
        <v>0</v>
      </c>
      <c r="AB438" s="47">
        <v>0</v>
      </c>
      <c r="AC438" s="47">
        <v>0</v>
      </c>
      <c r="AD438" s="47">
        <v>0</v>
      </c>
      <c r="AE438" s="47">
        <v>0</v>
      </c>
      <c r="AF438" s="47">
        <v>0</v>
      </c>
      <c r="AG438" s="47">
        <v>0</v>
      </c>
      <c r="AH438" s="47">
        <v>0</v>
      </c>
      <c r="AI438" s="47">
        <v>0</v>
      </c>
      <c r="AJ438" s="47">
        <v>0</v>
      </c>
      <c r="AK438" s="47">
        <v>0</v>
      </c>
      <c r="AL438" s="47">
        <v>0</v>
      </c>
      <c r="AM438" s="47">
        <v>0</v>
      </c>
      <c r="AN438" s="47">
        <v>0</v>
      </c>
      <c r="AO438" s="47">
        <v>0</v>
      </c>
      <c r="AP438" s="47">
        <v>0</v>
      </c>
      <c r="AQ438" s="47">
        <v>0</v>
      </c>
      <c r="AR438" s="47">
        <v>0</v>
      </c>
      <c r="AS438" s="47">
        <v>0</v>
      </c>
      <c r="AT438" s="47">
        <v>0</v>
      </c>
      <c r="AU438" s="47">
        <v>0</v>
      </c>
      <c r="AV438" s="47">
        <f t="shared" ref="AV438:AZ438" si="37">O438</f>
        <v>2</v>
      </c>
      <c r="AW438" s="47">
        <v>0</v>
      </c>
      <c r="AX438" s="47">
        <f t="shared" si="37"/>
        <v>2</v>
      </c>
      <c r="AY438" s="47">
        <v>0</v>
      </c>
      <c r="AZ438" s="47">
        <f t="shared" si="37"/>
        <v>2</v>
      </c>
      <c r="BA438" s="47">
        <v>0</v>
      </c>
      <c r="BB438" s="47">
        <f>U438</f>
        <v>2</v>
      </c>
      <c r="BC438" s="47">
        <v>0</v>
      </c>
      <c r="BD438" s="47">
        <f>W438</f>
        <v>2</v>
      </c>
      <c r="BF438" s="65"/>
      <c r="BG438" s="65"/>
      <c r="BH438" s="65"/>
      <c r="BI438" s="65"/>
      <c r="BJ438" s="65"/>
      <c r="BK438" s="65"/>
      <c r="BL438" s="65"/>
      <c r="BM438" s="65"/>
      <c r="BN438" s="65"/>
      <c r="BO438" s="65"/>
      <c r="BP438" s="65"/>
      <c r="BQ438" s="65"/>
      <c r="BR438" s="65"/>
      <c r="BS438" s="65"/>
    </row>
    <row r="439" spans="1:71" s="64" customFormat="1">
      <c r="A439" s="65"/>
      <c r="B439" s="101" t="str">
        <f>IF(Main_Parameters!$C$43="TX1 Enable","REMend","WR32")</f>
        <v>WR32</v>
      </c>
      <c r="C439" s="89" t="s">
        <v>2093</v>
      </c>
      <c r="D439" s="513" t="s">
        <v>2094</v>
      </c>
      <c r="E439" s="511" t="s">
        <v>1921</v>
      </c>
      <c r="F439" s="97"/>
      <c r="G439"/>
      <c r="H439"/>
      <c r="I439"/>
      <c r="J439"/>
      <c r="K439"/>
      <c r="L439"/>
      <c r="M439"/>
      <c r="N439"/>
      <c r="O439"/>
      <c r="P439"/>
      <c r="Q439"/>
      <c r="R439"/>
      <c r="S439"/>
      <c r="T439"/>
      <c r="U439"/>
      <c r="V439"/>
      <c r="W439"/>
      <c r="BF439" s="65"/>
      <c r="BG439" s="65"/>
      <c r="BH439" s="65"/>
      <c r="BI439" s="65"/>
      <c r="BJ439" s="65"/>
      <c r="BK439" s="65"/>
      <c r="BL439" s="65"/>
      <c r="BM439" s="65"/>
      <c r="BN439" s="65"/>
      <c r="BO439" s="65"/>
      <c r="BP439" s="65"/>
      <c r="BQ439" s="65"/>
      <c r="BR439" s="65"/>
      <c r="BS439" s="65"/>
    </row>
    <row r="440" spans="1:71" s="64" customFormat="1">
      <c r="A440" s="65"/>
      <c r="B440" s="84" t="s">
        <v>1032</v>
      </c>
      <c r="C440" s="99" t="s">
        <v>2095</v>
      </c>
      <c r="D440" s="84"/>
      <c r="E440" s="100"/>
      <c r="F440" s="87"/>
      <c r="G440"/>
      <c r="H440"/>
      <c r="I440"/>
      <c r="J440"/>
      <c r="K440"/>
      <c r="L440"/>
      <c r="M440"/>
      <c r="N440"/>
      <c r="O440"/>
      <c r="P440"/>
      <c r="Q440"/>
      <c r="R440"/>
      <c r="S440"/>
      <c r="T440"/>
      <c r="U440"/>
      <c r="V440"/>
      <c r="W440"/>
      <c r="X440" s="131"/>
      <c r="AH440" s="131"/>
      <c r="BF440" s="65"/>
      <c r="BG440" s="65"/>
      <c r="BH440" s="65"/>
      <c r="BI440" s="65"/>
      <c r="BJ440" s="65"/>
      <c r="BK440" s="65"/>
      <c r="BL440" s="65"/>
      <c r="BM440" s="65"/>
      <c r="BN440" s="65"/>
      <c r="BO440" s="65"/>
      <c r="BP440" s="65"/>
      <c r="BQ440" s="65"/>
      <c r="BR440" s="65"/>
      <c r="BS440" s="65"/>
    </row>
    <row r="441" spans="1:71">
      <c r="B441" s="101" t="str">
        <f>IF(Main_Parameters!$C$43="TX0 Enable","REMend","WR32")</f>
        <v>WR32</v>
      </c>
      <c r="C441" s="102" t="s">
        <v>1919</v>
      </c>
      <c r="D441" s="515" t="s">
        <v>2096</v>
      </c>
      <c r="E441" s="511" t="s">
        <v>1921</v>
      </c>
      <c r="F441" s="92"/>
      <c r="G441"/>
      <c r="H441"/>
      <c r="I441"/>
      <c r="J441"/>
      <c r="K441"/>
      <c r="L441"/>
      <c r="M441"/>
      <c r="N441"/>
      <c r="O441"/>
      <c r="P441"/>
      <c r="Q441"/>
      <c r="R441"/>
      <c r="S441"/>
      <c r="T441"/>
      <c r="U441"/>
      <c r="V441"/>
      <c r="W441"/>
      <c r="X441" s="131"/>
      <c r="Y441" s="64">
        <v>31</v>
      </c>
      <c r="Z441" s="64">
        <v>30</v>
      </c>
      <c r="AA441" s="64">
        <v>29</v>
      </c>
      <c r="AB441" s="64">
        <v>28</v>
      </c>
      <c r="AC441" s="64">
        <v>27</v>
      </c>
      <c r="AD441" s="64">
        <v>26</v>
      </c>
      <c r="AE441" s="64">
        <v>25</v>
      </c>
      <c r="AF441" s="64">
        <v>24</v>
      </c>
      <c r="AG441" s="64">
        <v>23</v>
      </c>
      <c r="AH441" s="131">
        <v>22</v>
      </c>
      <c r="AI441" s="64">
        <v>21</v>
      </c>
      <c r="AJ441" s="64">
        <v>20</v>
      </c>
      <c r="AK441" s="64">
        <v>19</v>
      </c>
      <c r="AL441" s="64">
        <v>18</v>
      </c>
      <c r="AM441" s="64">
        <v>17</v>
      </c>
      <c r="AN441" s="64">
        <v>16</v>
      </c>
      <c r="AO441" s="64">
        <v>15</v>
      </c>
      <c r="AP441" s="64">
        <v>14</v>
      </c>
      <c r="AQ441" s="64">
        <v>13</v>
      </c>
      <c r="AR441" s="64">
        <v>12</v>
      </c>
      <c r="AS441" s="64">
        <v>11</v>
      </c>
      <c r="AT441" s="64">
        <v>10</v>
      </c>
      <c r="AU441" s="64">
        <v>9</v>
      </c>
      <c r="AV441" s="64">
        <v>8</v>
      </c>
      <c r="AW441" s="64">
        <v>7</v>
      </c>
      <c r="AX441" s="64">
        <v>6</v>
      </c>
      <c r="AY441" s="64">
        <v>5</v>
      </c>
      <c r="AZ441" s="64">
        <v>4</v>
      </c>
      <c r="BA441" s="64">
        <v>3</v>
      </c>
      <c r="BB441" s="64">
        <v>2</v>
      </c>
      <c r="BC441" s="64">
        <v>1</v>
      </c>
      <c r="BD441" s="64">
        <v>0</v>
      </c>
    </row>
    <row r="442" spans="1:71">
      <c r="B442" s="101" t="str">
        <f>IF(Main_Parameters!$C$43="TX0 Enable","REMend","WR32")</f>
        <v>WR32</v>
      </c>
      <c r="C442" s="102" t="s">
        <v>1922</v>
      </c>
      <c r="D442" s="515" t="s">
        <v>2097</v>
      </c>
      <c r="E442" s="91" t="str">
        <f t="shared" si="35"/>
        <v>00000001</v>
      </c>
      <c r="F442" s="92"/>
      <c r="G442" s="20"/>
      <c r="H442" s="103"/>
      <c r="I442" s="110"/>
      <c r="J442" s="110"/>
      <c r="K442" s="111"/>
      <c r="L442" s="112" t="s">
        <v>1924</v>
      </c>
      <c r="M442" s="113" t="s">
        <v>1925</v>
      </c>
      <c r="N442" s="106" t="s">
        <v>1926</v>
      </c>
      <c r="O442" s="113" t="s">
        <v>1925</v>
      </c>
      <c r="P442" s="114"/>
      <c r="Q442" s="114"/>
      <c r="R442" s="114"/>
      <c r="S442" s="114"/>
      <c r="T442" s="114"/>
      <c r="U442" s="132"/>
      <c r="V442" s="112" t="s">
        <v>1927</v>
      </c>
      <c r="W442" s="104" t="s">
        <v>721</v>
      </c>
      <c r="X442" s="63"/>
      <c r="Y442" s="47">
        <v>0</v>
      </c>
      <c r="Z442" s="47">
        <v>0</v>
      </c>
      <c r="AA442" s="47">
        <v>0</v>
      </c>
      <c r="AB442" s="47">
        <v>0</v>
      </c>
      <c r="AC442" s="47">
        <v>0</v>
      </c>
      <c r="AD442" s="47">
        <v>0</v>
      </c>
      <c r="AE442" s="47">
        <v>0</v>
      </c>
      <c r="AF442" s="47">
        <v>0</v>
      </c>
      <c r="AG442" s="47">
        <v>0</v>
      </c>
      <c r="AH442" s="63">
        <v>0</v>
      </c>
      <c r="AI442" s="47">
        <v>0</v>
      </c>
      <c r="AJ442" s="47">
        <v>0</v>
      </c>
      <c r="AK442" s="47">
        <v>0</v>
      </c>
      <c r="AL442" s="47">
        <v>0</v>
      </c>
      <c r="AM442" s="47">
        <v>0</v>
      </c>
      <c r="AN442" s="47">
        <v>0</v>
      </c>
      <c r="AO442" s="47">
        <v>0</v>
      </c>
      <c r="AP442" s="47">
        <v>0</v>
      </c>
      <c r="AQ442" s="47">
        <v>0</v>
      </c>
      <c r="AR442" s="47">
        <v>0</v>
      </c>
      <c r="AS442" s="47">
        <v>0</v>
      </c>
      <c r="AT442" s="47">
        <f>IF(M442="HSCK/8",0,IF(M442="HSCK/4",1,2))</f>
        <v>0</v>
      </c>
      <c r="AU442" s="47">
        <v>0</v>
      </c>
      <c r="AV442" s="47">
        <f>IF(O442="HSCK/8",0,IF(O442="HSCK/4",1,2))</f>
        <v>0</v>
      </c>
      <c r="AW442" s="47">
        <v>0</v>
      </c>
      <c r="AX442" s="47">
        <v>0</v>
      </c>
      <c r="AY442" s="47">
        <v>0</v>
      </c>
      <c r="AZ442" s="47">
        <v>0</v>
      </c>
      <c r="BA442" s="47">
        <v>0</v>
      </c>
      <c r="BB442" s="47">
        <v>0</v>
      </c>
      <c r="BC442" s="47">
        <v>0</v>
      </c>
      <c r="BD442" s="47">
        <f>IF(W442="Enable",1,0)</f>
        <v>1</v>
      </c>
    </row>
    <row r="443" spans="1:71">
      <c r="B443" s="101" t="str">
        <f>IF(Main_Parameters!$C$43="TX0 Enable","REMend","WR32")</f>
        <v>WR32</v>
      </c>
      <c r="C443" s="89" t="s">
        <v>1928</v>
      </c>
      <c r="D443" s="513" t="s">
        <v>2098</v>
      </c>
      <c r="E443" s="511" t="s">
        <v>1921</v>
      </c>
      <c r="F443" s="97"/>
      <c r="G443"/>
      <c r="H443"/>
      <c r="I443"/>
      <c r="J443"/>
      <c r="K443"/>
      <c r="L443"/>
      <c r="M443"/>
      <c r="N443"/>
      <c r="O443"/>
      <c r="P443"/>
      <c r="Q443"/>
      <c r="R443"/>
      <c r="S443"/>
      <c r="T443"/>
      <c r="U443"/>
      <c r="V443"/>
      <c r="W443"/>
    </row>
    <row r="444" spans="1:71">
      <c r="B444" s="101" t="str">
        <f>IF(Main_Parameters!$C$43="TX0 Enable","REMend","WR32")</f>
        <v>WR32</v>
      </c>
      <c r="C444" s="102" t="s">
        <v>1930</v>
      </c>
      <c r="D444" s="515" t="s">
        <v>976</v>
      </c>
      <c r="E444" s="91" t="str">
        <f>Main_Parameters!$C$149</f>
        <v>000090CF</v>
      </c>
      <c r="F444" s="92" t="s">
        <v>2099</v>
      </c>
      <c r="G444"/>
      <c r="H444"/>
      <c r="I444"/>
      <c r="J444"/>
      <c r="K444"/>
      <c r="L444"/>
      <c r="M444"/>
      <c r="N444"/>
      <c r="O444"/>
      <c r="P444"/>
      <c r="Q444"/>
      <c r="R444"/>
      <c r="S444"/>
      <c r="T444"/>
      <c r="U444"/>
      <c r="V444"/>
      <c r="W444"/>
      <c r="X444" s="131"/>
      <c r="AH444" s="131"/>
    </row>
    <row r="445" spans="1:71">
      <c r="B445" s="101" t="str">
        <f>IF(Main_Parameters!$C$43="TX0 Enable","REMend","delay")</f>
        <v>delay</v>
      </c>
      <c r="C445" s="102"/>
      <c r="D445" s="96">
        <v>1000</v>
      </c>
      <c r="E445" s="96"/>
      <c r="F445" s="92"/>
      <c r="G445"/>
      <c r="H445"/>
      <c r="I445"/>
      <c r="J445"/>
      <c r="K445"/>
      <c r="L445"/>
      <c r="M445"/>
      <c r="N445"/>
      <c r="O445"/>
      <c r="P445"/>
      <c r="Q445"/>
      <c r="R445"/>
      <c r="S445"/>
      <c r="T445"/>
      <c r="U445"/>
      <c r="V445"/>
      <c r="W445"/>
      <c r="X445" s="131"/>
      <c r="AH445" s="131"/>
    </row>
    <row r="446" spans="1:71">
      <c r="B446" s="101" t="str">
        <f>IF(Main_Parameters!$C$43="TX0 Enable","REMend","WR32")</f>
        <v>WR32</v>
      </c>
      <c r="C446" s="89" t="s">
        <v>1928</v>
      </c>
      <c r="D446" s="513" t="s">
        <v>2098</v>
      </c>
      <c r="E446" s="511" t="s">
        <v>1932</v>
      </c>
      <c r="F446" s="97"/>
      <c r="G446"/>
      <c r="H446"/>
      <c r="I446"/>
      <c r="J446"/>
      <c r="K446"/>
      <c r="L446"/>
      <c r="M446"/>
      <c r="N446"/>
      <c r="O446"/>
      <c r="P446"/>
      <c r="Q446"/>
      <c r="R446"/>
      <c r="S446"/>
      <c r="T446"/>
      <c r="U446"/>
      <c r="V446"/>
      <c r="W446"/>
    </row>
    <row r="447" spans="1:71">
      <c r="B447" s="101" t="str">
        <f>IF(Main_Parameters!$C$43="TX0 Enable","REMend","WR32")</f>
        <v>WR32</v>
      </c>
      <c r="C447" s="102" t="s">
        <v>1933</v>
      </c>
      <c r="D447" s="515" t="s">
        <v>978</v>
      </c>
      <c r="E447" s="91" t="str">
        <f>Main_Parameters!$C$152</f>
        <v>00000014</v>
      </c>
      <c r="F447" s="92"/>
      <c r="G447"/>
      <c r="H447"/>
      <c r="I447"/>
      <c r="J447"/>
      <c r="K447"/>
      <c r="L447"/>
      <c r="M447"/>
      <c r="N447"/>
      <c r="O447"/>
      <c r="P447"/>
      <c r="Q447"/>
      <c r="R447"/>
      <c r="S447"/>
      <c r="T447"/>
      <c r="U447"/>
      <c r="V447"/>
      <c r="W447"/>
      <c r="X447" s="131"/>
      <c r="AH447" s="131"/>
    </row>
    <row r="448" spans="1:71">
      <c r="B448" s="101" t="str">
        <f>IF(Main_Parameters!$C$43="TX0 Enable","REMend","WR32")</f>
        <v>WR32</v>
      </c>
      <c r="C448" s="102" t="s">
        <v>1934</v>
      </c>
      <c r="D448" s="515" t="s">
        <v>979</v>
      </c>
      <c r="E448" s="91" t="str">
        <f>Main_Parameters!$C$153</f>
        <v>00001770</v>
      </c>
      <c r="F448" s="92"/>
      <c r="G448"/>
      <c r="H448"/>
      <c r="I448"/>
      <c r="J448"/>
      <c r="K448"/>
      <c r="L448"/>
      <c r="M448"/>
      <c r="N448"/>
      <c r="O448"/>
      <c r="P448"/>
      <c r="Q448"/>
      <c r="R448"/>
      <c r="S448"/>
      <c r="T448"/>
      <c r="U448"/>
      <c r="V448"/>
      <c r="W448"/>
      <c r="X448" s="131"/>
      <c r="AH448" s="131"/>
    </row>
    <row r="449" spans="2:57" ht="15">
      <c r="B449" s="101" t="str">
        <f>IF(Main_Parameters!$C$43="TX0 Enable","REMend","WR32")</f>
        <v>WR32</v>
      </c>
      <c r="C449" s="102" t="s">
        <v>1935</v>
      </c>
      <c r="D449" s="515" t="s">
        <v>2100</v>
      </c>
      <c r="E449" s="91" t="str">
        <f>DEC2HEX(HEX2DEC(K449),8)</f>
        <v>00000000</v>
      </c>
      <c r="F449" s="92"/>
      <c r="G449"/>
      <c r="H449" s="597" t="s">
        <v>1937</v>
      </c>
      <c r="I449" s="598"/>
      <c r="J449" s="599"/>
      <c r="K449" s="116">
        <v>0</v>
      </c>
      <c r="L449" s="117" t="str">
        <f>IF(HEX2DEC(K449)&lt;0,"NG",IF(HEX2DEC(K449)&gt;4294967295,"NG","OK"))</f>
        <v>OK</v>
      </c>
      <c r="M449" s="103"/>
      <c r="N449" s="110"/>
      <c r="O449" s="110"/>
      <c r="P449" s="110"/>
      <c r="Q449" s="110"/>
      <c r="R449" s="110"/>
      <c r="S449" s="110"/>
      <c r="T449" s="110"/>
      <c r="U449" s="110"/>
      <c r="V449" s="110"/>
      <c r="W449" s="111"/>
      <c r="X449" s="131"/>
      <c r="AH449" s="131"/>
    </row>
    <row r="450" spans="2:57">
      <c r="B450" s="101" t="str">
        <f>IF(Main_Parameters!$C$43="TX0 Enable","REMend","WR32")</f>
        <v>WR32</v>
      </c>
      <c r="C450" s="102" t="s">
        <v>1938</v>
      </c>
      <c r="D450" s="515" t="s">
        <v>2101</v>
      </c>
      <c r="E450" s="91" t="str">
        <f>DEC2HEX(Y450*2^31+Z450*2^30+AA450*2^29+AB450*2^28+AC450*2^27+AD450*2^26+AE450*2^25+AF450*2^24+AG450*2^23+AH450*2^22+AI450*2^21+AJ450*2^20+AK450*2^19+AL450*2^18+AM450*2^17+AN450*2^16+AO450*2^15+AP450*2^14+AQ450*2^13+AR450*2^12+AS450*2^11+AT450*2^10+AU450*2^9+AV450*2^8+AW450*2^7+AX450*2^6+AY450*2^5+AZ450*2^4+BA450*2^3+BB450*2^2+BC450*2^1+BD450*2^0,8)</f>
        <v>00000101</v>
      </c>
      <c r="F450" s="92"/>
      <c r="G450"/>
      <c r="H450" s="103"/>
      <c r="I450" s="110"/>
      <c r="J450" s="110"/>
      <c r="K450" s="110"/>
      <c r="L450" s="118" t="s">
        <v>1940</v>
      </c>
      <c r="M450" s="118" t="s">
        <v>1941</v>
      </c>
      <c r="N450" s="118" t="s">
        <v>1942</v>
      </c>
      <c r="O450" s="118" t="s">
        <v>1943</v>
      </c>
      <c r="P450" s="118" t="s">
        <v>1944</v>
      </c>
      <c r="Q450" s="118" t="s">
        <v>1945</v>
      </c>
      <c r="R450" s="118" t="s">
        <v>1946</v>
      </c>
      <c r="S450" s="118" t="s">
        <v>1947</v>
      </c>
      <c r="T450" s="118" t="s">
        <v>1948</v>
      </c>
      <c r="U450" s="118" t="s">
        <v>1949</v>
      </c>
      <c r="V450" s="133" t="s">
        <v>1950</v>
      </c>
      <c r="W450" s="104" t="s">
        <v>1951</v>
      </c>
      <c r="X450" s="131"/>
      <c r="Y450" s="64">
        <v>0</v>
      </c>
      <c r="Z450" s="64">
        <v>0</v>
      </c>
      <c r="AA450" s="64">
        <v>0</v>
      </c>
      <c r="AB450" s="64">
        <v>0</v>
      </c>
      <c r="AC450" s="64">
        <v>0</v>
      </c>
      <c r="AD450" s="64">
        <v>0</v>
      </c>
      <c r="AE450" s="64">
        <v>0</v>
      </c>
      <c r="AF450" s="64">
        <v>0</v>
      </c>
      <c r="AG450" s="64">
        <v>0</v>
      </c>
      <c r="AH450" s="131">
        <f>IF(L450="INIT Int Enb",1,0)</f>
        <v>0</v>
      </c>
      <c r="AI450" s="131">
        <f>IF(M450="ApErr Int Enb",1,0)</f>
        <v>0</v>
      </c>
      <c r="AJ450" s="131">
        <f>IF(N450="DSIPrto Int Enb",1,0)</f>
        <v>0</v>
      </c>
      <c r="AK450" s="131">
        <f>IF(O450="DSIrErr Int Enb",1,0)</f>
        <v>0</v>
      </c>
      <c r="AL450" s="131">
        <f>IF(P450="DSILPTX Int Enb",1,0)</f>
        <v>0</v>
      </c>
      <c r="AM450" s="131">
        <f>IF(Q450="DSIrTrg Int Enb",1,0)</f>
        <v>0</v>
      </c>
      <c r="AN450" s="131">
        <f>IF(R450="DSIrStat Int Enb",1,0)</f>
        <v>0</v>
      </c>
      <c r="AO450" s="64">
        <v>0</v>
      </c>
      <c r="AP450" s="131">
        <f>IF(S450="PRESP_TO Enb",1,0)</f>
        <v>0</v>
      </c>
      <c r="AQ450" s="131">
        <v>0</v>
      </c>
      <c r="AR450" s="131">
        <v>0</v>
      </c>
      <c r="AS450" s="131">
        <v>0</v>
      </c>
      <c r="AT450" s="131">
        <f>IF(T450="HSTX_TO Enb",1,0)</f>
        <v>0</v>
      </c>
      <c r="AU450" s="131">
        <f>IF(U450="IND_TO Enb",1,0)</f>
        <v>0</v>
      </c>
      <c r="AV450" s="131">
        <f>IF(V450="INDMdSel Reg",1,0)</f>
        <v>1</v>
      </c>
      <c r="AW450" s="64">
        <v>0</v>
      </c>
      <c r="AX450" s="64">
        <v>0</v>
      </c>
      <c r="AY450" s="64">
        <v>0</v>
      </c>
      <c r="AZ450" s="64">
        <v>0</v>
      </c>
      <c r="BA450" s="64">
        <v>0</v>
      </c>
      <c r="BB450" s="64">
        <v>0</v>
      </c>
      <c r="BC450" s="64">
        <v>0</v>
      </c>
      <c r="BD450" s="131">
        <f>IF(W450="VHDELAY Reg",1,0)</f>
        <v>1</v>
      </c>
    </row>
    <row r="451" spans="2:57" ht="15">
      <c r="B451" s="101" t="str">
        <f>IF(Main_Parameters!$C$43="TX0 Enable","REMend",IF(G451="Disable","REMend","WR32"))</f>
        <v>REMend</v>
      </c>
      <c r="C451" s="102" t="s">
        <v>1952</v>
      </c>
      <c r="D451" s="515" t="s">
        <v>2102</v>
      </c>
      <c r="E451" s="91" t="str">
        <f>DEC2HEX(Y451*2^31+Z451*2^30+AA451*2^29+AB451*2^28+AC451*2^27+AD451*2^26+AE451*2^25+AF451*2^24+AG451*2^23+AH451*2^22+AI451*2^21+AJ451*2^20+AK451*2^19+AL451*2^18+AM451*2^17+AN451*2^16+AO451*2^15+AP451*2^14+AQ451*2^13+AR451*2^12+AS451*2^11+AT451*2^10+AU451*2^9+AV451*2^8+AW451*2^7+AX451*2^6+AY451*2^5+AZ451*2^4+BA451*2^3+BB451*2^2+BC451*2^1+BD451*2^0,8)</f>
        <v>00000004</v>
      </c>
      <c r="F451" s="92"/>
      <c r="G451" s="104" t="s">
        <v>780</v>
      </c>
      <c r="H451" s="103"/>
      <c r="I451" s="110"/>
      <c r="J451" s="110"/>
      <c r="K451" s="110"/>
      <c r="L451" s="110"/>
      <c r="M451" s="110"/>
      <c r="N451" s="119"/>
      <c r="O451" s="119"/>
      <c r="P451" s="119"/>
      <c r="Q451" s="115" t="s">
        <v>1954</v>
      </c>
      <c r="R451" s="120" t="str">
        <f>IF(S451&gt;8191,"NG",IF(S451&lt;0,"NG","OK"))</f>
        <v>OK</v>
      </c>
      <c r="S451" s="134">
        <v>0</v>
      </c>
      <c r="T451" s="112" t="s">
        <v>1955</v>
      </c>
      <c r="U451" s="118" t="s">
        <v>2103</v>
      </c>
      <c r="V451" s="112" t="s">
        <v>1956</v>
      </c>
      <c r="W451" s="104" t="s">
        <v>1957</v>
      </c>
      <c r="X451" s="131"/>
      <c r="Y451" s="64">
        <v>0</v>
      </c>
      <c r="Z451" s="64">
        <v>0</v>
      </c>
      <c r="AA451" s="64">
        <v>0</v>
      </c>
      <c r="AB451" s="64">
        <v>0</v>
      </c>
      <c r="AC451" s="64">
        <v>0</v>
      </c>
      <c r="AD451" s="64">
        <v>0</v>
      </c>
      <c r="AE451" s="64">
        <v>0</v>
      </c>
      <c r="AF451" s="64">
        <v>0</v>
      </c>
      <c r="AG451" s="64">
        <v>0</v>
      </c>
      <c r="AH451" s="64">
        <v>0</v>
      </c>
      <c r="AI451" s="64">
        <v>0</v>
      </c>
      <c r="AJ451" s="64">
        <v>0</v>
      </c>
      <c r="AK451" s="64">
        <v>0</v>
      </c>
      <c r="AL451" s="64">
        <v>0</v>
      </c>
      <c r="AM451" s="64">
        <v>0</v>
      </c>
      <c r="AN451" s="64">
        <v>0</v>
      </c>
      <c r="AO451" s="64">
        <v>0</v>
      </c>
      <c r="AP451" s="64">
        <v>0</v>
      </c>
      <c r="AQ451" s="64">
        <v>0</v>
      </c>
      <c r="AR451" s="64">
        <v>0</v>
      </c>
      <c r="AS451" s="64">
        <v>0</v>
      </c>
      <c r="AT451" s="64">
        <v>0</v>
      </c>
      <c r="AU451" s="64">
        <v>0</v>
      </c>
      <c r="AV451" s="64">
        <v>0</v>
      </c>
      <c r="AW451" s="64">
        <v>0</v>
      </c>
      <c r="AX451" s="64">
        <v>0</v>
      </c>
      <c r="AY451" s="64">
        <v>0</v>
      </c>
      <c r="AZ451" s="64">
        <v>0</v>
      </c>
      <c r="BA451" s="64">
        <f>S451</f>
        <v>0</v>
      </c>
      <c r="BB451" s="64">
        <v>0</v>
      </c>
      <c r="BC451" s="64">
        <f>IF(U451="VFP",0,IF(U451="Immediate",2,1))</f>
        <v>2</v>
      </c>
      <c r="BD451" s="64">
        <f>IF(W451="Input",0,1)</f>
        <v>0</v>
      </c>
      <c r="BE451" s="131"/>
    </row>
    <row r="452" spans="2:57" ht="15">
      <c r="B452" s="101" t="str">
        <f>IF(Main_Parameters!$C$43="TX0 Enable","REMend","WR32")</f>
        <v>WR32</v>
      </c>
      <c r="C452" s="102" t="s">
        <v>1958</v>
      </c>
      <c r="D452" s="515" t="s">
        <v>2104</v>
      </c>
      <c r="E452" s="91" t="str">
        <f t="shared" ref="E452:E459" si="38">DEC2HEX(HEX2DEC(K452),8)</f>
        <v>00010000</v>
      </c>
      <c r="F452" s="92"/>
      <c r="G452"/>
      <c r="H452" s="597" t="s">
        <v>1960</v>
      </c>
      <c r="I452" s="598"/>
      <c r="J452" s="599"/>
      <c r="K452" s="516" t="s">
        <v>1961</v>
      </c>
      <c r="L452" s="120" t="str">
        <f t="shared" ref="L452:L459" si="39">IF(HEX2DEC(K452)&lt;0,"NG",IF(HEX2DEC(K452)&gt;4294967295,"NG","OK"))</f>
        <v>OK</v>
      </c>
      <c r="M452" s="103"/>
      <c r="N452" s="110"/>
      <c r="O452" s="110"/>
      <c r="P452" s="110"/>
      <c r="Q452" s="110"/>
      <c r="R452" s="110"/>
      <c r="S452" s="110"/>
      <c r="T452" s="110"/>
      <c r="U452" s="110"/>
      <c r="V452" s="110"/>
      <c r="W452" s="111"/>
    </row>
    <row r="453" spans="2:57" ht="15">
      <c r="B453" s="101" t="str">
        <f>IF(Main_Parameters!$C$43="TX0 Enable","REMend","WR32")</f>
        <v>WR32</v>
      </c>
      <c r="C453" s="102" t="s">
        <v>1962</v>
      </c>
      <c r="D453" s="515" t="s">
        <v>2105</v>
      </c>
      <c r="E453" s="91" t="str">
        <f t="shared" si="38"/>
        <v>00005000</v>
      </c>
      <c r="F453" s="92"/>
      <c r="G453"/>
      <c r="H453" s="597" t="s">
        <v>1964</v>
      </c>
      <c r="I453" s="598"/>
      <c r="J453" s="599"/>
      <c r="K453" s="516" t="s">
        <v>995</v>
      </c>
      <c r="L453" s="120" t="str">
        <f t="shared" si="39"/>
        <v>OK</v>
      </c>
      <c r="M453" s="103"/>
      <c r="N453" s="110"/>
      <c r="O453" s="110"/>
      <c r="P453" s="110"/>
      <c r="Q453" s="110"/>
      <c r="R453" s="110"/>
      <c r="S453" s="110"/>
      <c r="T453" s="110"/>
      <c r="U453" s="110"/>
      <c r="V453" s="110"/>
      <c r="W453" s="111"/>
      <c r="X453" s="131"/>
      <c r="AH453" s="131"/>
    </row>
    <row r="454" spans="2:57" ht="15">
      <c r="B454" s="101" t="str">
        <f>IF(Main_Parameters!$C$43="TX0 Enable","REMend","WR32")</f>
        <v>WR32</v>
      </c>
      <c r="C454" s="102" t="s">
        <v>1965</v>
      </c>
      <c r="D454" s="515" t="s">
        <v>2106</v>
      </c>
      <c r="E454" s="91" t="str">
        <f t="shared" si="38"/>
        <v>00010000</v>
      </c>
      <c r="F454" s="92"/>
      <c r="G454"/>
      <c r="H454" s="597" t="s">
        <v>1967</v>
      </c>
      <c r="I454" s="598"/>
      <c r="J454" s="599"/>
      <c r="K454" s="516" t="s">
        <v>1961</v>
      </c>
      <c r="L454" s="120" t="str">
        <f t="shared" si="39"/>
        <v>OK</v>
      </c>
      <c r="M454" s="103"/>
      <c r="N454" s="110"/>
      <c r="O454" s="110"/>
      <c r="P454" s="110"/>
      <c r="Q454" s="110"/>
      <c r="R454" s="110"/>
      <c r="S454" s="110"/>
      <c r="T454" s="110"/>
      <c r="U454" s="110"/>
      <c r="V454" s="110"/>
      <c r="W454" s="111"/>
      <c r="X454" s="131"/>
      <c r="AH454" s="131"/>
    </row>
    <row r="455" spans="2:57" ht="15">
      <c r="B455" s="101" t="str">
        <f>IF(Main_Parameters!$C$43="TX0 Enable","REMend","WR32")</f>
        <v>WR32</v>
      </c>
      <c r="C455" s="102" t="s">
        <v>1968</v>
      </c>
      <c r="D455" s="515" t="s">
        <v>2107</v>
      </c>
      <c r="E455" s="91" t="str">
        <f t="shared" si="38"/>
        <v>00010000</v>
      </c>
      <c r="F455" s="92"/>
      <c r="G455"/>
      <c r="H455" s="597" t="s">
        <v>1970</v>
      </c>
      <c r="I455" s="598"/>
      <c r="J455" s="599"/>
      <c r="K455" s="516" t="s">
        <v>1961</v>
      </c>
      <c r="L455" s="120" t="str">
        <f t="shared" si="39"/>
        <v>OK</v>
      </c>
      <c r="M455" s="103"/>
      <c r="N455" s="110"/>
      <c r="O455" s="110"/>
      <c r="P455" s="110"/>
      <c r="Q455" s="110"/>
      <c r="R455" s="110"/>
      <c r="S455" s="110"/>
      <c r="T455" s="110"/>
      <c r="U455" s="110"/>
      <c r="V455" s="110"/>
      <c r="W455" s="111"/>
      <c r="X455" s="131"/>
      <c r="AH455" s="131"/>
    </row>
    <row r="456" spans="2:57" ht="15">
      <c r="B456" s="101" t="str">
        <f>IF(Main_Parameters!$C$43="TX0 Enable","REMend","WR32")</f>
        <v>WR32</v>
      </c>
      <c r="C456" s="102" t="s">
        <v>1971</v>
      </c>
      <c r="D456" s="515" t="s">
        <v>2108</v>
      </c>
      <c r="E456" s="91" t="str">
        <f t="shared" si="38"/>
        <v>00010000</v>
      </c>
      <c r="F456" s="92"/>
      <c r="G456"/>
      <c r="H456" s="597" t="s">
        <v>1973</v>
      </c>
      <c r="I456" s="598"/>
      <c r="J456" s="599"/>
      <c r="K456" s="516" t="s">
        <v>1961</v>
      </c>
      <c r="L456" s="120" t="str">
        <f t="shared" si="39"/>
        <v>OK</v>
      </c>
      <c r="M456" s="103"/>
      <c r="N456" s="110"/>
      <c r="O456" s="110"/>
      <c r="P456" s="110"/>
      <c r="Q456" s="110"/>
      <c r="R456" s="110"/>
      <c r="S456" s="110"/>
      <c r="T456" s="110"/>
      <c r="U456" s="110"/>
      <c r="V456" s="110"/>
      <c r="W456" s="111"/>
      <c r="X456" s="131"/>
      <c r="AH456" s="131"/>
    </row>
    <row r="457" spans="2:57" ht="15">
      <c r="B457" s="101" t="str">
        <f>IF(Main_Parameters!$C$43="TX0 Enable","REMend","WR32")</f>
        <v>WR32</v>
      </c>
      <c r="C457" s="102" t="s">
        <v>1974</v>
      </c>
      <c r="D457" s="515" t="s">
        <v>2109</v>
      </c>
      <c r="E457" s="91" t="str">
        <f t="shared" si="38"/>
        <v>00010000</v>
      </c>
      <c r="F457" s="92"/>
      <c r="G457"/>
      <c r="H457" s="597" t="s">
        <v>1976</v>
      </c>
      <c r="I457" s="598"/>
      <c r="J457" s="599"/>
      <c r="K457" s="516" t="s">
        <v>1961</v>
      </c>
      <c r="L457" s="120" t="str">
        <f t="shared" si="39"/>
        <v>OK</v>
      </c>
      <c r="M457" s="103"/>
      <c r="N457" s="110"/>
      <c r="O457" s="110"/>
      <c r="P457" s="110"/>
      <c r="Q457" s="110"/>
      <c r="R457" s="110"/>
      <c r="S457" s="110"/>
      <c r="T457" s="110"/>
      <c r="U457" s="110"/>
      <c r="V457" s="110"/>
      <c r="W457" s="111"/>
      <c r="X457" s="131"/>
      <c r="AH457" s="131"/>
    </row>
    <row r="458" spans="2:57" ht="15">
      <c r="B458" s="101" t="str">
        <f>IF(Main_Parameters!$C$43="TX0 Enable","REMend","WR32")</f>
        <v>WR32</v>
      </c>
      <c r="C458" s="102" t="s">
        <v>1977</v>
      </c>
      <c r="D458" s="515" t="s">
        <v>2110</v>
      </c>
      <c r="E458" s="91" t="str">
        <f t="shared" si="38"/>
        <v>00001000</v>
      </c>
      <c r="F458" s="92"/>
      <c r="G458"/>
      <c r="H458" s="597" t="s">
        <v>1979</v>
      </c>
      <c r="I458" s="598"/>
      <c r="J458" s="599"/>
      <c r="K458" s="516" t="s">
        <v>1980</v>
      </c>
      <c r="L458" s="120" t="str">
        <f t="shared" si="39"/>
        <v>OK</v>
      </c>
      <c r="M458" s="103"/>
      <c r="N458" s="110"/>
      <c r="O458" s="110"/>
      <c r="P458" s="110"/>
      <c r="Q458" s="110"/>
      <c r="R458" s="110"/>
      <c r="S458" s="110"/>
      <c r="T458" s="110"/>
      <c r="U458" s="110"/>
      <c r="V458" s="110"/>
      <c r="W458" s="111"/>
      <c r="X458" s="131"/>
      <c r="AH458" s="131"/>
    </row>
    <row r="459" spans="2:57" ht="15">
      <c r="B459" s="101" t="str">
        <f>IF(Main_Parameters!$C$43="TX0 Enable","REMend","WR32")</f>
        <v>WR32</v>
      </c>
      <c r="C459" s="102" t="s">
        <v>1981</v>
      </c>
      <c r="D459" s="515" t="s">
        <v>2111</v>
      </c>
      <c r="E459" s="91" t="str">
        <f t="shared" si="38"/>
        <v>00010000</v>
      </c>
      <c r="F459" s="92"/>
      <c r="G459"/>
      <c r="H459" s="597" t="s">
        <v>1983</v>
      </c>
      <c r="I459" s="598"/>
      <c r="J459" s="599"/>
      <c r="K459" s="516" t="s">
        <v>1961</v>
      </c>
      <c r="L459" s="120" t="str">
        <f t="shared" si="39"/>
        <v>OK</v>
      </c>
      <c r="M459" s="103"/>
      <c r="N459" s="110"/>
      <c r="O459" s="110"/>
      <c r="P459" s="110"/>
      <c r="Q459" s="110"/>
      <c r="R459" s="110"/>
      <c r="S459" s="110"/>
      <c r="T459" s="110"/>
      <c r="U459" s="110"/>
      <c r="V459" s="110"/>
      <c r="W459" s="111"/>
      <c r="X459" s="131"/>
      <c r="AH459" s="131"/>
    </row>
    <row r="460" spans="2:57">
      <c r="B460" s="101" t="str">
        <f>IF(Main_Parameters!$C$43="TX0 Enable","REMend","WR32")</f>
        <v>WR32</v>
      </c>
      <c r="C460" s="102" t="s">
        <v>1984</v>
      </c>
      <c r="D460" s="515" t="s">
        <v>2112</v>
      </c>
      <c r="E460" s="91" t="str">
        <f t="shared" ref="E460:E463" si="40">DEC2HEX(Y460*2^31+Z460*2^30+AA460*2^29+AB460*2^28+AC460*2^27+AD460*2^26+AE460*2^25+AF460*2^24+AG460*2^23+AH460*2^22+AI460*2^21+AJ460*2^20+AK460*2^19+AL460*2^18+AM460*2^17+AN460*2^16+AO460*2^15+AP460*2^14+AQ460*2^13+AR460*2^12+AS460*2^11+AT460*2^10+AU460*2^9+AV460*2^8+AW460*2^7+AX460*2^6+AY460*2^5+AZ460*2^4+BA460*2^3+BB460*2^2+BC460*2^1+BD460*2^0,8)</f>
        <v>00000161</v>
      </c>
      <c r="F460" s="92"/>
      <c r="G460"/>
      <c r="H460" s="105"/>
      <c r="I460" s="121"/>
      <c r="J460" s="121"/>
      <c r="K460" s="122"/>
      <c r="L460" s="123" t="s">
        <v>1986</v>
      </c>
      <c r="M460" s="124" t="s">
        <v>1987</v>
      </c>
      <c r="N460" s="123" t="s">
        <v>1988</v>
      </c>
      <c r="O460" s="124" t="s">
        <v>721</v>
      </c>
      <c r="P460" s="125" t="s">
        <v>1989</v>
      </c>
      <c r="Q460" s="113" t="s">
        <v>780</v>
      </c>
      <c r="R460" s="125" t="s">
        <v>1990</v>
      </c>
      <c r="S460" s="113" t="s">
        <v>780</v>
      </c>
      <c r="T460" s="112" t="s">
        <v>1991</v>
      </c>
      <c r="U460" s="135" t="str">
        <f>IF(Main_Parameters!$C$80="Enable","Continuous","Discontinuous")</f>
        <v>Continuous</v>
      </c>
      <c r="V460" s="112" t="s">
        <v>1992</v>
      </c>
      <c r="W460" s="135" t="str">
        <f>IF(Main_Parameters!$C$79="Yes","Yes","No")</f>
        <v>Yes</v>
      </c>
      <c r="X460" s="63"/>
      <c r="Y460" s="47">
        <v>0</v>
      </c>
      <c r="Z460" s="47">
        <v>0</v>
      </c>
      <c r="AA460" s="47">
        <v>0</v>
      </c>
      <c r="AB460" s="47">
        <v>0</v>
      </c>
      <c r="AC460" s="47">
        <v>0</v>
      </c>
      <c r="AD460" s="47">
        <v>0</v>
      </c>
      <c r="AE460" s="47">
        <v>0</v>
      </c>
      <c r="AF460" s="47">
        <v>0</v>
      </c>
      <c r="AG460" s="47">
        <v>0</v>
      </c>
      <c r="AH460" s="63">
        <v>0</v>
      </c>
      <c r="AI460" s="47">
        <v>0</v>
      </c>
      <c r="AJ460" s="47">
        <v>0</v>
      </c>
      <c r="AK460" s="47">
        <v>0</v>
      </c>
      <c r="AL460" s="47">
        <v>0</v>
      </c>
      <c r="AM460" s="47">
        <v>0</v>
      </c>
      <c r="AN460" s="47">
        <v>0</v>
      </c>
      <c r="AO460" s="47">
        <v>0</v>
      </c>
      <c r="AP460" s="47">
        <v>0</v>
      </c>
      <c r="AQ460" s="47">
        <v>0</v>
      </c>
      <c r="AR460" s="47">
        <v>0</v>
      </c>
      <c r="AS460" s="47">
        <v>0</v>
      </c>
      <c r="AT460" s="47">
        <f>IF(M460="Forced to STOP",1,0)</f>
        <v>0</v>
      </c>
      <c r="AU460" s="47">
        <f>IF(O460="Disable",1,0)</f>
        <v>0</v>
      </c>
      <c r="AV460" s="47">
        <f>IF(Q460="Disable",1,0)</f>
        <v>1</v>
      </c>
      <c r="AW460" s="47">
        <v>0</v>
      </c>
      <c r="AX460" s="47">
        <f>IF(S460="Disable",1,0)</f>
        <v>1</v>
      </c>
      <c r="AY460" s="47">
        <f>IF(U460="Continuous",1,0)</f>
        <v>1</v>
      </c>
      <c r="AZ460" s="47">
        <v>0</v>
      </c>
      <c r="BA460" s="47">
        <v>0</v>
      </c>
      <c r="BB460" s="47">
        <v>0</v>
      </c>
      <c r="BC460" s="47">
        <v>0</v>
      </c>
      <c r="BD460" s="47">
        <f>IF(W460="Yes",1,0)</f>
        <v>1</v>
      </c>
    </row>
    <row r="461" spans="2:57">
      <c r="B461" s="101" t="str">
        <f>IF(Main_Parameters!$C$43="TX0 Enable","REMend","WR32")</f>
        <v>WR32</v>
      </c>
      <c r="C461" s="102" t="s">
        <v>1993</v>
      </c>
      <c r="D461" s="515" t="s">
        <v>2113</v>
      </c>
      <c r="E461" s="91" t="str">
        <f t="shared" si="40"/>
        <v>00000001</v>
      </c>
      <c r="F461" s="92"/>
      <c r="G461"/>
      <c r="H461" s="103"/>
      <c r="I461" s="110"/>
      <c r="J461" s="110"/>
      <c r="K461" s="110"/>
      <c r="L461" s="110"/>
      <c r="M461" s="110"/>
      <c r="N461" s="110"/>
      <c r="O461" s="111"/>
      <c r="P461" s="106" t="s">
        <v>1995</v>
      </c>
      <c r="Q461" s="104" t="s">
        <v>780</v>
      </c>
      <c r="R461" s="106" t="s">
        <v>1996</v>
      </c>
      <c r="S461" s="104" t="s">
        <v>780</v>
      </c>
      <c r="T461" s="106" t="s">
        <v>1997</v>
      </c>
      <c r="U461" s="104" t="s">
        <v>780</v>
      </c>
      <c r="V461" s="106" t="s">
        <v>1998</v>
      </c>
      <c r="W461" s="104" t="s">
        <v>721</v>
      </c>
      <c r="X461" s="63"/>
      <c r="Y461" s="47">
        <v>0</v>
      </c>
      <c r="Z461" s="47">
        <v>0</v>
      </c>
      <c r="AA461" s="47">
        <v>0</v>
      </c>
      <c r="AB461" s="47">
        <v>0</v>
      </c>
      <c r="AC461" s="47">
        <v>0</v>
      </c>
      <c r="AD461" s="47">
        <v>0</v>
      </c>
      <c r="AE461" s="47">
        <v>0</v>
      </c>
      <c r="AF461" s="47">
        <v>0</v>
      </c>
      <c r="AG461" s="47">
        <v>0</v>
      </c>
      <c r="AH461" s="63">
        <v>0</v>
      </c>
      <c r="AI461" s="47">
        <v>0</v>
      </c>
      <c r="AJ461" s="47">
        <v>0</v>
      </c>
      <c r="AK461" s="47">
        <v>0</v>
      </c>
      <c r="AL461" s="47">
        <v>0</v>
      </c>
      <c r="AM461" s="47">
        <v>0</v>
      </c>
      <c r="AN461" s="47">
        <v>0</v>
      </c>
      <c r="AO461" s="47">
        <v>0</v>
      </c>
      <c r="AP461" s="47">
        <v>0</v>
      </c>
      <c r="AQ461" s="47">
        <v>0</v>
      </c>
      <c r="AR461" s="47">
        <v>0</v>
      </c>
      <c r="AS461" s="47">
        <v>0</v>
      </c>
      <c r="AT461" s="47">
        <v>0</v>
      </c>
      <c r="AU461" s="47">
        <v>0</v>
      </c>
      <c r="AV461" s="47">
        <v>0</v>
      </c>
      <c r="AW461" s="47">
        <v>0</v>
      </c>
      <c r="AX461" s="47">
        <v>0</v>
      </c>
      <c r="AY461" s="47">
        <v>0</v>
      </c>
      <c r="AZ461" s="47">
        <v>0</v>
      </c>
      <c r="BA461" s="47">
        <f>IF(Q461="Enable",1,0)</f>
        <v>0</v>
      </c>
      <c r="BB461" s="47">
        <f>IF(S461="Enable",1,0)</f>
        <v>0</v>
      </c>
      <c r="BC461" s="47">
        <f>IF(U461="Enable",1,0)</f>
        <v>0</v>
      </c>
      <c r="BD461" s="47">
        <f>IF(W461="Enable",1,0)</f>
        <v>1</v>
      </c>
    </row>
    <row r="462" spans="2:57" ht="15">
      <c r="B462" s="101" t="str">
        <f>IF(Main_Parameters!$C$43="TX0 Enable","REMend","WR32")</f>
        <v>WR32</v>
      </c>
      <c r="C462" s="102" t="s">
        <v>1999</v>
      </c>
      <c r="D462" s="515" t="s">
        <v>2114</v>
      </c>
      <c r="E462" s="91" t="str">
        <f>DEC2HEX(HEX2DEC(K462),8)</f>
        <v>000000C8</v>
      </c>
      <c r="F462" s="92"/>
      <c r="G462"/>
      <c r="H462" s="597" t="s">
        <v>2001</v>
      </c>
      <c r="I462" s="598"/>
      <c r="J462" s="599"/>
      <c r="K462" s="516" t="s">
        <v>2002</v>
      </c>
      <c r="L462" s="120" t="str">
        <f>IF(HEX2DEC(K462)&lt;0,"NG",IF(HEX2DEC(K462)&gt;4294967295,"NG","OK"))</f>
        <v>OK</v>
      </c>
      <c r="M462" s="103"/>
      <c r="N462" s="110"/>
      <c r="O462" s="110"/>
      <c r="P462" s="110"/>
      <c r="Q462" s="110"/>
      <c r="R462" s="110"/>
      <c r="S462" s="110"/>
      <c r="T462" s="110"/>
      <c r="U462" s="110"/>
      <c r="V462" s="110"/>
      <c r="W462" s="111"/>
      <c r="X462" s="131"/>
      <c r="AH462" s="131"/>
    </row>
    <row r="463" spans="2:57">
      <c r="B463" s="101" t="str">
        <f>IF(Main_Parameters!$C$43="TX0 Enable","REMend",IF(G463="Disable","REMend","WR32"))</f>
        <v>REMend</v>
      </c>
      <c r="C463" s="102" t="s">
        <v>2003</v>
      </c>
      <c r="D463" s="515" t="s">
        <v>2115</v>
      </c>
      <c r="E463" s="91" t="str">
        <f t="shared" si="40"/>
        <v>00000015</v>
      </c>
      <c r="F463" s="92"/>
      <c r="G463" s="104" t="s">
        <v>780</v>
      </c>
      <c r="H463" s="103"/>
      <c r="I463" s="110"/>
      <c r="J463" s="110"/>
      <c r="K463" s="110"/>
      <c r="L463" s="110"/>
      <c r="M463" s="110"/>
      <c r="N463" s="114"/>
      <c r="O463" s="114"/>
      <c r="P463" s="119"/>
      <c r="Q463" s="132"/>
      <c r="R463" s="136" t="s">
        <v>2005</v>
      </c>
      <c r="S463" s="104" t="s">
        <v>2006</v>
      </c>
      <c r="T463" s="137" t="s">
        <v>2007</v>
      </c>
      <c r="U463" s="104" t="s">
        <v>2006</v>
      </c>
      <c r="V463" s="137" t="s">
        <v>2008</v>
      </c>
      <c r="W463" s="104" t="s">
        <v>2006</v>
      </c>
      <c r="X463" s="131"/>
      <c r="Y463" s="64">
        <v>0</v>
      </c>
      <c r="Z463" s="64">
        <v>0</v>
      </c>
      <c r="AA463" s="64">
        <v>0</v>
      </c>
      <c r="AB463" s="64">
        <v>0</v>
      </c>
      <c r="AC463" s="64">
        <v>0</v>
      </c>
      <c r="AD463" s="64">
        <v>0</v>
      </c>
      <c r="AE463" s="64">
        <v>0</v>
      </c>
      <c r="AF463" s="64">
        <v>0</v>
      </c>
      <c r="AG463" s="64">
        <v>0</v>
      </c>
      <c r="AH463" s="64">
        <v>0</v>
      </c>
      <c r="AI463" s="64">
        <v>0</v>
      </c>
      <c r="AJ463" s="64">
        <v>0</v>
      </c>
      <c r="AK463" s="64">
        <v>0</v>
      </c>
      <c r="AL463" s="64">
        <v>0</v>
      </c>
      <c r="AM463" s="64">
        <v>0</v>
      </c>
      <c r="AN463" s="64">
        <v>0</v>
      </c>
      <c r="AO463" s="64">
        <v>0</v>
      </c>
      <c r="AP463" s="64">
        <v>0</v>
      </c>
      <c r="AQ463" s="64">
        <v>0</v>
      </c>
      <c r="AR463" s="64">
        <v>0</v>
      </c>
      <c r="AS463" s="64">
        <v>0</v>
      </c>
      <c r="AT463" s="64">
        <v>0</v>
      </c>
      <c r="AU463" s="64">
        <v>0</v>
      </c>
      <c r="AV463" s="64">
        <v>0</v>
      </c>
      <c r="AW463" s="64">
        <v>0</v>
      </c>
      <c r="AX463" s="64">
        <v>0</v>
      </c>
      <c r="AY463" s="64">
        <v>0</v>
      </c>
      <c r="AZ463" s="64">
        <f t="shared" ref="AZ463:BD463" si="41">IF(S463="Mask",1,0)</f>
        <v>1</v>
      </c>
      <c r="BA463" s="64">
        <v>0</v>
      </c>
      <c r="BB463" s="64">
        <f t="shared" si="41"/>
        <v>1</v>
      </c>
      <c r="BC463" s="64">
        <v>0</v>
      </c>
      <c r="BD463" s="64">
        <f t="shared" si="41"/>
        <v>1</v>
      </c>
      <c r="BE463" s="131"/>
    </row>
    <row r="464" spans="2:57" ht="15">
      <c r="B464" s="101" t="str">
        <f>IF(Main_Parameters!$C$43="TX0 Enable","REMend","WR32")</f>
        <v>WR32</v>
      </c>
      <c r="C464" s="102" t="s">
        <v>2010</v>
      </c>
      <c r="D464" s="515" t="s">
        <v>2116</v>
      </c>
      <c r="E464" s="91" t="str">
        <f>DEC2HEX(HEX2DEC(K464),8)</f>
        <v>0000002A</v>
      </c>
      <c r="F464" s="92"/>
      <c r="G464"/>
      <c r="H464" s="597" t="s">
        <v>2012</v>
      </c>
      <c r="I464" s="598"/>
      <c r="J464" s="599"/>
      <c r="K464" s="516" t="s">
        <v>2013</v>
      </c>
      <c r="L464" s="120" t="str">
        <f>IF(HEX2DEC(K464)&lt;0,"NG",IF(HEX2DEC(K464)&gt;65535,"NG","OK"))</f>
        <v>OK</v>
      </c>
      <c r="M464" s="103"/>
      <c r="N464" s="110"/>
      <c r="O464" s="110"/>
      <c r="P464" s="110"/>
      <c r="Q464" s="110"/>
      <c r="R464" s="110"/>
      <c r="S464" s="110"/>
      <c r="T464" s="110"/>
      <c r="U464" s="110"/>
      <c r="V464" s="110"/>
      <c r="W464" s="111"/>
      <c r="X464" s="131"/>
      <c r="AH464" s="131"/>
    </row>
    <row r="465" spans="1:71">
      <c r="B465" s="101" t="str">
        <f>IF(Main_Parameters!$C$43="TX0 Enable","REMend","WR32")</f>
        <v>WR32</v>
      </c>
      <c r="C465" s="102" t="s">
        <v>2014</v>
      </c>
      <c r="D465" s="515" t="s">
        <v>2117</v>
      </c>
      <c r="E465" s="91" t="str">
        <f>Main_Parameters!$C$155</f>
        <v>0000040D</v>
      </c>
      <c r="F465" s="92"/>
      <c r="G465"/>
      <c r="H465"/>
      <c r="I465"/>
      <c r="J465"/>
      <c r="K465"/>
      <c r="L465"/>
      <c r="M465"/>
      <c r="N465"/>
      <c r="O465"/>
      <c r="P465"/>
      <c r="Q465"/>
      <c r="R465"/>
      <c r="S465"/>
      <c r="T465"/>
      <c r="U465"/>
      <c r="V465"/>
      <c r="W465"/>
      <c r="X465" s="131"/>
      <c r="AH465" s="131"/>
    </row>
    <row r="466" spans="1:71">
      <c r="B466" s="101" t="str">
        <f>IF(Main_Parameters!$C$43="TX0 Enable","REMend",IF(G466="Disable","REMend","WR32"))</f>
        <v>REMend</v>
      </c>
      <c r="C466" s="102" t="s">
        <v>2016</v>
      </c>
      <c r="D466" s="515" t="s">
        <v>2118</v>
      </c>
      <c r="E466" s="91" t="str">
        <f t="shared" ref="E466:E471" si="42">DEC2HEX(Y466*2^31+Z466*2^30+AA466*2^29+AB466*2^28+AC466*2^27+AD466*2^26+AE466*2^25+AF466*2^24+AG466*2^23+AH466*2^22+AI466*2^21+AJ466*2^20+AK466*2^19+AL466*2^18+AM466*2^17+AN466*2^16+AO466*2^15+AP466*2^14+AQ466*2^13+AR466*2^12+AS466*2^11+AT466*2^10+AU466*2^9+AV466*2^8+AW466*2^7+AX466*2^6+AY466*2^5+AZ466*2^4+BA466*2^3+BB466*2^2+BC466*2^1+BD466*2^0,8)</f>
        <v>00000001</v>
      </c>
      <c r="F466" s="92"/>
      <c r="G466" s="104" t="s">
        <v>780</v>
      </c>
      <c r="H466" s="105"/>
      <c r="I466" s="121"/>
      <c r="J466" s="121"/>
      <c r="K466" s="121"/>
      <c r="L466" s="121"/>
      <c r="M466" s="121"/>
      <c r="N466" s="121"/>
      <c r="O466" s="121"/>
      <c r="P466" s="119"/>
      <c r="Q466" s="119"/>
      <c r="R466" s="138"/>
      <c r="S466" s="126"/>
      <c r="T466" s="126" t="s">
        <v>2018</v>
      </c>
      <c r="U466" s="124">
        <v>0</v>
      </c>
      <c r="V466" s="112" t="s">
        <v>2019</v>
      </c>
      <c r="W466" s="104" t="s">
        <v>2020</v>
      </c>
      <c r="X466" s="63"/>
      <c r="Y466" s="47">
        <v>0</v>
      </c>
      <c r="Z466" s="47">
        <v>0</v>
      </c>
      <c r="AA466" s="47">
        <v>0</v>
      </c>
      <c r="AB466" s="47">
        <v>0</v>
      </c>
      <c r="AC466" s="47">
        <v>0</v>
      </c>
      <c r="AD466" s="47">
        <v>0</v>
      </c>
      <c r="AE466" s="47">
        <v>0</v>
      </c>
      <c r="AF466" s="47">
        <v>0</v>
      </c>
      <c r="AG466" s="47">
        <v>0</v>
      </c>
      <c r="AH466" s="47">
        <v>0</v>
      </c>
      <c r="AI466" s="47">
        <v>0</v>
      </c>
      <c r="AJ466" s="47">
        <v>0</v>
      </c>
      <c r="AK466" s="47">
        <v>0</v>
      </c>
      <c r="AL466" s="47">
        <v>0</v>
      </c>
      <c r="AM466" s="47">
        <v>0</v>
      </c>
      <c r="AN466" s="47">
        <v>0</v>
      </c>
      <c r="AO466" s="47">
        <v>0</v>
      </c>
      <c r="AP466" s="47">
        <v>0</v>
      </c>
      <c r="AQ466" s="47">
        <v>0</v>
      </c>
      <c r="AR466" s="47">
        <v>0</v>
      </c>
      <c r="AS466" s="47">
        <v>0</v>
      </c>
      <c r="AT466" s="47">
        <v>0</v>
      </c>
      <c r="AU466" s="47">
        <v>0</v>
      </c>
      <c r="AV466" s="47">
        <v>0</v>
      </c>
      <c r="AW466" s="47">
        <v>0</v>
      </c>
      <c r="AX466" s="47">
        <v>0</v>
      </c>
      <c r="AY466" s="47">
        <v>0</v>
      </c>
      <c r="AZ466" s="47">
        <v>0</v>
      </c>
      <c r="BA466" s="47">
        <v>0</v>
      </c>
      <c r="BB466" s="47">
        <v>0</v>
      </c>
      <c r="BC466" s="47">
        <f>U466</f>
        <v>0</v>
      </c>
      <c r="BD466" s="47">
        <f>IF(W466="By Reg",1,0)</f>
        <v>1</v>
      </c>
    </row>
    <row r="467" spans="1:71">
      <c r="B467" s="101" t="str">
        <f>IF(Main_Parameters!$C$43="TX0 Enable","REMend","WR32")</f>
        <v>WR32</v>
      </c>
      <c r="C467" s="102" t="s">
        <v>2021</v>
      </c>
      <c r="D467" s="515" t="s">
        <v>983</v>
      </c>
      <c r="E467" s="91" t="str">
        <f>Main_Parameters!$C$158</f>
        <v>00000081</v>
      </c>
      <c r="F467" s="92"/>
      <c r="G467"/>
      <c r="H467"/>
      <c r="I467"/>
      <c r="J467"/>
      <c r="K467"/>
      <c r="L467"/>
      <c r="M467"/>
      <c r="N467"/>
      <c r="O467"/>
      <c r="P467"/>
      <c r="Q467"/>
      <c r="R467"/>
      <c r="S467"/>
      <c r="T467"/>
      <c r="U467"/>
      <c r="V467"/>
      <c r="W467"/>
      <c r="X467" s="131"/>
      <c r="Y467" s="131"/>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c r="AY467" s="131"/>
      <c r="AZ467" s="131"/>
      <c r="BA467" s="131"/>
      <c r="BB467" s="131"/>
      <c r="BC467" s="131"/>
      <c r="BD467" s="131"/>
    </row>
    <row r="468" spans="1:71">
      <c r="B468" s="101" t="str">
        <f>IF(Main_Parameters!$C$43="TX0 Enable","REMend","WR32")</f>
        <v>WR32</v>
      </c>
      <c r="C468" s="102" t="s">
        <v>2022</v>
      </c>
      <c r="D468" s="515" t="s">
        <v>984</v>
      </c>
      <c r="E468" s="91" t="str">
        <f>Main_Parameters!$C$159</f>
        <v>00000001</v>
      </c>
      <c r="F468" s="92"/>
      <c r="G468"/>
      <c r="H468"/>
      <c r="I468"/>
      <c r="J468"/>
      <c r="K468"/>
      <c r="L468"/>
      <c r="M468"/>
      <c r="N468"/>
      <c r="O468"/>
      <c r="P468"/>
      <c r="Q468"/>
      <c r="R468"/>
      <c r="S468"/>
      <c r="T468"/>
      <c r="U468"/>
      <c r="V468"/>
      <c r="W468"/>
      <c r="X468" s="131"/>
      <c r="AH468" s="131"/>
    </row>
    <row r="469" spans="1:71">
      <c r="B469" s="101" t="str">
        <f>IF(Main_Parameters!$C$43="TX0 Enable","REMend","WR32")</f>
        <v>WR32</v>
      </c>
      <c r="C469" s="102" t="s">
        <v>2023</v>
      </c>
      <c r="D469" s="515" t="s">
        <v>985</v>
      </c>
      <c r="E469" s="91" t="str">
        <f>Main_Parameters!$C$160</f>
        <v>00000104</v>
      </c>
      <c r="F469" s="92"/>
      <c r="G469"/>
      <c r="H469"/>
      <c r="I469"/>
      <c r="J469"/>
      <c r="K469"/>
      <c r="L469"/>
      <c r="M469"/>
      <c r="N469"/>
      <c r="O469"/>
      <c r="P469"/>
      <c r="Q469"/>
      <c r="R469"/>
      <c r="S469"/>
      <c r="T469"/>
      <c r="U469"/>
      <c r="V469"/>
      <c r="W469"/>
      <c r="X469" s="131"/>
      <c r="AH469" s="131"/>
    </row>
    <row r="470" spans="1:71">
      <c r="B470" s="101" t="str">
        <f>IF(Main_Parameters!$C$43="TX0 Enable","REMend",IF(G470="Disable","REMend","WR32"))</f>
        <v>WR32</v>
      </c>
      <c r="C470" s="102" t="s">
        <v>2024</v>
      </c>
      <c r="D470" s="515" t="s">
        <v>2119</v>
      </c>
      <c r="E470" s="91" t="str">
        <f t="shared" si="42"/>
        <v>00000000</v>
      </c>
      <c r="F470" s="92"/>
      <c r="G470" s="104" t="s">
        <v>721</v>
      </c>
      <c r="H470" s="105"/>
      <c r="I470" s="121"/>
      <c r="J470" s="121"/>
      <c r="K470" s="121"/>
      <c r="L470" s="121"/>
      <c r="M470" s="122"/>
      <c r="N470" s="126" t="s">
        <v>2026</v>
      </c>
      <c r="O470" s="124" t="s">
        <v>2009</v>
      </c>
      <c r="P470" s="106" t="s">
        <v>2027</v>
      </c>
      <c r="Q470" s="113" t="s">
        <v>2009</v>
      </c>
      <c r="R470" s="125" t="s">
        <v>2028</v>
      </c>
      <c r="S470" s="113" t="s">
        <v>2009</v>
      </c>
      <c r="T470" s="112" t="s">
        <v>2029</v>
      </c>
      <c r="U470" s="113" t="s">
        <v>2009</v>
      </c>
      <c r="V470" s="112" t="s">
        <v>2030</v>
      </c>
      <c r="W470" s="104" t="s">
        <v>2009</v>
      </c>
      <c r="X470" s="63"/>
      <c r="Y470" s="47">
        <v>0</v>
      </c>
      <c r="Z470" s="47">
        <v>0</v>
      </c>
      <c r="AA470" s="47">
        <v>0</v>
      </c>
      <c r="AB470" s="47">
        <v>0</v>
      </c>
      <c r="AC470" s="47">
        <v>0</v>
      </c>
      <c r="AD470" s="47">
        <v>0</v>
      </c>
      <c r="AE470" s="47">
        <v>0</v>
      </c>
      <c r="AF470" s="47">
        <v>0</v>
      </c>
      <c r="AG470" s="47">
        <v>0</v>
      </c>
      <c r="AH470" s="47">
        <v>0</v>
      </c>
      <c r="AI470" s="47">
        <v>0</v>
      </c>
      <c r="AJ470" s="47">
        <v>0</v>
      </c>
      <c r="AK470" s="47">
        <v>0</v>
      </c>
      <c r="AL470" s="47">
        <v>0</v>
      </c>
      <c r="AM470" s="47">
        <v>0</v>
      </c>
      <c r="AN470" s="47">
        <v>0</v>
      </c>
      <c r="AO470" s="47">
        <v>0</v>
      </c>
      <c r="AP470" s="47">
        <v>0</v>
      </c>
      <c r="AQ470" s="47">
        <v>0</v>
      </c>
      <c r="AR470" s="47">
        <v>0</v>
      </c>
      <c r="AS470" s="47">
        <v>0</v>
      </c>
      <c r="AT470" s="47">
        <v>0</v>
      </c>
      <c r="AU470" s="47">
        <v>0</v>
      </c>
      <c r="AV470" s="47">
        <v>0</v>
      </c>
      <c r="AW470" s="47">
        <v>0</v>
      </c>
      <c r="AX470" s="47">
        <v>0</v>
      </c>
      <c r="AY470" s="47">
        <v>0</v>
      </c>
      <c r="AZ470" s="47">
        <f>IF(O470="Mask",1,0)</f>
        <v>0</v>
      </c>
      <c r="BA470" s="47">
        <f t="shared" ref="BA470:BA474" si="43">IF(Q470="Mask",1,0)</f>
        <v>0</v>
      </c>
      <c r="BB470" s="47">
        <f t="shared" ref="BB470:BB474" si="44">IF(S470="Mask",1,0)</f>
        <v>0</v>
      </c>
      <c r="BC470" s="47">
        <f t="shared" ref="BC470:BC474" si="45">IF(U470="Mask",1,0)</f>
        <v>0</v>
      </c>
      <c r="BD470" s="47">
        <f t="shared" ref="BD470:BD474" si="46">IF(W470="Mask",1,0)</f>
        <v>0</v>
      </c>
    </row>
    <row r="471" spans="1:71">
      <c r="B471" s="101" t="str">
        <f>IF(Main_Parameters!$C$43="TX0 Enable","REMend",IF(G471="Disable","REMend","WR32"))</f>
        <v>REMend</v>
      </c>
      <c r="C471" s="102" t="s">
        <v>2031</v>
      </c>
      <c r="D471" s="515" t="s">
        <v>2120</v>
      </c>
      <c r="E471" s="91" t="str">
        <f t="shared" si="42"/>
        <v>00000000</v>
      </c>
      <c r="F471" s="92"/>
      <c r="G471" s="104" t="s">
        <v>780</v>
      </c>
      <c r="H471" s="103"/>
      <c r="I471" s="110"/>
      <c r="J471" s="110"/>
      <c r="K471" s="110"/>
      <c r="L471" s="110"/>
      <c r="M471" s="110"/>
      <c r="N471" s="119"/>
      <c r="O471" s="112"/>
      <c r="P471" s="111" t="s">
        <v>2033</v>
      </c>
      <c r="Q471" s="113" t="s">
        <v>2009</v>
      </c>
      <c r="R471" s="111" t="s">
        <v>2034</v>
      </c>
      <c r="S471" s="113" t="s">
        <v>2009</v>
      </c>
      <c r="T471" s="111" t="s">
        <v>2035</v>
      </c>
      <c r="U471" s="113" t="s">
        <v>2009</v>
      </c>
      <c r="V471" s="111" t="s">
        <v>2036</v>
      </c>
      <c r="W471" s="104" t="s">
        <v>2009</v>
      </c>
      <c r="X471" s="63"/>
      <c r="Y471" s="47">
        <v>0</v>
      </c>
      <c r="Z471" s="47">
        <v>0</v>
      </c>
      <c r="AA471" s="47">
        <v>0</v>
      </c>
      <c r="AB471" s="47">
        <v>0</v>
      </c>
      <c r="AC471" s="47">
        <v>0</v>
      </c>
      <c r="AD471" s="47">
        <v>0</v>
      </c>
      <c r="AE471" s="47">
        <v>0</v>
      </c>
      <c r="AF471" s="47">
        <v>0</v>
      </c>
      <c r="AG471" s="47">
        <v>0</v>
      </c>
      <c r="AH471" s="47">
        <v>0</v>
      </c>
      <c r="AI471" s="47">
        <v>0</v>
      </c>
      <c r="AJ471" s="47">
        <v>0</v>
      </c>
      <c r="AK471" s="47">
        <v>0</v>
      </c>
      <c r="AL471" s="47">
        <v>0</v>
      </c>
      <c r="AM471" s="47">
        <v>0</v>
      </c>
      <c r="AN471" s="47">
        <v>0</v>
      </c>
      <c r="AO471" s="47">
        <v>0</v>
      </c>
      <c r="AP471" s="47">
        <v>0</v>
      </c>
      <c r="AQ471" s="47">
        <v>0</v>
      </c>
      <c r="AR471" s="47">
        <v>0</v>
      </c>
      <c r="AS471" s="47">
        <v>0</v>
      </c>
      <c r="AT471" s="47">
        <v>0</v>
      </c>
      <c r="AU471" s="47">
        <v>0</v>
      </c>
      <c r="AV471" s="47">
        <v>0</v>
      </c>
      <c r="AW471" s="47">
        <v>0</v>
      </c>
      <c r="AX471" s="47">
        <v>0</v>
      </c>
      <c r="AY471" s="47">
        <v>0</v>
      </c>
      <c r="AZ471" s="47">
        <v>0</v>
      </c>
      <c r="BA471" s="47">
        <f t="shared" si="43"/>
        <v>0</v>
      </c>
      <c r="BB471" s="47">
        <f t="shared" si="44"/>
        <v>0</v>
      </c>
      <c r="BC471" s="47">
        <f t="shared" si="45"/>
        <v>0</v>
      </c>
      <c r="BD471" s="47">
        <f t="shared" si="46"/>
        <v>0</v>
      </c>
    </row>
    <row r="472" spans="1:71" ht="15">
      <c r="B472" s="101" t="str">
        <f>IF(Main_Parameters!$C$43="TX0 Enable","REMend",IF(G472="Disable","REMend","WR32"))</f>
        <v>WR32</v>
      </c>
      <c r="C472" s="102" t="s">
        <v>2037</v>
      </c>
      <c r="D472" s="515" t="s">
        <v>2121</v>
      </c>
      <c r="E472" s="91" t="str">
        <f>DEC2HEX(HEX2DEC(K472),8)</f>
        <v>00000015</v>
      </c>
      <c r="F472" s="92"/>
      <c r="G472" s="104" t="s">
        <v>721</v>
      </c>
      <c r="H472" s="597" t="s">
        <v>2039</v>
      </c>
      <c r="I472" s="598"/>
      <c r="J472" s="599"/>
      <c r="K472" s="516" t="s">
        <v>2040</v>
      </c>
      <c r="L472" s="120" t="str">
        <f>IF(HEX2DEC(K472)&lt;0,"NG",IF(HEX2DEC(K472)&gt;31,"NG","OK"))</f>
        <v>OK</v>
      </c>
      <c r="M472" s="103"/>
      <c r="N472" s="110"/>
      <c r="O472" s="110"/>
      <c r="P472" s="110"/>
      <c r="Q472" s="110"/>
      <c r="R472" s="110"/>
      <c r="S472" s="110"/>
      <c r="T472" s="110"/>
      <c r="U472" s="110"/>
      <c r="V472" s="110"/>
      <c r="W472" s="111"/>
      <c r="X472" s="131"/>
      <c r="AH472" s="131"/>
    </row>
    <row r="473" spans="1:71" s="64" customFormat="1">
      <c r="A473" s="65"/>
      <c r="B473" s="101" t="str">
        <f>IF(Main_Parameters!$C$43="TX0 Enable","REMend",IF(G473="Disable","REMend","WR32"))</f>
        <v>REMend</v>
      </c>
      <c r="C473" s="102" t="s">
        <v>2041</v>
      </c>
      <c r="D473" s="515" t="s">
        <v>2122</v>
      </c>
      <c r="E473" s="91" t="str">
        <f t="shared" ref="E473:E477" si="47">DEC2HEX(Y473*2^31+Z473*2^30+AA473*2^29+AB473*2^28+AC473*2^27+AD473*2^26+AE473*2^25+AF473*2^24+AG473*2^23+AH473*2^22+AI473*2^21+AJ473*2^20+AK473*2^19+AL473*2^18+AM473*2^17+AN473*2^16+AO473*2^15+AP473*2^14+AQ473*2^13+AR473*2^12+AS473*2^11+AT473*2^10+AU473*2^9+AV473*2^8+AW473*2^7+AX473*2^6+AY473*2^5+AZ473*2^4+BA473*2^3+BB473*2^2+BC473*2^1+BD473*2^0,8)</f>
        <v>00000000</v>
      </c>
      <c r="F473" s="92"/>
      <c r="G473" s="104" t="s">
        <v>780</v>
      </c>
      <c r="H473" s="103"/>
      <c r="I473" s="110"/>
      <c r="J473" s="110"/>
      <c r="K473" s="110"/>
      <c r="L473" s="110"/>
      <c r="M473" s="110"/>
      <c r="N473" s="119"/>
      <c r="O473" s="112"/>
      <c r="P473" s="111" t="s">
        <v>2043</v>
      </c>
      <c r="Q473" s="113" t="s">
        <v>2009</v>
      </c>
      <c r="R473" s="103"/>
      <c r="S473" s="111"/>
      <c r="T473" s="111" t="s">
        <v>2044</v>
      </c>
      <c r="U473" s="113" t="s">
        <v>2009</v>
      </c>
      <c r="V473" s="103"/>
      <c r="W473" s="111"/>
      <c r="X473" s="63"/>
      <c r="Y473" s="47">
        <v>0</v>
      </c>
      <c r="Z473" s="47">
        <v>0</v>
      </c>
      <c r="AA473" s="47">
        <v>0</v>
      </c>
      <c r="AB473" s="47">
        <v>0</v>
      </c>
      <c r="AC473" s="47">
        <v>0</v>
      </c>
      <c r="AD473" s="47">
        <v>0</v>
      </c>
      <c r="AE473" s="47">
        <v>0</v>
      </c>
      <c r="AF473" s="47">
        <v>0</v>
      </c>
      <c r="AG473" s="47">
        <v>0</v>
      </c>
      <c r="AH473" s="47">
        <v>0</v>
      </c>
      <c r="AI473" s="47">
        <v>0</v>
      </c>
      <c r="AJ473" s="47">
        <v>0</v>
      </c>
      <c r="AK473" s="47">
        <v>0</v>
      </c>
      <c r="AL473" s="47">
        <v>0</v>
      </c>
      <c r="AM473" s="47">
        <v>0</v>
      </c>
      <c r="AN473" s="47">
        <v>0</v>
      </c>
      <c r="AO473" s="47">
        <v>0</v>
      </c>
      <c r="AP473" s="47">
        <v>0</v>
      </c>
      <c r="AQ473" s="47">
        <v>0</v>
      </c>
      <c r="AR473" s="47">
        <v>0</v>
      </c>
      <c r="AS473" s="47">
        <v>0</v>
      </c>
      <c r="AT473" s="47">
        <v>0</v>
      </c>
      <c r="AU473" s="47">
        <v>0</v>
      </c>
      <c r="AV473" s="47">
        <v>0</v>
      </c>
      <c r="AW473" s="47">
        <v>0</v>
      </c>
      <c r="AX473" s="47">
        <v>0</v>
      </c>
      <c r="AY473" s="47">
        <v>0</v>
      </c>
      <c r="AZ473" s="47">
        <v>0</v>
      </c>
      <c r="BA473" s="47">
        <f t="shared" si="43"/>
        <v>0</v>
      </c>
      <c r="BB473" s="47">
        <v>0</v>
      </c>
      <c r="BC473" s="47">
        <f t="shared" si="45"/>
        <v>0</v>
      </c>
      <c r="BD473" s="47">
        <v>0</v>
      </c>
      <c r="BF473" s="65"/>
      <c r="BG473" s="65"/>
      <c r="BH473" s="65"/>
      <c r="BI473" s="65"/>
      <c r="BJ473" s="65"/>
      <c r="BK473" s="65"/>
      <c r="BL473" s="65"/>
      <c r="BM473" s="65"/>
      <c r="BN473" s="65"/>
      <c r="BO473" s="65"/>
      <c r="BP473" s="65"/>
      <c r="BQ473" s="65"/>
      <c r="BR473" s="65"/>
      <c r="BS473" s="65"/>
    </row>
    <row r="474" spans="1:71" s="64" customFormat="1" ht="15" customHeight="1">
      <c r="A474" s="65"/>
      <c r="B474" s="101" t="str">
        <f>IF(Main_Parameters!$C$43="TX0 Enable","REMend",IF(G474="Disable","REMend","WR32"))</f>
        <v>WR32</v>
      </c>
      <c r="C474" s="102" t="s">
        <v>2045</v>
      </c>
      <c r="D474" s="515" t="s">
        <v>2123</v>
      </c>
      <c r="E474" s="91" t="str">
        <f t="shared" si="47"/>
        <v>00000000</v>
      </c>
      <c r="F474" s="92"/>
      <c r="G474" s="104" t="s">
        <v>721</v>
      </c>
      <c r="H474" s="106" t="s">
        <v>2047</v>
      </c>
      <c r="I474" s="104" t="s">
        <v>2009</v>
      </c>
      <c r="J474" s="106" t="s">
        <v>2048</v>
      </c>
      <c r="K474" s="104" t="s">
        <v>2009</v>
      </c>
      <c r="L474" s="106" t="s">
        <v>2049</v>
      </c>
      <c r="M474" s="104" t="s">
        <v>2009</v>
      </c>
      <c r="N474" s="106" t="s">
        <v>2050</v>
      </c>
      <c r="O474" s="104" t="s">
        <v>2009</v>
      </c>
      <c r="P474" s="106" t="s">
        <v>2051</v>
      </c>
      <c r="Q474" s="104" t="s">
        <v>2009</v>
      </c>
      <c r="R474" s="106" t="s">
        <v>2052</v>
      </c>
      <c r="S474" s="104" t="s">
        <v>2009</v>
      </c>
      <c r="T474" s="106" t="s">
        <v>2053</v>
      </c>
      <c r="U474" s="127" t="s">
        <v>2009</v>
      </c>
      <c r="V474" s="139" t="s">
        <v>2054</v>
      </c>
      <c r="W474" s="127" t="s">
        <v>2009</v>
      </c>
      <c r="X474" s="131"/>
      <c r="Y474" s="47">
        <v>0</v>
      </c>
      <c r="Z474" s="47">
        <v>0</v>
      </c>
      <c r="AA474" s="47">
        <v>0</v>
      </c>
      <c r="AB474" s="47">
        <v>0</v>
      </c>
      <c r="AC474" s="47">
        <v>0</v>
      </c>
      <c r="AD474" s="47">
        <v>0</v>
      </c>
      <c r="AE474" s="47">
        <v>0</v>
      </c>
      <c r="AF474" s="47">
        <v>0</v>
      </c>
      <c r="AG474" s="47">
        <v>0</v>
      </c>
      <c r="AH474" s="47">
        <v>0</v>
      </c>
      <c r="AI474" s="47">
        <v>0</v>
      </c>
      <c r="AJ474" s="47">
        <v>0</v>
      </c>
      <c r="AK474" s="47">
        <v>0</v>
      </c>
      <c r="AL474" s="47">
        <v>0</v>
      </c>
      <c r="AM474" s="47">
        <v>0</v>
      </c>
      <c r="AN474" s="47">
        <v>0</v>
      </c>
      <c r="AO474" s="47">
        <v>0</v>
      </c>
      <c r="AP474" s="47">
        <v>0</v>
      </c>
      <c r="AQ474" s="47">
        <v>0</v>
      </c>
      <c r="AR474" s="47">
        <v>0</v>
      </c>
      <c r="AS474" s="47">
        <v>0</v>
      </c>
      <c r="AT474" s="47">
        <v>0</v>
      </c>
      <c r="AU474" s="47">
        <f>IF(I474="Mask",1,0)</f>
        <v>0</v>
      </c>
      <c r="AV474" s="47">
        <f t="shared" ref="AV474:AZ474" si="48">IF(K474="Mask",1,0)</f>
        <v>0</v>
      </c>
      <c r="AW474" s="47">
        <v>0</v>
      </c>
      <c r="AX474" s="47">
        <f t="shared" si="48"/>
        <v>0</v>
      </c>
      <c r="AY474" s="47">
        <v>0</v>
      </c>
      <c r="AZ474" s="47">
        <f t="shared" si="48"/>
        <v>0</v>
      </c>
      <c r="BA474" s="47">
        <f t="shared" si="43"/>
        <v>0</v>
      </c>
      <c r="BB474" s="47">
        <f t="shared" si="44"/>
        <v>0</v>
      </c>
      <c r="BC474" s="47">
        <f t="shared" si="45"/>
        <v>0</v>
      </c>
      <c r="BD474" s="47">
        <f t="shared" si="46"/>
        <v>0</v>
      </c>
      <c r="BF474" s="65"/>
      <c r="BG474" s="65"/>
      <c r="BH474" s="65"/>
      <c r="BI474" s="65"/>
      <c r="BJ474" s="65"/>
      <c r="BK474" s="65"/>
      <c r="BL474" s="65"/>
      <c r="BM474" s="65"/>
      <c r="BN474" s="65"/>
      <c r="BO474" s="65"/>
      <c r="BP474" s="65"/>
      <c r="BQ474" s="65"/>
      <c r="BR474" s="65"/>
      <c r="BS474" s="65"/>
    </row>
    <row r="475" spans="1:71" s="64" customFormat="1">
      <c r="A475" s="65"/>
      <c r="B475" s="101" t="str">
        <f>IF(Main_Parameters!$C$43="TX0 Enable","REMend",IF(G475="Disable","REMend","WR32"))</f>
        <v>WR32</v>
      </c>
      <c r="C475" s="102" t="s">
        <v>2055</v>
      </c>
      <c r="D475" s="515" t="s">
        <v>2124</v>
      </c>
      <c r="E475" s="91" t="str">
        <f t="shared" si="47"/>
        <v>00000080</v>
      </c>
      <c r="F475" s="92"/>
      <c r="G475" s="104" t="s">
        <v>721</v>
      </c>
      <c r="H475" s="595" t="s">
        <v>2057</v>
      </c>
      <c r="I475" s="596"/>
      <c r="J475" s="127" t="s">
        <v>2009</v>
      </c>
      <c r="K475" s="127" t="s">
        <v>2009</v>
      </c>
      <c r="L475" s="104" t="s">
        <v>2009</v>
      </c>
      <c r="M475" s="104" t="s">
        <v>2009</v>
      </c>
      <c r="N475" s="104" t="s">
        <v>2009</v>
      </c>
      <c r="O475" s="104" t="s">
        <v>2009</v>
      </c>
      <c r="P475" s="128" t="s">
        <v>2006</v>
      </c>
      <c r="Q475" s="127" t="s">
        <v>2009</v>
      </c>
      <c r="R475" s="139"/>
      <c r="S475" s="127" t="s">
        <v>2009</v>
      </c>
      <c r="T475" s="124" t="s">
        <v>2009</v>
      </c>
      <c r="U475" s="140"/>
      <c r="V475" s="119"/>
      <c r="W475" s="112"/>
      <c r="X475" s="131"/>
      <c r="Y475" s="47">
        <v>0</v>
      </c>
      <c r="Z475" s="47">
        <v>0</v>
      </c>
      <c r="AA475" s="47">
        <v>0</v>
      </c>
      <c r="AB475" s="47">
        <v>0</v>
      </c>
      <c r="AC475" s="47">
        <v>0</v>
      </c>
      <c r="AD475" s="47">
        <v>0</v>
      </c>
      <c r="AE475" s="47">
        <v>0</v>
      </c>
      <c r="AF475" s="47">
        <v>0</v>
      </c>
      <c r="AG475" s="47">
        <v>0</v>
      </c>
      <c r="AH475" s="47">
        <v>0</v>
      </c>
      <c r="AI475" s="47">
        <v>0</v>
      </c>
      <c r="AJ475" s="47">
        <v>0</v>
      </c>
      <c r="AK475" s="47">
        <v>0</v>
      </c>
      <c r="AL475" s="47">
        <v>0</v>
      </c>
      <c r="AM475" s="47">
        <v>0</v>
      </c>
      <c r="AN475" s="47">
        <v>0</v>
      </c>
      <c r="AO475" s="47">
        <v>0</v>
      </c>
      <c r="AP475" s="47">
        <v>0</v>
      </c>
      <c r="AQ475" s="47">
        <f t="shared" ref="AQ475" si="49">IF(J475="Mask",1,0)</f>
        <v>0</v>
      </c>
      <c r="AR475" s="47">
        <f t="shared" ref="AR475" si="50">IF(K475="Mask",1,0)</f>
        <v>0</v>
      </c>
      <c r="AS475" s="47">
        <f t="shared" ref="AS475" si="51">IF(L475="Mask",1,0)</f>
        <v>0</v>
      </c>
      <c r="AT475" s="47">
        <f t="shared" ref="AT475" si="52">IF(M475="Mask",1,0)</f>
        <v>0</v>
      </c>
      <c r="AU475" s="47">
        <f t="shared" ref="AU475" si="53">IF(N475="Mask",1,0)</f>
        <v>0</v>
      </c>
      <c r="AV475" s="47">
        <f t="shared" ref="AV475:AV476" si="54">IF(O475="Mask",1,0)</f>
        <v>0</v>
      </c>
      <c r="AW475" s="47">
        <f t="shared" ref="AW475" si="55">IF(P475="Mask",1,0)</f>
        <v>1</v>
      </c>
      <c r="AX475" s="47">
        <f t="shared" ref="AX475" si="56">IF(Q475="Mask",1,0)</f>
        <v>0</v>
      </c>
      <c r="AY475" s="47">
        <v>0</v>
      </c>
      <c r="AZ475" s="47">
        <f>IF(S475="Mask",1,0)</f>
        <v>0</v>
      </c>
      <c r="BA475" s="47">
        <f>IF(T475="Mask",1,0)</f>
        <v>0</v>
      </c>
      <c r="BB475" s="47">
        <v>0</v>
      </c>
      <c r="BC475" s="47">
        <v>0</v>
      </c>
      <c r="BD475" s="47">
        <v>0</v>
      </c>
      <c r="BF475" s="65"/>
      <c r="BG475" s="65"/>
      <c r="BH475" s="65"/>
      <c r="BI475" s="65"/>
      <c r="BJ475" s="65"/>
      <c r="BK475" s="65"/>
      <c r="BL475" s="65"/>
      <c r="BM475" s="65"/>
      <c r="BN475" s="65"/>
      <c r="BO475" s="65"/>
      <c r="BP475" s="65"/>
      <c r="BQ475" s="65"/>
      <c r="BR475" s="65"/>
      <c r="BS475" s="65"/>
    </row>
    <row r="476" spans="1:71" s="64" customFormat="1">
      <c r="A476" s="65"/>
      <c r="B476" s="101" t="str">
        <f>IF(Main_Parameters!$C$43="TX0 Enable","REMend",IF(G476="Disable","REMend","WR32"))</f>
        <v>WR32</v>
      </c>
      <c r="C476" s="102" t="s">
        <v>2058</v>
      </c>
      <c r="D476" s="515" t="s">
        <v>2125</v>
      </c>
      <c r="E476" s="91" t="str">
        <f t="shared" si="47"/>
        <v>00000000</v>
      </c>
      <c r="F476" s="92"/>
      <c r="G476" s="104" t="s">
        <v>721</v>
      </c>
      <c r="H476" s="107"/>
      <c r="I476" s="119"/>
      <c r="J476" s="119"/>
      <c r="K476" s="112"/>
      <c r="L476" s="112" t="s">
        <v>2060</v>
      </c>
      <c r="M476" s="104" t="s">
        <v>2009</v>
      </c>
      <c r="N476" s="106" t="s">
        <v>2061</v>
      </c>
      <c r="O476" s="113" t="s">
        <v>2009</v>
      </c>
      <c r="P476" s="107"/>
      <c r="Q476" s="119"/>
      <c r="R476" s="119"/>
      <c r="S476" s="119"/>
      <c r="T476" s="119"/>
      <c r="U476" s="112"/>
      <c r="V476" s="106" t="s">
        <v>2062</v>
      </c>
      <c r="W476" s="104" t="s">
        <v>2009</v>
      </c>
      <c r="X476" s="131"/>
      <c r="Y476" s="47">
        <v>0</v>
      </c>
      <c r="Z476" s="47">
        <v>0</v>
      </c>
      <c r="AA476" s="47">
        <v>0</v>
      </c>
      <c r="AB476" s="47">
        <v>0</v>
      </c>
      <c r="AC476" s="47">
        <v>0</v>
      </c>
      <c r="AD476" s="47">
        <v>0</v>
      </c>
      <c r="AE476" s="47">
        <v>0</v>
      </c>
      <c r="AF476" s="47">
        <v>0</v>
      </c>
      <c r="AG476" s="47">
        <v>0</v>
      </c>
      <c r="AH476" s="47">
        <v>0</v>
      </c>
      <c r="AI476" s="47">
        <v>0</v>
      </c>
      <c r="AJ476" s="47">
        <v>0</v>
      </c>
      <c r="AK476" s="47">
        <v>0</v>
      </c>
      <c r="AL476" s="47">
        <v>0</v>
      </c>
      <c r="AM476" s="47">
        <v>0</v>
      </c>
      <c r="AN476" s="47">
        <v>0</v>
      </c>
      <c r="AO476" s="47">
        <v>0</v>
      </c>
      <c r="AP476" s="47">
        <v>0</v>
      </c>
      <c r="AQ476" s="47">
        <v>0</v>
      </c>
      <c r="AR476" s="47">
        <v>0</v>
      </c>
      <c r="AS476" s="47">
        <v>0</v>
      </c>
      <c r="AT476" s="47">
        <v>0</v>
      </c>
      <c r="AU476" s="47">
        <f>IF(M476="Mask",1,0)</f>
        <v>0</v>
      </c>
      <c r="AV476" s="47">
        <f t="shared" si="54"/>
        <v>0</v>
      </c>
      <c r="AW476" s="47">
        <v>0</v>
      </c>
      <c r="AX476" s="47">
        <v>0</v>
      </c>
      <c r="AY476" s="47">
        <v>0</v>
      </c>
      <c r="AZ476" s="47">
        <v>0</v>
      </c>
      <c r="BA476" s="47">
        <v>0</v>
      </c>
      <c r="BB476" s="47">
        <v>0</v>
      </c>
      <c r="BC476" s="47">
        <v>0</v>
      </c>
      <c r="BD476" s="47">
        <f>IF(W476="Mask",1,0)</f>
        <v>0</v>
      </c>
      <c r="BF476" s="65"/>
      <c r="BG476" s="65"/>
      <c r="BH476" s="65"/>
      <c r="BI476" s="65"/>
      <c r="BJ476" s="65"/>
      <c r="BK476" s="65"/>
      <c r="BL476" s="65"/>
      <c r="BM476" s="65"/>
      <c r="BN476" s="65"/>
      <c r="BO476" s="65"/>
      <c r="BP476" s="65"/>
      <c r="BQ476" s="65"/>
      <c r="BR476" s="65"/>
      <c r="BS476" s="65"/>
    </row>
    <row r="477" spans="1:71" s="64" customFormat="1">
      <c r="A477" s="65"/>
      <c r="B477" s="101" t="str">
        <f>IF(Main_Parameters!$C$43="TX0 Enable","REMend",IF(G477="Disable","REMend","WR32"))</f>
        <v>REMend</v>
      </c>
      <c r="C477" s="94" t="s">
        <v>2063</v>
      </c>
      <c r="D477" s="513" t="s">
        <v>2126</v>
      </c>
      <c r="E477" s="91" t="str">
        <f t="shared" si="47"/>
        <v>00000000</v>
      </c>
      <c r="F477" s="97"/>
      <c r="G477" s="104" t="s">
        <v>780</v>
      </c>
      <c r="H477" s="107"/>
      <c r="I477" s="119"/>
      <c r="J477" s="119"/>
      <c r="K477" s="119"/>
      <c r="L477" s="119"/>
      <c r="M477" s="112"/>
      <c r="N477" s="129" t="s">
        <v>2065</v>
      </c>
      <c r="O477" s="104">
        <v>0</v>
      </c>
      <c r="P477" s="129" t="s">
        <v>2066</v>
      </c>
      <c r="Q477" s="104">
        <v>0</v>
      </c>
      <c r="R477" s="129" t="s">
        <v>2067</v>
      </c>
      <c r="S477" s="104">
        <v>0</v>
      </c>
      <c r="T477" s="129" t="s">
        <v>2068</v>
      </c>
      <c r="U477" s="104">
        <v>0</v>
      </c>
      <c r="V477" s="129" t="s">
        <v>2069</v>
      </c>
      <c r="W477" s="104">
        <v>0</v>
      </c>
      <c r="X477" s="131"/>
      <c r="Y477" s="47">
        <v>0</v>
      </c>
      <c r="Z477" s="47">
        <v>0</v>
      </c>
      <c r="AA477" s="47">
        <v>0</v>
      </c>
      <c r="AB477" s="47">
        <v>0</v>
      </c>
      <c r="AC477" s="47">
        <v>0</v>
      </c>
      <c r="AD477" s="47">
        <v>0</v>
      </c>
      <c r="AE477" s="47">
        <v>0</v>
      </c>
      <c r="AF477" s="47">
        <v>0</v>
      </c>
      <c r="AG477" s="47">
        <v>0</v>
      </c>
      <c r="AH477" s="47">
        <v>0</v>
      </c>
      <c r="AI477" s="47">
        <v>0</v>
      </c>
      <c r="AJ477" s="47">
        <v>0</v>
      </c>
      <c r="AK477" s="47">
        <v>0</v>
      </c>
      <c r="AL477" s="47">
        <v>0</v>
      </c>
      <c r="AM477" s="47">
        <v>0</v>
      </c>
      <c r="AN477" s="47">
        <f>O477</f>
        <v>0</v>
      </c>
      <c r="AO477" s="47">
        <v>0</v>
      </c>
      <c r="AP477" s="47">
        <v>0</v>
      </c>
      <c r="AQ477" s="47">
        <v>0</v>
      </c>
      <c r="AR477" s="47">
        <f>Q477</f>
        <v>0</v>
      </c>
      <c r="AS477" s="47">
        <v>0</v>
      </c>
      <c r="AT477" s="47">
        <v>0</v>
      </c>
      <c r="AU477" s="47">
        <v>0</v>
      </c>
      <c r="AV477" s="47">
        <f>S477</f>
        <v>0</v>
      </c>
      <c r="AW477" s="47">
        <v>0</v>
      </c>
      <c r="AX477" s="47">
        <v>0</v>
      </c>
      <c r="AY477" s="47">
        <v>0</v>
      </c>
      <c r="AZ477" s="47">
        <f>U477</f>
        <v>0</v>
      </c>
      <c r="BA477" s="47">
        <v>0</v>
      </c>
      <c r="BB477" s="47">
        <v>0</v>
      </c>
      <c r="BC477" s="47">
        <v>0</v>
      </c>
      <c r="BD477" s="47">
        <f>W477</f>
        <v>0</v>
      </c>
      <c r="BF477" s="65"/>
      <c r="BG477" s="65"/>
      <c r="BH477" s="65"/>
      <c r="BI477" s="65"/>
      <c r="BJ477" s="65"/>
      <c r="BK477" s="65"/>
      <c r="BL477" s="65"/>
      <c r="BM477" s="65"/>
      <c r="BN477" s="65"/>
      <c r="BO477" s="65"/>
      <c r="BP477" s="65"/>
      <c r="BQ477" s="65"/>
      <c r="BR477" s="65"/>
      <c r="BS477" s="65"/>
    </row>
    <row r="478" spans="1:71" s="64" customFormat="1">
      <c r="A478" s="65"/>
      <c r="B478" s="101" t="str">
        <f>IF(Main_Parameters!$C$43="TX0 Enable","REMend","WR32")</f>
        <v>WR32</v>
      </c>
      <c r="C478" s="94" t="s">
        <v>871</v>
      </c>
      <c r="D478" s="513" t="s">
        <v>986</v>
      </c>
      <c r="E478" s="91" t="str">
        <f>Main_Parameters!$C$162</f>
        <v>00000006</v>
      </c>
      <c r="F478" s="97"/>
      <c r="G478"/>
      <c r="H478"/>
      <c r="I478"/>
      <c r="J478"/>
      <c r="K478"/>
      <c r="L478"/>
      <c r="M478"/>
      <c r="N478"/>
      <c r="O478"/>
      <c r="P478"/>
      <c r="Q478"/>
      <c r="R478"/>
      <c r="S478"/>
      <c r="T478"/>
      <c r="U478"/>
      <c r="V478"/>
      <c r="W478"/>
      <c r="X478" s="131"/>
      <c r="AH478" s="131"/>
      <c r="BF478" s="65"/>
      <c r="BG478" s="65"/>
      <c r="BH478" s="65"/>
      <c r="BI478" s="65"/>
      <c r="BJ478" s="65"/>
      <c r="BK478" s="65"/>
      <c r="BL478" s="65"/>
      <c r="BM478" s="65"/>
      <c r="BN478" s="65"/>
      <c r="BO478" s="65"/>
      <c r="BP478" s="65"/>
      <c r="BQ478" s="65"/>
      <c r="BR478" s="65"/>
      <c r="BS478" s="65"/>
    </row>
    <row r="479" spans="1:71" s="64" customFormat="1">
      <c r="A479" s="65"/>
      <c r="B479" s="101" t="str">
        <f>IF(Main_Parameters!$C$43="TX0 Enable","REMend","WR32")</f>
        <v>WR32</v>
      </c>
      <c r="C479" s="94" t="s">
        <v>878</v>
      </c>
      <c r="D479" s="513" t="s">
        <v>987</v>
      </c>
      <c r="E479" s="91" t="str">
        <f>Main_Parameters!$C$163</f>
        <v>00240204</v>
      </c>
      <c r="F479" s="97"/>
      <c r="G479"/>
      <c r="H479"/>
      <c r="I479"/>
      <c r="J479"/>
      <c r="K479"/>
      <c r="L479"/>
      <c r="M479"/>
      <c r="N479"/>
      <c r="O479"/>
      <c r="P479"/>
      <c r="Q479"/>
      <c r="R479"/>
      <c r="S479"/>
      <c r="T479"/>
      <c r="U479"/>
      <c r="V479"/>
      <c r="W479"/>
      <c r="X479" s="131"/>
      <c r="AH479" s="131"/>
      <c r="BF479" s="65"/>
      <c r="BG479" s="65"/>
      <c r="BH479" s="65"/>
      <c r="BI479" s="65"/>
      <c r="BJ479" s="65"/>
      <c r="BK479" s="65"/>
      <c r="BL479" s="65"/>
      <c r="BM479" s="65"/>
      <c r="BN479" s="65"/>
      <c r="BO479" s="65"/>
      <c r="BP479" s="65"/>
      <c r="BQ479" s="65"/>
      <c r="BR479" s="65"/>
      <c r="BS479" s="65"/>
    </row>
    <row r="480" spans="1:71" s="64" customFormat="1">
      <c r="A480" s="65"/>
      <c r="B480" s="101" t="str">
        <f>IF(Main_Parameters!$C$43="TX0 Enable","REMend","WR32")</f>
        <v>WR32</v>
      </c>
      <c r="C480" s="94" t="s">
        <v>2070</v>
      </c>
      <c r="D480" s="513" t="s">
        <v>988</v>
      </c>
      <c r="E480" s="91" t="str">
        <f>Main_Parameters!$C$164</f>
        <v>000D0008</v>
      </c>
      <c r="F480" s="97"/>
      <c r="G480"/>
      <c r="H480"/>
      <c r="I480"/>
      <c r="J480"/>
      <c r="K480"/>
      <c r="L480"/>
      <c r="M480"/>
      <c r="N480"/>
      <c r="O480"/>
      <c r="P480"/>
      <c r="Q480"/>
      <c r="R480"/>
      <c r="S480"/>
      <c r="T480"/>
      <c r="U480"/>
      <c r="V480"/>
      <c r="W480"/>
      <c r="X480" s="131"/>
      <c r="AH480" s="131"/>
      <c r="BF480" s="65"/>
      <c r="BG480" s="65"/>
      <c r="BH480" s="65"/>
      <c r="BI480" s="65"/>
      <c r="BJ480" s="65"/>
      <c r="BK480" s="65"/>
      <c r="BL480" s="65"/>
      <c r="BM480" s="65"/>
      <c r="BN480" s="65"/>
      <c r="BO480" s="65"/>
      <c r="BP480" s="65"/>
      <c r="BQ480" s="65"/>
      <c r="BR480" s="65"/>
      <c r="BS480" s="65"/>
    </row>
    <row r="481" spans="1:71" s="64" customFormat="1">
      <c r="A481" s="65"/>
      <c r="B481" s="101" t="str">
        <f>IF(Main_Parameters!$C$43="TX0 Enable","REMend","WR32")</f>
        <v>WR32</v>
      </c>
      <c r="C481" s="94" t="s">
        <v>899</v>
      </c>
      <c r="D481" s="513" t="s">
        <v>989</v>
      </c>
      <c r="E481" s="91" t="str">
        <f>Main_Parameters!$C$165</f>
        <v>00140006</v>
      </c>
      <c r="F481" s="97"/>
      <c r="G481"/>
      <c r="H481"/>
      <c r="I481"/>
      <c r="J481"/>
      <c r="K481"/>
      <c r="L481"/>
      <c r="M481"/>
      <c r="N481"/>
      <c r="O481"/>
      <c r="P481"/>
      <c r="Q481"/>
      <c r="R481"/>
      <c r="S481"/>
      <c r="T481"/>
      <c r="U481"/>
      <c r="V481"/>
      <c r="W481"/>
      <c r="X481" s="131"/>
      <c r="AH481" s="131"/>
      <c r="BF481" s="65"/>
      <c r="BG481" s="65"/>
      <c r="BH481" s="65"/>
      <c r="BI481" s="65"/>
      <c r="BJ481" s="65"/>
      <c r="BK481" s="65"/>
      <c r="BL481" s="65"/>
      <c r="BM481" s="65"/>
      <c r="BN481" s="65"/>
      <c r="BO481" s="65"/>
      <c r="BP481" s="65"/>
      <c r="BQ481" s="65"/>
      <c r="BR481" s="65"/>
      <c r="BS481" s="65"/>
    </row>
    <row r="482" spans="1:71" s="64" customFormat="1">
      <c r="A482" s="65"/>
      <c r="B482" s="101" t="str">
        <f>IF(Main_Parameters!$C$43="TX0 Enable","REMend","WR32")</f>
        <v>WR32</v>
      </c>
      <c r="C482" s="94" t="s">
        <v>907</v>
      </c>
      <c r="D482" s="513" t="s">
        <v>990</v>
      </c>
      <c r="E482" s="91" t="str">
        <f>Main_Parameters!$C$166</f>
        <v>00004268</v>
      </c>
      <c r="F482" s="97"/>
      <c r="G482"/>
      <c r="H482"/>
      <c r="I482"/>
      <c r="J482"/>
      <c r="K482"/>
      <c r="L482"/>
      <c r="M482"/>
      <c r="N482"/>
      <c r="O482"/>
      <c r="P482"/>
      <c r="Q482"/>
      <c r="R482"/>
      <c r="S482"/>
      <c r="T482"/>
      <c r="U482"/>
      <c r="V482"/>
      <c r="W482"/>
      <c r="X482" s="131"/>
      <c r="AH482" s="131"/>
      <c r="BF482" s="65"/>
      <c r="BG482" s="65"/>
      <c r="BH482" s="65"/>
      <c r="BI482" s="65"/>
      <c r="BJ482" s="65"/>
      <c r="BK482" s="65"/>
      <c r="BL482" s="65"/>
      <c r="BM482" s="65"/>
      <c r="BN482" s="65"/>
      <c r="BO482" s="65"/>
      <c r="BP482" s="65"/>
      <c r="BQ482" s="65"/>
      <c r="BR482" s="65"/>
      <c r="BS482" s="65"/>
    </row>
    <row r="483" spans="1:71" s="64" customFormat="1">
      <c r="A483" s="65"/>
      <c r="B483" s="101" t="str">
        <f>IF(Main_Parameters!$C$43="TX0 Enable","REMend","WR32")</f>
        <v>WR32</v>
      </c>
      <c r="C483" s="94" t="s">
        <v>2071</v>
      </c>
      <c r="D483" s="513" t="s">
        <v>991</v>
      </c>
      <c r="E483" s="91" t="str">
        <f>Main_Parameters!$C$167</f>
        <v>0000000F</v>
      </c>
      <c r="F483" s="97"/>
      <c r="G483"/>
      <c r="H483"/>
      <c r="I483"/>
      <c r="J483"/>
      <c r="K483"/>
      <c r="L483"/>
      <c r="M483"/>
      <c r="N483"/>
      <c r="O483"/>
      <c r="P483"/>
      <c r="Q483"/>
      <c r="R483"/>
      <c r="S483"/>
      <c r="T483"/>
      <c r="U483"/>
      <c r="V483"/>
      <c r="W483"/>
      <c r="X483" s="131"/>
      <c r="AH483" s="131"/>
      <c r="BF483" s="65"/>
      <c r="BG483" s="65"/>
      <c r="BH483" s="65"/>
      <c r="BI483" s="65"/>
      <c r="BJ483" s="65"/>
      <c r="BK483" s="65"/>
      <c r="BL483" s="65"/>
      <c r="BM483" s="65"/>
      <c r="BN483" s="65"/>
      <c r="BO483" s="65"/>
      <c r="BP483" s="65"/>
      <c r="BQ483" s="65"/>
      <c r="BR483" s="65"/>
      <c r="BS483" s="65"/>
    </row>
    <row r="484" spans="1:71" s="64" customFormat="1">
      <c r="A484" s="65"/>
      <c r="B484" s="101" t="str">
        <f>IF(Main_Parameters!$C$43="TX0 Enable","REMend","WR32")</f>
        <v>WR32</v>
      </c>
      <c r="C484" s="94" t="s">
        <v>2072</v>
      </c>
      <c r="D484" s="513" t="s">
        <v>992</v>
      </c>
      <c r="E484" s="91" t="str">
        <f>Main_Parameters!$C$168</f>
        <v>000D0008</v>
      </c>
      <c r="F484" s="97"/>
      <c r="G484"/>
      <c r="H484"/>
      <c r="I484"/>
      <c r="J484"/>
      <c r="K484" s="130"/>
      <c r="L484"/>
      <c r="M484"/>
      <c r="N484"/>
      <c r="O484"/>
      <c r="P484"/>
      <c r="Q484"/>
      <c r="R484"/>
      <c r="S484"/>
      <c r="T484"/>
      <c r="U484"/>
      <c r="V484"/>
      <c r="W484"/>
      <c r="X484" s="131"/>
      <c r="AH484" s="131"/>
      <c r="BF484" s="65"/>
      <c r="BG484" s="65"/>
      <c r="BH484" s="65"/>
      <c r="BI484" s="65"/>
      <c r="BJ484" s="65"/>
      <c r="BK484" s="65"/>
      <c r="BL484" s="65"/>
      <c r="BM484" s="65"/>
      <c r="BN484" s="65"/>
      <c r="BO484" s="65"/>
      <c r="BP484" s="65"/>
      <c r="BQ484" s="65"/>
      <c r="BR484" s="65"/>
      <c r="BS484" s="65"/>
    </row>
    <row r="485" spans="1:71" s="64" customFormat="1">
      <c r="A485" s="65"/>
      <c r="B485" s="101" t="str">
        <f>IF(Main_Parameters!$C$43="TX0 Enable","REMend","WR32")</f>
        <v>WR32</v>
      </c>
      <c r="C485" s="94" t="s">
        <v>2073</v>
      </c>
      <c r="D485" s="513" t="s">
        <v>2127</v>
      </c>
      <c r="E485" s="511" t="s">
        <v>2075</v>
      </c>
      <c r="F485" s="97"/>
      <c r="G485"/>
      <c r="H485"/>
      <c r="I485"/>
      <c r="J485"/>
      <c r="K485"/>
      <c r="L485"/>
      <c r="M485"/>
      <c r="N485"/>
      <c r="O485"/>
      <c r="P485"/>
      <c r="Q485"/>
      <c r="R485"/>
      <c r="S485"/>
      <c r="T485"/>
      <c r="U485"/>
      <c r="V485"/>
      <c r="W485"/>
      <c r="X485" s="131"/>
      <c r="AH485" s="131"/>
      <c r="BF485" s="65"/>
      <c r="BG485" s="65"/>
      <c r="BH485" s="65"/>
      <c r="BI485" s="65"/>
      <c r="BJ485" s="65"/>
      <c r="BK485" s="65"/>
      <c r="BL485" s="65"/>
      <c r="BM485" s="65"/>
      <c r="BN485" s="65"/>
      <c r="BO485" s="65"/>
      <c r="BP485" s="65"/>
      <c r="BQ485" s="65"/>
      <c r="BR485" s="65"/>
      <c r="BS485" s="65"/>
    </row>
    <row r="486" spans="1:71" s="64" customFormat="1">
      <c r="A486" s="65"/>
      <c r="B486" s="101" t="str">
        <f>IF(Main_Parameters!$C$43="TX0 Enable","REMend","WR32")</f>
        <v>WR32</v>
      </c>
      <c r="C486" s="94" t="s">
        <v>2076</v>
      </c>
      <c r="D486" s="513" t="s">
        <v>993</v>
      </c>
      <c r="E486" s="91" t="str">
        <f>Main_Parameters!$C$170</f>
        <v>0000001F</v>
      </c>
      <c r="F486" s="97"/>
      <c r="G486"/>
      <c r="H486"/>
      <c r="I486"/>
      <c r="J486"/>
      <c r="K486"/>
      <c r="L486"/>
      <c r="M486"/>
      <c r="N486"/>
      <c r="O486"/>
      <c r="P486"/>
      <c r="Q486"/>
      <c r="R486"/>
      <c r="S486"/>
      <c r="T486"/>
      <c r="U486"/>
      <c r="V486"/>
      <c r="W486"/>
      <c r="X486" s="131"/>
      <c r="AH486" s="131"/>
      <c r="BF486" s="65"/>
      <c r="BG486" s="65"/>
      <c r="BH486" s="65"/>
      <c r="BI486" s="65"/>
      <c r="BJ486" s="65"/>
      <c r="BK486" s="65"/>
      <c r="BL486" s="65"/>
      <c r="BM486" s="65"/>
      <c r="BN486" s="65"/>
      <c r="BO486" s="65"/>
      <c r="BP486" s="65"/>
      <c r="BQ486" s="65"/>
      <c r="BR486" s="65"/>
      <c r="BS486" s="65"/>
    </row>
    <row r="487" spans="1:71" s="64" customFormat="1">
      <c r="A487" s="65"/>
      <c r="B487" s="101" t="str">
        <f>IF(Main_Parameters!$C$43="TX0 Enable","REMend","WR32")</f>
        <v>WR32</v>
      </c>
      <c r="C487" s="94" t="s">
        <v>925</v>
      </c>
      <c r="D487" s="513" t="s">
        <v>994</v>
      </c>
      <c r="E487" s="91" t="str">
        <f>Main_Parameters!$C$171</f>
        <v>00060005</v>
      </c>
      <c r="F487" s="97"/>
      <c r="G487"/>
      <c r="H487"/>
      <c r="I487"/>
      <c r="J487"/>
      <c r="K487"/>
      <c r="L487"/>
      <c r="M487"/>
      <c r="N487"/>
      <c r="O487"/>
      <c r="P487"/>
      <c r="Q487"/>
      <c r="R487"/>
      <c r="S487"/>
      <c r="T487"/>
      <c r="U487"/>
      <c r="V487"/>
      <c r="W487"/>
      <c r="X487" s="131"/>
      <c r="AH487" s="131"/>
      <c r="BF487" s="65"/>
      <c r="BG487" s="65"/>
      <c r="BH487" s="65"/>
      <c r="BI487" s="65"/>
      <c r="BJ487" s="65"/>
      <c r="BK487" s="65"/>
      <c r="BL487" s="65"/>
      <c r="BM487" s="65"/>
      <c r="BN487" s="65"/>
      <c r="BO487" s="65"/>
      <c r="BP487" s="65"/>
      <c r="BQ487" s="65"/>
      <c r="BR487" s="65"/>
      <c r="BS487" s="65"/>
    </row>
    <row r="488" spans="1:71" s="64" customFormat="1">
      <c r="A488" s="65"/>
      <c r="B488" s="101" t="str">
        <f>IF(Main_Parameters!$C$43="TX0 Enable","REMend",IF(G488="Disable","REMend","WR32"))</f>
        <v>WR32</v>
      </c>
      <c r="C488" s="94" t="s">
        <v>2077</v>
      </c>
      <c r="D488" s="513" t="s">
        <v>2128</v>
      </c>
      <c r="E488" s="91" t="str">
        <f t="shared" ref="E488:E494" si="57">DEC2HEX(Y488*2^31+Z488*2^30+AA488*2^29+AB488*2^28+AC488*2^27+AD488*2^26+AE488*2^25+AF488*2^24+AG488*2^23+AH488*2^22+AI488*2^21+AJ488*2^20+AK488*2^19+AL488*2^18+AM488*2^17+AN488*2^16+AO488*2^15+AP488*2^14+AQ488*2^13+AR488*2^12+AS488*2^11+AT488*2^10+AU488*2^9+AV488*2^8+AW488*2^7+AX488*2^6+AY488*2^5+AZ488*2^4+BA488*2^3+BB488*2^2+BC488*2^1+BD488*2^0,8)</f>
        <v>00000002</v>
      </c>
      <c r="F488" s="97"/>
      <c r="G488" s="104" t="s">
        <v>721</v>
      </c>
      <c r="H488" s="107"/>
      <c r="I488" s="119"/>
      <c r="J488" s="119"/>
      <c r="K488" s="119"/>
      <c r="L488" s="119"/>
      <c r="M488" s="112"/>
      <c r="N488" s="112" t="s">
        <v>2079</v>
      </c>
      <c r="O488" s="104" t="s">
        <v>2080</v>
      </c>
      <c r="P488" s="106" t="s">
        <v>2081</v>
      </c>
      <c r="Q488" s="104" t="s">
        <v>2080</v>
      </c>
      <c r="R488" s="106" t="s">
        <v>2082</v>
      </c>
      <c r="S488" s="104" t="s">
        <v>2080</v>
      </c>
      <c r="T488" s="106" t="s">
        <v>2083</v>
      </c>
      <c r="U488" s="104" t="s">
        <v>2080</v>
      </c>
      <c r="V488" s="106" t="s">
        <v>2084</v>
      </c>
      <c r="W488" s="104" t="s">
        <v>2085</v>
      </c>
      <c r="X488" s="131"/>
      <c r="Y488" s="47">
        <v>0</v>
      </c>
      <c r="Z488" s="47">
        <v>0</v>
      </c>
      <c r="AA488" s="47">
        <v>0</v>
      </c>
      <c r="AB488" s="47">
        <v>0</v>
      </c>
      <c r="AC488" s="47">
        <v>0</v>
      </c>
      <c r="AD488" s="47">
        <v>0</v>
      </c>
      <c r="AE488" s="47">
        <v>0</v>
      </c>
      <c r="AF488" s="47">
        <v>0</v>
      </c>
      <c r="AG488" s="47">
        <v>0</v>
      </c>
      <c r="AH488" s="47">
        <v>0</v>
      </c>
      <c r="AI488" s="47">
        <v>0</v>
      </c>
      <c r="AJ488" s="47">
        <v>0</v>
      </c>
      <c r="AK488" s="47">
        <v>0</v>
      </c>
      <c r="AL488" s="47">
        <v>0</v>
      </c>
      <c r="AM488" s="47">
        <v>0</v>
      </c>
      <c r="AN488" s="47">
        <v>0</v>
      </c>
      <c r="AO488" s="47">
        <v>0</v>
      </c>
      <c r="AP488" s="47">
        <v>0</v>
      </c>
      <c r="AQ488" s="47">
        <v>0</v>
      </c>
      <c r="AR488" s="47">
        <v>0</v>
      </c>
      <c r="AS488" s="47">
        <v>0</v>
      </c>
      <c r="AT488" s="47">
        <v>0</v>
      </c>
      <c r="AU488" s="47">
        <v>0</v>
      </c>
      <c r="AV488" s="47">
        <f t="shared" ref="AV488:AZ488" si="58">IF(O488="No Add",0,IF(O488="25% Add",2,3))</f>
        <v>0</v>
      </c>
      <c r="AW488" s="47">
        <v>0</v>
      </c>
      <c r="AX488" s="47">
        <f t="shared" si="58"/>
        <v>0</v>
      </c>
      <c r="AY488" s="47">
        <v>0</v>
      </c>
      <c r="AZ488" s="47">
        <f t="shared" si="58"/>
        <v>0</v>
      </c>
      <c r="BA488" s="47">
        <v>0</v>
      </c>
      <c r="BB488" s="47">
        <f>IF(U488="No Add",0,IF(U488="25% Add",2,3))</f>
        <v>0</v>
      </c>
      <c r="BC488" s="47">
        <v>0</v>
      </c>
      <c r="BD488" s="47">
        <f>IF(W488="No Add",0,IF(W488="25% Add",2,3))</f>
        <v>2</v>
      </c>
      <c r="BF488" s="65"/>
      <c r="BG488" s="65"/>
      <c r="BH488" s="65"/>
      <c r="BI488" s="65"/>
      <c r="BJ488" s="65"/>
      <c r="BK488" s="65"/>
      <c r="BL488" s="65"/>
      <c r="BM488" s="65"/>
      <c r="BN488" s="65"/>
      <c r="BO488" s="65"/>
      <c r="BP488" s="65"/>
      <c r="BQ488" s="65"/>
      <c r="BR488" s="65"/>
      <c r="BS488" s="65"/>
    </row>
    <row r="489" spans="1:71">
      <c r="B489" s="101" t="str">
        <f>IF(Main_Parameters!$C$43="TX0 Enable","REMend",IF(G489="Disable","REMend","WR32"))</f>
        <v>REMend</v>
      </c>
      <c r="C489" s="94" t="s">
        <v>2086</v>
      </c>
      <c r="D489" s="513" t="s">
        <v>2129</v>
      </c>
      <c r="E489" s="91" t="str">
        <f t="shared" si="57"/>
        <v>00000000</v>
      </c>
      <c r="F489" s="97"/>
      <c r="G489" s="104" t="s">
        <v>780</v>
      </c>
      <c r="H489" s="107"/>
      <c r="I489" s="119"/>
      <c r="J489" s="119"/>
      <c r="K489" s="119"/>
      <c r="L489" s="119"/>
      <c r="M489" s="112"/>
      <c r="N489" s="106" t="s">
        <v>2088</v>
      </c>
      <c r="O489" s="104">
        <v>0</v>
      </c>
      <c r="P489" s="106" t="s">
        <v>2089</v>
      </c>
      <c r="Q489" s="104">
        <v>0</v>
      </c>
      <c r="R489" s="106" t="s">
        <v>2090</v>
      </c>
      <c r="S489" s="104">
        <v>0</v>
      </c>
      <c r="T489" s="106" t="s">
        <v>2091</v>
      </c>
      <c r="U489" s="104">
        <v>0</v>
      </c>
      <c r="V489" s="106" t="s">
        <v>2092</v>
      </c>
      <c r="W489" s="104">
        <v>0</v>
      </c>
      <c r="X489" s="131"/>
      <c r="Y489" s="47">
        <v>0</v>
      </c>
      <c r="Z489" s="47">
        <v>0</v>
      </c>
      <c r="AA489" s="47">
        <v>0</v>
      </c>
      <c r="AB489" s="47">
        <v>0</v>
      </c>
      <c r="AC489" s="47">
        <v>0</v>
      </c>
      <c r="AD489" s="47">
        <v>0</v>
      </c>
      <c r="AE489" s="47">
        <v>0</v>
      </c>
      <c r="AF489" s="47">
        <v>0</v>
      </c>
      <c r="AG489" s="47">
        <v>0</v>
      </c>
      <c r="AH489" s="47">
        <v>0</v>
      </c>
      <c r="AI489" s="47">
        <v>0</v>
      </c>
      <c r="AJ489" s="47">
        <v>0</v>
      </c>
      <c r="AK489" s="47">
        <v>0</v>
      </c>
      <c r="AL489" s="47">
        <v>0</v>
      </c>
      <c r="AM489" s="47">
        <v>0</v>
      </c>
      <c r="AN489" s="47">
        <v>0</v>
      </c>
      <c r="AO489" s="47">
        <v>0</v>
      </c>
      <c r="AP489" s="47">
        <v>0</v>
      </c>
      <c r="AQ489" s="47">
        <v>0</v>
      </c>
      <c r="AR489" s="47">
        <v>0</v>
      </c>
      <c r="AS489" s="47">
        <v>0</v>
      </c>
      <c r="AT489" s="47">
        <v>0</v>
      </c>
      <c r="AU489" s="47">
        <v>0</v>
      </c>
      <c r="AV489" s="47">
        <f t="shared" ref="AV489:AZ489" si="59">O489</f>
        <v>0</v>
      </c>
      <c r="AW489" s="47">
        <v>0</v>
      </c>
      <c r="AX489" s="47">
        <f t="shared" si="59"/>
        <v>0</v>
      </c>
      <c r="AY489" s="47">
        <v>0</v>
      </c>
      <c r="AZ489" s="47">
        <f t="shared" si="59"/>
        <v>0</v>
      </c>
      <c r="BA489" s="47">
        <v>0</v>
      </c>
      <c r="BB489" s="47">
        <f>U489</f>
        <v>0</v>
      </c>
      <c r="BC489" s="47">
        <v>0</v>
      </c>
      <c r="BD489" s="47">
        <f>W489</f>
        <v>0</v>
      </c>
    </row>
    <row r="490" spans="1:71">
      <c r="B490" s="101" t="str">
        <f>IF(Main_Parameters!$C$43="TX0 Enable","REMend","WR32")</f>
        <v>WR32</v>
      </c>
      <c r="C490" s="89" t="s">
        <v>2093</v>
      </c>
      <c r="D490" s="513" t="s">
        <v>2130</v>
      </c>
      <c r="E490" s="511" t="s">
        <v>1921</v>
      </c>
      <c r="F490" s="97"/>
      <c r="G490"/>
      <c r="H490"/>
      <c r="I490"/>
      <c r="J490"/>
      <c r="K490"/>
      <c r="L490"/>
      <c r="M490"/>
      <c r="N490"/>
      <c r="O490"/>
      <c r="P490"/>
      <c r="Q490"/>
      <c r="R490"/>
      <c r="S490"/>
      <c r="T490"/>
      <c r="U490"/>
      <c r="V490"/>
      <c r="W490"/>
    </row>
    <row r="491" spans="1:71">
      <c r="B491" s="141" t="s">
        <v>1032</v>
      </c>
      <c r="C491" s="142" t="s">
        <v>2131</v>
      </c>
      <c r="D491" s="143"/>
      <c r="E491" s="144"/>
      <c r="F491" s="145"/>
      <c r="G491"/>
      <c r="H491"/>
      <c r="I491"/>
      <c r="J491"/>
      <c r="K491"/>
      <c r="L491"/>
      <c r="M491"/>
      <c r="N491"/>
      <c r="O491"/>
      <c r="P491"/>
      <c r="Q491"/>
      <c r="R491"/>
      <c r="S491"/>
      <c r="T491"/>
      <c r="U491"/>
      <c r="V491"/>
      <c r="W491"/>
    </row>
    <row r="492" spans="1:71">
      <c r="B492" s="96" t="s">
        <v>1622</v>
      </c>
      <c r="C492" s="146" t="s">
        <v>2132</v>
      </c>
      <c r="D492" s="513" t="s">
        <v>2133</v>
      </c>
      <c r="E492" s="147" t="str">
        <f>IF(Main_Parameters!$C$43="TX0 Enable","0000",IF(Main_Parameters!$C$43="TX1 Enable","0002","0004"))</f>
        <v>0004</v>
      </c>
      <c r="F492" s="92"/>
      <c r="G492"/>
      <c r="H492"/>
      <c r="I492"/>
      <c r="J492"/>
      <c r="K492"/>
      <c r="L492"/>
      <c r="M492"/>
      <c r="N492"/>
      <c r="O492"/>
      <c r="P492"/>
      <c r="Q492"/>
      <c r="R492"/>
      <c r="S492"/>
      <c r="T492"/>
      <c r="U492"/>
      <c r="V492"/>
      <c r="W492"/>
    </row>
    <row r="493" spans="1:71" ht="15">
      <c r="B493" s="101" t="str">
        <f>IF($G493="Enable","WR32","REMnd")</f>
        <v>WR32</v>
      </c>
      <c r="C493" s="102" t="s">
        <v>2134</v>
      </c>
      <c r="D493" s="515" t="s">
        <v>958</v>
      </c>
      <c r="E493" s="91" t="str">
        <f t="shared" si="57"/>
        <v>00000016</v>
      </c>
      <c r="F493" s="92"/>
      <c r="G493" s="104" t="s">
        <v>721</v>
      </c>
      <c r="H493" s="103"/>
      <c r="I493" s="110"/>
      <c r="J493" s="110"/>
      <c r="K493" s="110"/>
      <c r="L493" s="110"/>
      <c r="M493" s="111"/>
      <c r="N493" s="106" t="s">
        <v>2135</v>
      </c>
      <c r="O493" s="54" t="s">
        <v>2136</v>
      </c>
      <c r="P493" s="106"/>
      <c r="Q493" s="153"/>
      <c r="R493" s="112" t="s">
        <v>2137</v>
      </c>
      <c r="S493" s="159" t="s">
        <v>1305</v>
      </c>
      <c r="T493" s="112" t="s">
        <v>2138</v>
      </c>
      <c r="U493" s="159" t="s">
        <v>1305</v>
      </c>
      <c r="V493" s="107"/>
      <c r="W493" s="112"/>
      <c r="X493" s="131"/>
      <c r="Y493" s="64">
        <v>0</v>
      </c>
      <c r="Z493" s="64">
        <v>0</v>
      </c>
      <c r="AA493" s="64">
        <v>0</v>
      </c>
      <c r="AB493" s="64">
        <v>0</v>
      </c>
      <c r="AC493" s="64">
        <v>0</v>
      </c>
      <c r="AD493" s="64">
        <v>0</v>
      </c>
      <c r="AE493" s="64">
        <v>0</v>
      </c>
      <c r="AF493" s="64">
        <v>0</v>
      </c>
      <c r="AG493" s="64">
        <v>0</v>
      </c>
      <c r="AH493" s="64">
        <v>0</v>
      </c>
      <c r="AI493" s="64">
        <v>0</v>
      </c>
      <c r="AJ493" s="64">
        <v>0</v>
      </c>
      <c r="AK493" s="64">
        <v>0</v>
      </c>
      <c r="AL493" s="64">
        <v>0</v>
      </c>
      <c r="AM493" s="64">
        <v>0</v>
      </c>
      <c r="AN493" s="64">
        <v>0</v>
      </c>
      <c r="AO493" s="64">
        <v>0</v>
      </c>
      <c r="AP493" s="64">
        <v>0</v>
      </c>
      <c r="AQ493" s="64">
        <v>0</v>
      </c>
      <c r="AR493" s="64">
        <v>0</v>
      </c>
      <c r="AS493" s="64">
        <v>0</v>
      </c>
      <c r="AT493" s="64">
        <v>0</v>
      </c>
      <c r="AU493" s="64">
        <v>0</v>
      </c>
      <c r="AV493" s="64">
        <v>0</v>
      </c>
      <c r="AW493" s="64">
        <v>0</v>
      </c>
      <c r="AX493" s="64">
        <v>0</v>
      </c>
      <c r="AY493" s="64">
        <v>0</v>
      </c>
      <c r="AZ493" s="64">
        <f>IF(O493="LP",1,0)</f>
        <v>1</v>
      </c>
      <c r="BA493" s="64">
        <v>0</v>
      </c>
      <c r="BB493" s="64">
        <f>IF(S493="H Active",0,1)</f>
        <v>1</v>
      </c>
      <c r="BC493" s="64">
        <f>IF(U493="H Active",0,1)</f>
        <v>1</v>
      </c>
      <c r="BD493" s="64">
        <v>0</v>
      </c>
      <c r="BE493" s="131"/>
    </row>
    <row r="494" spans="1:71" ht="15">
      <c r="B494" s="101" t="str">
        <f>IF($G494="Enable","WR32","REMnd")</f>
        <v>WR32</v>
      </c>
      <c r="C494" s="102" t="s">
        <v>2134</v>
      </c>
      <c r="D494" s="515" t="s">
        <v>977</v>
      </c>
      <c r="E494" s="91" t="str">
        <f t="shared" si="57"/>
        <v>00000016</v>
      </c>
      <c r="F494" s="92"/>
      <c r="G494" s="104" t="s">
        <v>721</v>
      </c>
      <c r="H494" s="103"/>
      <c r="I494" s="110"/>
      <c r="J494" s="110"/>
      <c r="K494" s="110"/>
      <c r="L494" s="110"/>
      <c r="M494" s="111"/>
      <c r="N494" s="112" t="s">
        <v>2135</v>
      </c>
      <c r="O494" s="154" t="s">
        <v>2136</v>
      </c>
      <c r="P494" s="106"/>
      <c r="Q494" s="114"/>
      <c r="R494" s="112" t="s">
        <v>2137</v>
      </c>
      <c r="S494" s="159" t="s">
        <v>1305</v>
      </c>
      <c r="T494" s="112" t="s">
        <v>2138</v>
      </c>
      <c r="U494" s="159" t="s">
        <v>1305</v>
      </c>
      <c r="V494" s="107"/>
      <c r="W494" s="112"/>
      <c r="X494" s="131"/>
      <c r="Y494" s="64">
        <v>0</v>
      </c>
      <c r="Z494" s="64">
        <v>0</v>
      </c>
      <c r="AA494" s="64">
        <v>0</v>
      </c>
      <c r="AB494" s="64">
        <v>0</v>
      </c>
      <c r="AC494" s="64">
        <v>0</v>
      </c>
      <c r="AD494" s="64">
        <v>0</v>
      </c>
      <c r="AE494" s="64">
        <v>0</v>
      </c>
      <c r="AF494" s="64">
        <v>0</v>
      </c>
      <c r="AG494" s="64">
        <v>0</v>
      </c>
      <c r="AH494" s="64">
        <v>0</v>
      </c>
      <c r="AI494" s="64">
        <v>0</v>
      </c>
      <c r="AJ494" s="64">
        <v>0</v>
      </c>
      <c r="AK494" s="64">
        <v>0</v>
      </c>
      <c r="AL494" s="64">
        <v>0</v>
      </c>
      <c r="AM494" s="64">
        <v>0</v>
      </c>
      <c r="AN494" s="64">
        <v>0</v>
      </c>
      <c r="AO494" s="64">
        <v>0</v>
      </c>
      <c r="AP494" s="64">
        <v>0</v>
      </c>
      <c r="AQ494" s="64">
        <v>0</v>
      </c>
      <c r="AR494" s="64">
        <v>0</v>
      </c>
      <c r="AS494" s="64">
        <v>0</v>
      </c>
      <c r="AT494" s="64">
        <v>0</v>
      </c>
      <c r="AU494" s="64">
        <v>0</v>
      </c>
      <c r="AV494" s="64">
        <v>0</v>
      </c>
      <c r="AW494" s="64">
        <v>0</v>
      </c>
      <c r="AX494" s="64">
        <v>0</v>
      </c>
      <c r="AY494" s="64">
        <v>0</v>
      </c>
      <c r="AZ494" s="64">
        <f>IF(O494="LP",1,0)</f>
        <v>1</v>
      </c>
      <c r="BA494" s="64">
        <v>0</v>
      </c>
      <c r="BB494" s="64">
        <f>IF(S494="H Active",0,1)</f>
        <v>1</v>
      </c>
      <c r="BC494" s="64">
        <f>IF(U494="H Active",0,1)</f>
        <v>1</v>
      </c>
      <c r="BD494" s="64">
        <v>0</v>
      </c>
      <c r="BE494" s="131"/>
    </row>
    <row r="495" spans="1:71" outlineLevel="1">
      <c r="B495" s="148" t="s">
        <v>1032</v>
      </c>
      <c r="C495" s="149" t="s">
        <v>2139</v>
      </c>
      <c r="D495" s="150"/>
      <c r="E495" s="151"/>
      <c r="F495" s="152"/>
      <c r="G495"/>
      <c r="H495"/>
      <c r="I495"/>
      <c r="J495"/>
      <c r="K495"/>
      <c r="L495"/>
      <c r="M495"/>
      <c r="N495"/>
      <c r="O495"/>
      <c r="P495"/>
      <c r="Q495"/>
      <c r="R495"/>
      <c r="S495"/>
      <c r="T495"/>
      <c r="U495"/>
      <c r="V495"/>
      <c r="W495"/>
    </row>
    <row r="496" spans="1:71" outlineLevel="1">
      <c r="B496" s="148" t="s">
        <v>1032</v>
      </c>
      <c r="C496" s="149" t="s">
        <v>2140</v>
      </c>
      <c r="D496" s="150"/>
      <c r="E496" s="151"/>
      <c r="F496" s="152"/>
      <c r="G496"/>
      <c r="H496"/>
      <c r="I496"/>
      <c r="J496"/>
      <c r="K496"/>
      <c r="L496"/>
      <c r="M496"/>
      <c r="N496"/>
      <c r="O496"/>
      <c r="P496"/>
      <c r="Q496"/>
      <c r="R496"/>
      <c r="S496"/>
      <c r="T496"/>
      <c r="U496"/>
      <c r="V496"/>
      <c r="W496"/>
    </row>
    <row r="497" spans="1:71" outlineLevel="1">
      <c r="B497" s="148" t="s">
        <v>1622</v>
      </c>
      <c r="C497" s="149" t="s">
        <v>2141</v>
      </c>
      <c r="D497" s="517" t="s">
        <v>2142</v>
      </c>
      <c r="E497" s="518" t="s">
        <v>2143</v>
      </c>
      <c r="F497" s="152"/>
      <c r="G497"/>
      <c r="H497"/>
      <c r="I497"/>
      <c r="J497"/>
      <c r="K497"/>
      <c r="L497"/>
      <c r="M497"/>
      <c r="N497"/>
      <c r="O497"/>
      <c r="P497"/>
      <c r="Q497"/>
      <c r="R497"/>
      <c r="S497"/>
      <c r="T497"/>
      <c r="U497"/>
      <c r="V497"/>
      <c r="W497"/>
    </row>
    <row r="498" spans="1:71" outlineLevel="1">
      <c r="B498" s="148" t="s">
        <v>1622</v>
      </c>
      <c r="C498" s="149" t="s">
        <v>2141</v>
      </c>
      <c r="D498" s="517" t="s">
        <v>2142</v>
      </c>
      <c r="E498" s="518" t="s">
        <v>1863</v>
      </c>
      <c r="F498" s="152"/>
      <c r="G498"/>
      <c r="H498"/>
      <c r="I498"/>
      <c r="J498"/>
      <c r="K498"/>
      <c r="L498"/>
      <c r="M498"/>
      <c r="N498"/>
      <c r="O498"/>
      <c r="P498"/>
      <c r="Q498"/>
      <c r="R498"/>
      <c r="S498"/>
      <c r="T498"/>
      <c r="U498"/>
      <c r="V498"/>
      <c r="W498"/>
    </row>
    <row r="499" spans="1:71" outlineLevel="1">
      <c r="B499" s="148" t="s">
        <v>1872</v>
      </c>
      <c r="C499" s="149"/>
      <c r="D499" s="151">
        <v>5000</v>
      </c>
      <c r="E499" s="151"/>
      <c r="F499" s="152"/>
      <c r="G499"/>
      <c r="H499"/>
      <c r="I499"/>
      <c r="J499"/>
      <c r="K499"/>
      <c r="L499"/>
      <c r="M499"/>
      <c r="N499"/>
      <c r="O499"/>
      <c r="P499"/>
      <c r="Q499"/>
      <c r="R499"/>
      <c r="S499"/>
      <c r="T499"/>
      <c r="U499"/>
      <c r="V499"/>
      <c r="W499"/>
    </row>
    <row r="500" spans="1:71" outlineLevel="1">
      <c r="B500" s="148" t="s">
        <v>1032</v>
      </c>
      <c r="C500" s="149" t="s">
        <v>2144</v>
      </c>
      <c r="D500" s="150"/>
      <c r="E500" s="151"/>
      <c r="F500" s="152"/>
      <c r="G500"/>
      <c r="H500"/>
      <c r="I500"/>
      <c r="J500"/>
      <c r="K500"/>
      <c r="L500"/>
      <c r="M500"/>
      <c r="N500"/>
      <c r="O500"/>
      <c r="P500"/>
      <c r="Q500"/>
      <c r="R500"/>
      <c r="S500"/>
      <c r="T500"/>
      <c r="U500"/>
      <c r="V500"/>
      <c r="W500"/>
    </row>
    <row r="501" spans="1:71" outlineLevel="1">
      <c r="B501" s="148" t="s">
        <v>1622</v>
      </c>
      <c r="C501" s="149" t="s">
        <v>2141</v>
      </c>
      <c r="D501" s="517" t="s">
        <v>2142</v>
      </c>
      <c r="E501" s="518" t="s">
        <v>2145</v>
      </c>
      <c r="F501" s="152"/>
      <c r="G501"/>
      <c r="H501"/>
      <c r="I501"/>
      <c r="J501"/>
      <c r="K501"/>
      <c r="L501"/>
      <c r="M501"/>
      <c r="N501"/>
      <c r="O501"/>
      <c r="P501"/>
      <c r="Q501"/>
      <c r="R501"/>
      <c r="S501"/>
      <c r="T501"/>
      <c r="U501"/>
      <c r="V501"/>
      <c r="W501"/>
    </row>
    <row r="502" spans="1:71" outlineLevel="1">
      <c r="B502" s="148" t="s">
        <v>1622</v>
      </c>
      <c r="C502" s="149" t="s">
        <v>2141</v>
      </c>
      <c r="D502" s="517" t="s">
        <v>2142</v>
      </c>
      <c r="E502" s="518" t="s">
        <v>2146</v>
      </c>
      <c r="F502" s="152"/>
      <c r="G502"/>
      <c r="H502"/>
      <c r="I502"/>
      <c r="J502"/>
      <c r="K502"/>
      <c r="L502"/>
      <c r="M502"/>
      <c r="N502"/>
      <c r="O502"/>
      <c r="P502"/>
      <c r="Q502"/>
      <c r="R502"/>
      <c r="S502"/>
      <c r="T502"/>
      <c r="U502"/>
      <c r="V502"/>
      <c r="W502"/>
    </row>
    <row r="503" spans="1:71" outlineLevel="1">
      <c r="B503" s="148" t="s">
        <v>1872</v>
      </c>
      <c r="C503" s="149"/>
      <c r="D503" s="151">
        <v>200</v>
      </c>
      <c r="E503" s="151"/>
      <c r="F503" s="152"/>
      <c r="G503"/>
      <c r="H503"/>
      <c r="I503"/>
      <c r="J503"/>
      <c r="K503"/>
      <c r="L503"/>
      <c r="M503"/>
      <c r="N503"/>
      <c r="O503"/>
      <c r="P503"/>
      <c r="Q503"/>
      <c r="R503"/>
      <c r="S503"/>
      <c r="T503"/>
      <c r="U503"/>
      <c r="V503"/>
      <c r="W503"/>
    </row>
    <row r="504" spans="1:71" outlineLevel="1">
      <c r="B504" s="148" t="s">
        <v>1032</v>
      </c>
      <c r="C504" s="149" t="s">
        <v>2147</v>
      </c>
      <c r="D504" s="150"/>
      <c r="E504" s="151"/>
      <c r="F504" s="152"/>
      <c r="G504"/>
      <c r="H504"/>
      <c r="I504"/>
      <c r="J504"/>
      <c r="K504"/>
      <c r="L504"/>
      <c r="M504"/>
      <c r="N504"/>
      <c r="O504"/>
      <c r="P504"/>
      <c r="Q504"/>
      <c r="R504"/>
      <c r="S504"/>
      <c r="T504"/>
      <c r="U504"/>
      <c r="V504"/>
      <c r="W504"/>
    </row>
    <row r="505" spans="1:71" s="64" customFormat="1" outlineLevel="1">
      <c r="A505" s="65"/>
      <c r="B505" s="148" t="s">
        <v>1622</v>
      </c>
      <c r="C505" s="149" t="s">
        <v>2141</v>
      </c>
      <c r="D505" s="517" t="s">
        <v>2142</v>
      </c>
      <c r="E505" s="518" t="s">
        <v>2148</v>
      </c>
      <c r="F505" s="152"/>
      <c r="G505"/>
      <c r="H505"/>
      <c r="I505"/>
      <c r="J505"/>
      <c r="K505"/>
      <c r="L505"/>
      <c r="M505"/>
      <c r="N505"/>
      <c r="O505"/>
      <c r="P505"/>
      <c r="Q505"/>
      <c r="R505"/>
      <c r="S505"/>
      <c r="T505"/>
      <c r="U505"/>
      <c r="V505"/>
      <c r="W505"/>
      <c r="BF505" s="65"/>
      <c r="BG505" s="65"/>
      <c r="BH505" s="65"/>
      <c r="BI505" s="65"/>
      <c r="BJ505" s="65"/>
      <c r="BK505" s="65"/>
      <c r="BL505" s="65"/>
      <c r="BM505" s="65"/>
      <c r="BN505" s="65"/>
      <c r="BO505" s="65"/>
      <c r="BP505" s="65"/>
      <c r="BQ505" s="65"/>
      <c r="BR505" s="65"/>
      <c r="BS505" s="65"/>
    </row>
    <row r="506" spans="1:71" s="64" customFormat="1" outlineLevel="1">
      <c r="A506" s="65"/>
      <c r="B506" s="148" t="s">
        <v>1622</v>
      </c>
      <c r="C506" s="149" t="s">
        <v>2141</v>
      </c>
      <c r="D506" s="517" t="s">
        <v>2142</v>
      </c>
      <c r="E506" s="518" t="s">
        <v>2143</v>
      </c>
      <c r="F506" s="152"/>
      <c r="G506"/>
      <c r="H506"/>
      <c r="I506"/>
      <c r="J506"/>
      <c r="K506"/>
      <c r="L506"/>
      <c r="M506"/>
      <c r="N506"/>
      <c r="O506"/>
      <c r="P506"/>
      <c r="Q506"/>
      <c r="R506"/>
      <c r="S506"/>
      <c r="T506"/>
      <c r="U506"/>
      <c r="V506"/>
      <c r="W506"/>
      <c r="BF506" s="65"/>
      <c r="BG506" s="65"/>
      <c r="BH506" s="65"/>
      <c r="BI506" s="65"/>
      <c r="BJ506" s="65"/>
      <c r="BK506" s="65"/>
      <c r="BL506" s="65"/>
      <c r="BM506" s="65"/>
      <c r="BN506" s="65"/>
      <c r="BO506" s="65"/>
      <c r="BP506" s="65"/>
      <c r="BQ506" s="65"/>
      <c r="BR506" s="65"/>
      <c r="BS506" s="65"/>
    </row>
    <row r="507" spans="1:71" s="64" customFormat="1" outlineLevel="1">
      <c r="A507" s="65"/>
      <c r="B507" s="148" t="s">
        <v>1622</v>
      </c>
      <c r="C507" s="149" t="s">
        <v>2141</v>
      </c>
      <c r="D507" s="517" t="s">
        <v>2142</v>
      </c>
      <c r="E507" s="518" t="s">
        <v>2013</v>
      </c>
      <c r="F507" s="152"/>
      <c r="G507"/>
      <c r="H507"/>
      <c r="I507"/>
      <c r="J507"/>
      <c r="K507"/>
      <c r="L507"/>
      <c r="M507"/>
      <c r="N507"/>
      <c r="O507"/>
      <c r="P507"/>
      <c r="Q507"/>
      <c r="R507"/>
      <c r="S507"/>
      <c r="T507"/>
      <c r="U507"/>
      <c r="V507"/>
      <c r="W507"/>
      <c r="BF507" s="65"/>
      <c r="BG507" s="65"/>
      <c r="BH507" s="65"/>
      <c r="BI507" s="65"/>
      <c r="BJ507" s="65"/>
      <c r="BK507" s="65"/>
      <c r="BL507" s="65"/>
      <c r="BM507" s="65"/>
      <c r="BN507" s="65"/>
      <c r="BO507" s="65"/>
      <c r="BP507" s="65"/>
      <c r="BQ507" s="65"/>
      <c r="BR507" s="65"/>
      <c r="BS507" s="65"/>
    </row>
    <row r="508" spans="1:71" s="64" customFormat="1" outlineLevel="1">
      <c r="A508" s="65"/>
      <c r="B508" s="148" t="s">
        <v>1622</v>
      </c>
      <c r="C508" s="149" t="s">
        <v>2141</v>
      </c>
      <c r="D508" s="517" t="s">
        <v>2142</v>
      </c>
      <c r="E508" s="518" t="s">
        <v>2149</v>
      </c>
      <c r="F508" s="152"/>
      <c r="G508"/>
      <c r="H508"/>
      <c r="I508"/>
      <c r="J508"/>
      <c r="K508"/>
      <c r="L508"/>
      <c r="M508"/>
      <c r="N508"/>
      <c r="O508"/>
      <c r="P508"/>
      <c r="Q508"/>
      <c r="R508"/>
      <c r="S508"/>
      <c r="T508"/>
      <c r="U508"/>
      <c r="V508"/>
      <c r="W508"/>
      <c r="BF508" s="65"/>
      <c r="BG508" s="65"/>
      <c r="BH508" s="65"/>
      <c r="BI508" s="65"/>
      <c r="BJ508" s="65"/>
      <c r="BK508" s="65"/>
      <c r="BL508" s="65"/>
      <c r="BM508" s="65"/>
      <c r="BN508" s="65"/>
      <c r="BO508" s="65"/>
      <c r="BP508" s="65"/>
      <c r="BQ508" s="65"/>
      <c r="BR508" s="65"/>
      <c r="BS508" s="65"/>
    </row>
    <row r="509" spans="1:71" s="64" customFormat="1" outlineLevel="1">
      <c r="A509" s="65"/>
      <c r="B509" s="148" t="s">
        <v>1622</v>
      </c>
      <c r="C509" s="149" t="s">
        <v>2141</v>
      </c>
      <c r="D509" s="517" t="s">
        <v>2142</v>
      </c>
      <c r="E509" s="518" t="s">
        <v>2150</v>
      </c>
      <c r="F509" s="152"/>
      <c r="G509"/>
      <c r="H509"/>
      <c r="I509"/>
      <c r="J509"/>
      <c r="K509"/>
      <c r="L509"/>
      <c r="M509"/>
      <c r="N509"/>
      <c r="O509"/>
      <c r="P509"/>
      <c r="Q509"/>
      <c r="R509"/>
      <c r="S509"/>
      <c r="T509"/>
      <c r="U509"/>
      <c r="V509"/>
      <c r="W509"/>
      <c r="BF509" s="65"/>
      <c r="BG509" s="65"/>
      <c r="BH509" s="65"/>
      <c r="BI509" s="65"/>
      <c r="BJ509" s="65"/>
      <c r="BK509" s="65"/>
      <c r="BL509" s="65"/>
      <c r="BM509" s="65"/>
      <c r="BN509" s="65"/>
      <c r="BO509" s="65"/>
      <c r="BP509" s="65"/>
      <c r="BQ509" s="65"/>
      <c r="BR509" s="65"/>
      <c r="BS509" s="65"/>
    </row>
    <row r="510" spans="1:71" s="64" customFormat="1" outlineLevel="1">
      <c r="A510" s="65"/>
      <c r="B510" s="148" t="s">
        <v>1872</v>
      </c>
      <c r="C510" s="149"/>
      <c r="D510" s="151">
        <v>200</v>
      </c>
      <c r="E510" s="151"/>
      <c r="F510" s="152"/>
      <c r="G510"/>
      <c r="H510"/>
      <c r="I510"/>
      <c r="J510"/>
      <c r="K510"/>
      <c r="L510"/>
      <c r="M510"/>
      <c r="N510"/>
      <c r="O510"/>
      <c r="P510"/>
      <c r="Q510"/>
      <c r="R510"/>
      <c r="S510"/>
      <c r="T510"/>
      <c r="U510"/>
      <c r="V510"/>
      <c r="W510"/>
      <c r="BF510" s="65"/>
      <c r="BG510" s="65"/>
      <c r="BH510" s="65"/>
      <c r="BI510" s="65"/>
      <c r="BJ510" s="65"/>
      <c r="BK510" s="65"/>
      <c r="BL510" s="65"/>
      <c r="BM510" s="65"/>
      <c r="BN510" s="65"/>
      <c r="BO510" s="65"/>
      <c r="BP510" s="65"/>
      <c r="BQ510" s="65"/>
      <c r="BR510" s="65"/>
      <c r="BS510" s="65"/>
    </row>
    <row r="511" spans="1:71" s="64" customFormat="1" outlineLevel="1">
      <c r="A511" s="65"/>
      <c r="B511" s="148" t="s">
        <v>1032</v>
      </c>
      <c r="C511" s="149" t="s">
        <v>2151</v>
      </c>
      <c r="D511" s="150"/>
      <c r="E511" s="151"/>
      <c r="F511" s="152"/>
      <c r="G511"/>
      <c r="H511"/>
      <c r="I511"/>
      <c r="J511"/>
      <c r="K511"/>
      <c r="L511"/>
      <c r="M511"/>
      <c r="N511"/>
      <c r="O511"/>
      <c r="P511"/>
      <c r="Q511"/>
      <c r="R511"/>
      <c r="S511"/>
      <c r="T511"/>
      <c r="U511"/>
      <c r="V511"/>
      <c r="W511"/>
      <c r="BF511" s="65"/>
      <c r="BG511" s="65"/>
      <c r="BH511" s="65"/>
      <c r="BI511" s="65"/>
      <c r="BJ511" s="65"/>
      <c r="BK511" s="65"/>
      <c r="BL511" s="65"/>
      <c r="BM511" s="65"/>
      <c r="BN511" s="65"/>
      <c r="BO511" s="65"/>
      <c r="BP511" s="65"/>
      <c r="BQ511" s="65"/>
      <c r="BR511" s="65"/>
      <c r="BS511" s="65"/>
    </row>
    <row r="512" spans="1:71" s="64" customFormat="1" outlineLevel="1">
      <c r="A512" s="65"/>
      <c r="B512" s="148" t="s">
        <v>1622</v>
      </c>
      <c r="C512" s="149" t="s">
        <v>2141</v>
      </c>
      <c r="D512" s="517" t="s">
        <v>2142</v>
      </c>
      <c r="E512" s="518" t="s">
        <v>2148</v>
      </c>
      <c r="F512" s="152"/>
      <c r="G512"/>
      <c r="H512"/>
      <c r="I512"/>
      <c r="J512"/>
      <c r="K512"/>
      <c r="L512"/>
      <c r="M512"/>
      <c r="N512"/>
      <c r="O512"/>
      <c r="P512"/>
      <c r="Q512"/>
      <c r="R512"/>
      <c r="S512"/>
      <c r="T512"/>
      <c r="U512"/>
      <c r="V512"/>
      <c r="W512"/>
      <c r="BF512" s="65"/>
      <c r="BG512" s="65"/>
      <c r="BH512" s="65"/>
      <c r="BI512" s="65"/>
      <c r="BJ512" s="65"/>
      <c r="BK512" s="65"/>
      <c r="BL512" s="65"/>
      <c r="BM512" s="65"/>
      <c r="BN512" s="65"/>
      <c r="BO512" s="65"/>
      <c r="BP512" s="65"/>
      <c r="BQ512" s="65"/>
      <c r="BR512" s="65"/>
      <c r="BS512" s="65"/>
    </row>
    <row r="513" spans="1:71" s="64" customFormat="1" outlineLevel="1">
      <c r="A513" s="65"/>
      <c r="B513" s="148" t="s">
        <v>1622</v>
      </c>
      <c r="C513" s="149" t="s">
        <v>2141</v>
      </c>
      <c r="D513" s="517" t="s">
        <v>2142</v>
      </c>
      <c r="E513" s="518" t="s">
        <v>2143</v>
      </c>
      <c r="F513" s="152"/>
      <c r="G513"/>
      <c r="H513"/>
      <c r="I513"/>
      <c r="J513"/>
      <c r="K513"/>
      <c r="L513"/>
      <c r="M513"/>
      <c r="N513"/>
      <c r="O513"/>
      <c r="P513"/>
      <c r="Q513"/>
      <c r="R513"/>
      <c r="S513"/>
      <c r="T513"/>
      <c r="U513"/>
      <c r="V513"/>
      <c r="W513"/>
      <c r="BF513" s="65"/>
      <c r="BG513" s="65"/>
      <c r="BH513" s="65"/>
      <c r="BI513" s="65"/>
      <c r="BJ513" s="65"/>
      <c r="BK513" s="65"/>
      <c r="BL513" s="65"/>
      <c r="BM513" s="65"/>
      <c r="BN513" s="65"/>
      <c r="BO513" s="65"/>
      <c r="BP513" s="65"/>
      <c r="BQ513" s="65"/>
      <c r="BR513" s="65"/>
      <c r="BS513" s="65"/>
    </row>
    <row r="514" spans="1:71" s="64" customFormat="1" outlineLevel="1">
      <c r="A514" s="65"/>
      <c r="B514" s="148" t="s">
        <v>1622</v>
      </c>
      <c r="C514" s="149" t="s">
        <v>2141</v>
      </c>
      <c r="D514" s="517" t="s">
        <v>2142</v>
      </c>
      <c r="E514" s="518" t="s">
        <v>2152</v>
      </c>
      <c r="F514" s="152"/>
      <c r="G514"/>
      <c r="H514"/>
      <c r="I514"/>
      <c r="J514"/>
      <c r="K514"/>
      <c r="L514"/>
      <c r="M514"/>
      <c r="N514"/>
      <c r="O514"/>
      <c r="P514"/>
      <c r="Q514"/>
      <c r="R514"/>
      <c r="S514"/>
      <c r="T514"/>
      <c r="U514"/>
      <c r="V514"/>
      <c r="W514"/>
      <c r="BF514" s="65"/>
      <c r="BG514" s="65"/>
      <c r="BH514" s="65"/>
      <c r="BI514" s="65"/>
      <c r="BJ514" s="65"/>
      <c r="BK514" s="65"/>
      <c r="BL514" s="65"/>
      <c r="BM514" s="65"/>
      <c r="BN514" s="65"/>
      <c r="BO514" s="65"/>
      <c r="BP514" s="65"/>
      <c r="BQ514" s="65"/>
      <c r="BR514" s="65"/>
      <c r="BS514" s="65"/>
    </row>
    <row r="515" spans="1:71" s="64" customFormat="1" outlineLevel="1">
      <c r="A515" s="65"/>
      <c r="B515" s="148" t="s">
        <v>1622</v>
      </c>
      <c r="C515" s="149" t="s">
        <v>2141</v>
      </c>
      <c r="D515" s="517" t="s">
        <v>2142</v>
      </c>
      <c r="E515" s="518" t="s">
        <v>2153</v>
      </c>
      <c r="F515" s="152"/>
      <c r="G515"/>
      <c r="H515"/>
      <c r="I515"/>
      <c r="J515"/>
      <c r="K515"/>
      <c r="L515"/>
      <c r="M515"/>
      <c r="N515"/>
      <c r="O515"/>
      <c r="P515"/>
      <c r="Q515"/>
      <c r="R515"/>
      <c r="S515"/>
      <c r="T515"/>
      <c r="U515"/>
      <c r="V515"/>
      <c r="W515"/>
      <c r="BF515" s="65"/>
      <c r="BG515" s="65"/>
      <c r="BH515" s="65"/>
      <c r="BI515" s="65"/>
      <c r="BJ515" s="65"/>
      <c r="BK515" s="65"/>
      <c r="BL515" s="65"/>
      <c r="BM515" s="65"/>
      <c r="BN515" s="65"/>
      <c r="BO515" s="65"/>
      <c r="BP515" s="65"/>
      <c r="BQ515" s="65"/>
      <c r="BR515" s="65"/>
      <c r="BS515" s="65"/>
    </row>
    <row r="516" spans="1:71" s="64" customFormat="1" outlineLevel="1">
      <c r="A516" s="65"/>
      <c r="B516" s="148" t="s">
        <v>1622</v>
      </c>
      <c r="C516" s="149" t="s">
        <v>2141</v>
      </c>
      <c r="D516" s="517" t="s">
        <v>2142</v>
      </c>
      <c r="E516" s="518" t="s">
        <v>2154</v>
      </c>
      <c r="F516" s="152"/>
      <c r="G516"/>
      <c r="H516"/>
      <c r="I516"/>
      <c r="J516"/>
      <c r="K516"/>
      <c r="L516"/>
      <c r="M516"/>
      <c r="N516"/>
      <c r="O516"/>
      <c r="P516"/>
      <c r="Q516"/>
      <c r="R516"/>
      <c r="S516"/>
      <c r="T516"/>
      <c r="U516"/>
      <c r="V516"/>
      <c r="W516"/>
      <c r="BF516" s="65"/>
      <c r="BG516" s="65"/>
      <c r="BH516" s="65"/>
      <c r="BI516" s="65"/>
      <c r="BJ516" s="65"/>
      <c r="BK516" s="65"/>
      <c r="BL516" s="65"/>
      <c r="BM516" s="65"/>
      <c r="BN516" s="65"/>
      <c r="BO516" s="65"/>
      <c r="BP516" s="65"/>
      <c r="BQ516" s="65"/>
      <c r="BR516" s="65"/>
      <c r="BS516" s="65"/>
    </row>
    <row r="517" spans="1:71" s="64" customFormat="1" outlineLevel="1">
      <c r="A517" s="65"/>
      <c r="B517" s="148" t="s">
        <v>1872</v>
      </c>
      <c r="C517" s="149"/>
      <c r="D517" s="151">
        <v>200</v>
      </c>
      <c r="E517" s="151"/>
      <c r="F517" s="152"/>
      <c r="G517"/>
      <c r="H517"/>
      <c r="I517"/>
      <c r="J517"/>
      <c r="K517"/>
      <c r="L517"/>
      <c r="M517"/>
      <c r="N517"/>
      <c r="O517"/>
      <c r="P517"/>
      <c r="Q517"/>
      <c r="R517"/>
      <c r="S517"/>
      <c r="T517"/>
      <c r="U517"/>
      <c r="V517"/>
      <c r="W517"/>
      <c r="BF517" s="65"/>
      <c r="BG517" s="65"/>
      <c r="BH517" s="65"/>
      <c r="BI517" s="65"/>
      <c r="BJ517" s="65"/>
      <c r="BK517" s="65"/>
      <c r="BL517" s="65"/>
      <c r="BM517" s="65"/>
      <c r="BN517" s="65"/>
      <c r="BO517" s="65"/>
      <c r="BP517" s="65"/>
      <c r="BQ517" s="65"/>
      <c r="BR517" s="65"/>
      <c r="BS517" s="65"/>
    </row>
    <row r="518" spans="1:71" s="64" customFormat="1" outlineLevel="1">
      <c r="A518" s="65"/>
      <c r="B518" s="148" t="s">
        <v>1032</v>
      </c>
      <c r="C518" s="149" t="s">
        <v>2155</v>
      </c>
      <c r="D518" s="150"/>
      <c r="E518" s="151"/>
      <c r="F518" s="152"/>
      <c r="G518"/>
      <c r="H518"/>
      <c r="I518"/>
      <c r="J518"/>
      <c r="K518"/>
      <c r="L518"/>
      <c r="M518"/>
      <c r="N518"/>
      <c r="O518"/>
      <c r="P518"/>
      <c r="Q518"/>
      <c r="R518"/>
      <c r="S518"/>
      <c r="T518"/>
      <c r="U518"/>
      <c r="V518"/>
      <c r="W518"/>
      <c r="BF518" s="65"/>
      <c r="BG518" s="65"/>
      <c r="BH518" s="65"/>
      <c r="BI518" s="65"/>
      <c r="BJ518" s="65"/>
      <c r="BK518" s="65"/>
      <c r="BL518" s="65"/>
      <c r="BM518" s="65"/>
      <c r="BN518" s="65"/>
      <c r="BO518" s="65"/>
      <c r="BP518" s="65"/>
      <c r="BQ518" s="65"/>
      <c r="BR518" s="65"/>
      <c r="BS518" s="65"/>
    </row>
    <row r="519" spans="1:71" s="64" customFormat="1" outlineLevel="1">
      <c r="A519" s="65"/>
      <c r="B519" s="148" t="s">
        <v>1622</v>
      </c>
      <c r="C519" s="149" t="s">
        <v>2141</v>
      </c>
      <c r="D519" s="517" t="s">
        <v>2142</v>
      </c>
      <c r="E519" s="518" t="s">
        <v>2145</v>
      </c>
      <c r="F519" s="152"/>
      <c r="G519"/>
      <c r="H519"/>
      <c r="I519"/>
      <c r="J519"/>
      <c r="K519"/>
      <c r="L519"/>
      <c r="M519"/>
      <c r="N519"/>
      <c r="O519"/>
      <c r="P519"/>
      <c r="Q519"/>
      <c r="R519"/>
      <c r="S519"/>
      <c r="T519"/>
      <c r="U519"/>
      <c r="V519"/>
      <c r="W519"/>
      <c r="BF519" s="65"/>
      <c r="BG519" s="65"/>
      <c r="BH519" s="65"/>
      <c r="BI519" s="65"/>
      <c r="BJ519" s="65"/>
      <c r="BK519" s="65"/>
      <c r="BL519" s="65"/>
      <c r="BM519" s="65"/>
      <c r="BN519" s="65"/>
      <c r="BO519" s="65"/>
      <c r="BP519" s="65"/>
      <c r="BQ519" s="65"/>
      <c r="BR519" s="65"/>
      <c r="BS519" s="65"/>
    </row>
    <row r="520" spans="1:71" s="64" customFormat="1" outlineLevel="1">
      <c r="A520" s="65"/>
      <c r="B520" s="148" t="s">
        <v>1622</v>
      </c>
      <c r="C520" s="149" t="s">
        <v>2141</v>
      </c>
      <c r="D520" s="517" t="s">
        <v>2142</v>
      </c>
      <c r="E520" s="518" t="s">
        <v>2156</v>
      </c>
      <c r="F520" s="152"/>
      <c r="G520"/>
      <c r="H520"/>
      <c r="I520"/>
      <c r="J520"/>
      <c r="K520"/>
      <c r="L520"/>
      <c r="M520"/>
      <c r="N520"/>
      <c r="O520"/>
      <c r="P520"/>
      <c r="Q520"/>
      <c r="R520"/>
      <c r="S520"/>
      <c r="T520"/>
      <c r="U520"/>
      <c r="V520"/>
      <c r="W520"/>
      <c r="BF520" s="65"/>
      <c r="BG520" s="65"/>
      <c r="BH520" s="65"/>
      <c r="BI520" s="65"/>
      <c r="BJ520" s="65"/>
      <c r="BK520" s="65"/>
      <c r="BL520" s="65"/>
      <c r="BM520" s="65"/>
      <c r="BN520" s="65"/>
      <c r="BO520" s="65"/>
      <c r="BP520" s="65"/>
      <c r="BQ520" s="65"/>
      <c r="BR520" s="65"/>
      <c r="BS520" s="65"/>
    </row>
    <row r="521" spans="1:71" s="64" customFormat="1" outlineLevel="1">
      <c r="A521" s="65"/>
      <c r="B521" s="148" t="s">
        <v>1872</v>
      </c>
      <c r="C521" s="149"/>
      <c r="D521" s="151">
        <v>200</v>
      </c>
      <c r="E521" s="151"/>
      <c r="F521" s="152"/>
      <c r="G521"/>
      <c r="H521"/>
      <c r="I521"/>
      <c r="J521"/>
      <c r="K521"/>
      <c r="L521"/>
      <c r="M521"/>
      <c r="N521"/>
      <c r="O521"/>
      <c r="P521"/>
      <c r="Q521"/>
      <c r="R521"/>
      <c r="S521"/>
      <c r="T521"/>
      <c r="U521"/>
      <c r="V521"/>
      <c r="W521"/>
      <c r="BF521" s="65"/>
      <c r="BG521" s="65"/>
      <c r="BH521" s="65"/>
      <c r="BI521" s="65"/>
      <c r="BJ521" s="65"/>
      <c r="BK521" s="65"/>
      <c r="BL521" s="65"/>
      <c r="BM521" s="65"/>
      <c r="BN521" s="65"/>
      <c r="BO521" s="65"/>
      <c r="BP521" s="65"/>
      <c r="BQ521" s="65"/>
      <c r="BR521" s="65"/>
      <c r="BS521" s="65"/>
    </row>
    <row r="522" spans="1:71" s="64" customFormat="1" outlineLevel="1">
      <c r="A522" s="65"/>
      <c r="B522" s="148" t="s">
        <v>1032</v>
      </c>
      <c r="C522" s="149" t="s">
        <v>2157</v>
      </c>
      <c r="D522" s="150"/>
      <c r="E522" s="151"/>
      <c r="F522" s="152"/>
      <c r="G522"/>
      <c r="H522"/>
      <c r="I522"/>
      <c r="J522"/>
      <c r="K522"/>
      <c r="L522"/>
      <c r="M522"/>
      <c r="N522"/>
      <c r="O522"/>
      <c r="P522"/>
      <c r="Q522"/>
      <c r="R522"/>
      <c r="S522"/>
      <c r="T522"/>
      <c r="U522"/>
      <c r="V522"/>
      <c r="W522"/>
      <c r="BF522" s="65"/>
      <c r="BG522" s="65"/>
      <c r="BH522" s="65"/>
      <c r="BI522" s="65"/>
      <c r="BJ522" s="65"/>
      <c r="BK522" s="65"/>
      <c r="BL522" s="65"/>
      <c r="BM522" s="65"/>
      <c r="BN522" s="65"/>
      <c r="BO522" s="65"/>
      <c r="BP522" s="65"/>
      <c r="BQ522" s="65"/>
      <c r="BR522" s="65"/>
      <c r="BS522" s="65"/>
    </row>
    <row r="523" spans="1:71" s="64" customFormat="1" outlineLevel="1">
      <c r="A523" s="65"/>
      <c r="B523" s="148" t="s">
        <v>1622</v>
      </c>
      <c r="C523" s="149" t="s">
        <v>2141</v>
      </c>
      <c r="D523" s="517" t="s">
        <v>2142</v>
      </c>
      <c r="E523" s="518" t="s">
        <v>2148</v>
      </c>
      <c r="F523" s="152"/>
      <c r="G523"/>
      <c r="H523"/>
      <c r="I523"/>
      <c r="J523"/>
      <c r="K523"/>
      <c r="L523"/>
      <c r="M523"/>
      <c r="N523"/>
      <c r="O523"/>
      <c r="P523"/>
      <c r="Q523"/>
      <c r="R523"/>
      <c r="S523"/>
      <c r="T523"/>
      <c r="U523"/>
      <c r="V523"/>
      <c r="W523"/>
      <c r="BF523" s="65"/>
      <c r="BG523" s="65"/>
      <c r="BH523" s="65"/>
      <c r="BI523" s="65"/>
      <c r="BJ523" s="65"/>
      <c r="BK523" s="65"/>
      <c r="BL523" s="65"/>
      <c r="BM523" s="65"/>
      <c r="BN523" s="65"/>
      <c r="BO523" s="65"/>
      <c r="BP523" s="65"/>
      <c r="BQ523" s="65"/>
      <c r="BR523" s="65"/>
      <c r="BS523" s="65"/>
    </row>
    <row r="524" spans="1:71" s="64" customFormat="1" outlineLevel="1">
      <c r="A524" s="65"/>
      <c r="B524" s="148" t="s">
        <v>1622</v>
      </c>
      <c r="C524" s="149" t="s">
        <v>2141</v>
      </c>
      <c r="D524" s="517" t="s">
        <v>2142</v>
      </c>
      <c r="E524" s="518" t="s">
        <v>2158</v>
      </c>
      <c r="F524" s="152"/>
      <c r="G524"/>
      <c r="H524"/>
      <c r="I524"/>
      <c r="J524"/>
      <c r="K524"/>
      <c r="L524"/>
      <c r="M524"/>
      <c r="N524"/>
      <c r="O524"/>
      <c r="P524"/>
      <c r="Q524"/>
      <c r="R524"/>
      <c r="S524"/>
      <c r="T524"/>
      <c r="U524"/>
      <c r="V524"/>
      <c r="W524"/>
      <c r="BF524" s="65"/>
      <c r="BG524" s="65"/>
      <c r="BH524" s="65"/>
      <c r="BI524" s="65"/>
      <c r="BJ524" s="65"/>
      <c r="BK524" s="65"/>
      <c r="BL524" s="65"/>
      <c r="BM524" s="65"/>
      <c r="BN524" s="65"/>
      <c r="BO524" s="65"/>
      <c r="BP524" s="65"/>
      <c r="BQ524" s="65"/>
      <c r="BR524" s="65"/>
      <c r="BS524" s="65"/>
    </row>
    <row r="525" spans="1:71" s="64" customFormat="1" outlineLevel="1">
      <c r="A525" s="65"/>
      <c r="B525" s="148" t="s">
        <v>1622</v>
      </c>
      <c r="C525" s="149" t="s">
        <v>2141</v>
      </c>
      <c r="D525" s="517" t="s">
        <v>2142</v>
      </c>
      <c r="E525" s="518" t="s">
        <v>2159</v>
      </c>
      <c r="F525" s="152"/>
      <c r="G525"/>
      <c r="H525"/>
      <c r="I525"/>
      <c r="J525"/>
      <c r="K525"/>
      <c r="L525"/>
      <c r="M525"/>
      <c r="N525"/>
      <c r="O525"/>
      <c r="P525"/>
      <c r="Q525"/>
      <c r="R525"/>
      <c r="S525"/>
      <c r="T525"/>
      <c r="U525"/>
      <c r="V525"/>
      <c r="W525"/>
      <c r="BF525" s="65"/>
      <c r="BG525" s="65"/>
      <c r="BH525" s="65"/>
      <c r="BI525" s="65"/>
      <c r="BJ525" s="65"/>
      <c r="BK525" s="65"/>
      <c r="BL525" s="65"/>
      <c r="BM525" s="65"/>
      <c r="BN525" s="65"/>
      <c r="BO525" s="65"/>
      <c r="BP525" s="65"/>
      <c r="BQ525" s="65"/>
      <c r="BR525" s="65"/>
      <c r="BS525" s="65"/>
    </row>
    <row r="526" spans="1:71" s="64" customFormat="1" outlineLevel="1">
      <c r="A526" s="65"/>
      <c r="B526" s="148" t="s">
        <v>1622</v>
      </c>
      <c r="C526" s="149" t="s">
        <v>2141</v>
      </c>
      <c r="D526" s="517" t="s">
        <v>2142</v>
      </c>
      <c r="E526" s="518" t="s">
        <v>1870</v>
      </c>
      <c r="F526" s="152"/>
      <c r="G526"/>
      <c r="H526"/>
      <c r="I526"/>
      <c r="J526"/>
      <c r="K526"/>
      <c r="L526"/>
      <c r="M526"/>
      <c r="N526"/>
      <c r="O526"/>
      <c r="P526"/>
      <c r="Q526"/>
      <c r="R526"/>
      <c r="S526"/>
      <c r="T526"/>
      <c r="U526"/>
      <c r="V526"/>
      <c r="W526"/>
      <c r="BF526" s="65"/>
      <c r="BG526" s="65"/>
      <c r="BH526" s="65"/>
      <c r="BI526" s="65"/>
      <c r="BJ526" s="65"/>
      <c r="BK526" s="65"/>
      <c r="BL526" s="65"/>
      <c r="BM526" s="65"/>
      <c r="BN526" s="65"/>
      <c r="BO526" s="65"/>
      <c r="BP526" s="65"/>
      <c r="BQ526" s="65"/>
      <c r="BR526" s="65"/>
      <c r="BS526" s="65"/>
    </row>
    <row r="527" spans="1:71" s="64" customFormat="1" outlineLevel="1">
      <c r="A527" s="65"/>
      <c r="B527" s="148" t="s">
        <v>1872</v>
      </c>
      <c r="C527" s="149"/>
      <c r="D527" s="151">
        <v>200</v>
      </c>
      <c r="E527" s="151"/>
      <c r="F527" s="152"/>
      <c r="G527"/>
      <c r="H527"/>
      <c r="I527"/>
      <c r="J527"/>
      <c r="K527"/>
      <c r="L527"/>
      <c r="M527"/>
      <c r="N527"/>
      <c r="O527"/>
      <c r="P527"/>
      <c r="Q527"/>
      <c r="R527"/>
      <c r="S527"/>
      <c r="T527"/>
      <c r="U527"/>
      <c r="V527"/>
      <c r="W527"/>
      <c r="BF527" s="65"/>
      <c r="BG527" s="65"/>
      <c r="BH527" s="65"/>
      <c r="BI527" s="65"/>
      <c r="BJ527" s="65"/>
      <c r="BK527" s="65"/>
      <c r="BL527" s="65"/>
      <c r="BM527" s="65"/>
      <c r="BN527" s="65"/>
      <c r="BO527" s="65"/>
      <c r="BP527" s="65"/>
      <c r="BQ527" s="65"/>
      <c r="BR527" s="65"/>
      <c r="BS527" s="65"/>
    </row>
    <row r="528" spans="1:71" s="64" customFormat="1" outlineLevel="1">
      <c r="A528" s="65"/>
      <c r="B528" s="148" t="s">
        <v>1032</v>
      </c>
      <c r="C528" s="149" t="s">
        <v>2160</v>
      </c>
      <c r="D528" s="150"/>
      <c r="E528" s="151"/>
      <c r="F528" s="152"/>
      <c r="G528"/>
      <c r="H528"/>
      <c r="I528"/>
      <c r="J528"/>
      <c r="K528"/>
      <c r="L528"/>
      <c r="M528"/>
      <c r="N528"/>
      <c r="O528"/>
      <c r="P528"/>
      <c r="Q528"/>
      <c r="R528"/>
      <c r="S528"/>
      <c r="T528"/>
      <c r="U528"/>
      <c r="V528"/>
      <c r="W528"/>
      <c r="BF528" s="65"/>
      <c r="BG528" s="65"/>
      <c r="BH528" s="65"/>
      <c r="BI528" s="65"/>
      <c r="BJ528" s="65"/>
      <c r="BK528" s="65"/>
      <c r="BL528" s="65"/>
      <c r="BM528" s="65"/>
      <c r="BN528" s="65"/>
      <c r="BO528" s="65"/>
      <c r="BP528" s="65"/>
      <c r="BQ528" s="65"/>
      <c r="BR528" s="65"/>
      <c r="BS528" s="65"/>
    </row>
    <row r="529" spans="1:71" s="64" customFormat="1" outlineLevel="1">
      <c r="A529" s="65"/>
      <c r="B529" s="148" t="s">
        <v>1622</v>
      </c>
      <c r="C529" s="149" t="s">
        <v>2141</v>
      </c>
      <c r="D529" s="517" t="s">
        <v>2142</v>
      </c>
      <c r="E529" s="518" t="s">
        <v>2145</v>
      </c>
      <c r="F529" s="152"/>
      <c r="G529"/>
      <c r="H529"/>
      <c r="I529"/>
      <c r="J529"/>
      <c r="K529"/>
      <c r="L529"/>
      <c r="M529"/>
      <c r="N529"/>
      <c r="O529"/>
      <c r="P529"/>
      <c r="Q529"/>
      <c r="R529"/>
      <c r="S529"/>
      <c r="T529"/>
      <c r="U529"/>
      <c r="V529"/>
      <c r="W529"/>
      <c r="BF529" s="65"/>
      <c r="BG529" s="65"/>
      <c r="BH529" s="65"/>
      <c r="BI529" s="65"/>
      <c r="BJ529" s="65"/>
      <c r="BK529" s="65"/>
      <c r="BL529" s="65"/>
      <c r="BM529" s="65"/>
      <c r="BN529" s="65"/>
      <c r="BO529" s="65"/>
      <c r="BP529" s="65"/>
      <c r="BQ529" s="65"/>
      <c r="BR529" s="65"/>
      <c r="BS529" s="65"/>
    </row>
    <row r="530" spans="1:71" s="64" customFormat="1" outlineLevel="1">
      <c r="A530" s="65"/>
      <c r="B530" s="148" t="s">
        <v>1622</v>
      </c>
      <c r="C530" s="149" t="s">
        <v>2141</v>
      </c>
      <c r="D530" s="517" t="s">
        <v>2142</v>
      </c>
      <c r="E530" s="518" t="s">
        <v>2161</v>
      </c>
      <c r="F530" s="152"/>
      <c r="G530"/>
      <c r="H530"/>
      <c r="I530"/>
      <c r="J530"/>
      <c r="K530"/>
      <c r="L530"/>
      <c r="M530"/>
      <c r="N530"/>
      <c r="O530"/>
      <c r="P530"/>
      <c r="Q530"/>
      <c r="R530"/>
      <c r="S530"/>
      <c r="T530"/>
      <c r="U530"/>
      <c r="V530"/>
      <c r="W530"/>
      <c r="BF530" s="65"/>
      <c r="BG530" s="65"/>
      <c r="BH530" s="65"/>
      <c r="BI530" s="65"/>
      <c r="BJ530" s="65"/>
      <c r="BK530" s="65"/>
      <c r="BL530" s="65"/>
      <c r="BM530" s="65"/>
      <c r="BN530" s="65"/>
      <c r="BO530" s="65"/>
      <c r="BP530" s="65"/>
      <c r="BQ530" s="65"/>
      <c r="BR530" s="65"/>
      <c r="BS530" s="65"/>
    </row>
    <row r="531" spans="1:71" s="64" customFormat="1" outlineLevel="1">
      <c r="A531" s="65"/>
      <c r="B531" s="148" t="s">
        <v>1872</v>
      </c>
      <c r="C531" s="149"/>
      <c r="D531" s="151">
        <v>200</v>
      </c>
      <c r="E531" s="151"/>
      <c r="F531" s="152"/>
      <c r="G531"/>
      <c r="H531"/>
      <c r="I531"/>
      <c r="J531"/>
      <c r="K531"/>
      <c r="L531"/>
      <c r="M531"/>
      <c r="N531"/>
      <c r="O531"/>
      <c r="P531"/>
      <c r="Q531"/>
      <c r="R531"/>
      <c r="S531"/>
      <c r="T531"/>
      <c r="U531"/>
      <c r="V531"/>
      <c r="W531"/>
      <c r="BF531" s="65"/>
      <c r="BG531" s="65"/>
      <c r="BH531" s="65"/>
      <c r="BI531" s="65"/>
      <c r="BJ531" s="65"/>
      <c r="BK531" s="65"/>
      <c r="BL531" s="65"/>
      <c r="BM531" s="65"/>
      <c r="BN531" s="65"/>
      <c r="BO531" s="65"/>
      <c r="BP531" s="65"/>
      <c r="BQ531" s="65"/>
      <c r="BR531" s="65"/>
      <c r="BS531" s="65"/>
    </row>
    <row r="532" spans="1:71" s="64" customFormat="1" outlineLevel="1">
      <c r="A532" s="65"/>
      <c r="B532" s="148" t="s">
        <v>1032</v>
      </c>
      <c r="C532" s="149" t="s">
        <v>2162</v>
      </c>
      <c r="D532" s="150"/>
      <c r="E532" s="151"/>
      <c r="F532" s="152"/>
      <c r="G532"/>
      <c r="H532"/>
      <c r="I532"/>
      <c r="J532"/>
      <c r="K532"/>
      <c r="L532"/>
      <c r="M532"/>
      <c r="N532"/>
      <c r="O532"/>
      <c r="P532"/>
      <c r="Q532"/>
      <c r="R532"/>
      <c r="S532"/>
      <c r="T532"/>
      <c r="U532"/>
      <c r="V532"/>
      <c r="W532"/>
      <c r="BF532" s="65"/>
      <c r="BG532" s="65"/>
      <c r="BH532" s="65"/>
      <c r="BI532" s="65"/>
      <c r="BJ532" s="65"/>
      <c r="BK532" s="65"/>
      <c r="BL532" s="65"/>
      <c r="BM532" s="65"/>
      <c r="BN532" s="65"/>
      <c r="BO532" s="65"/>
      <c r="BP532" s="65"/>
      <c r="BQ532" s="65"/>
      <c r="BR532" s="65"/>
      <c r="BS532" s="65"/>
    </row>
    <row r="533" spans="1:71" s="64" customFormat="1" outlineLevel="1">
      <c r="A533" s="65"/>
      <c r="B533" s="148" t="s">
        <v>1622</v>
      </c>
      <c r="C533" s="149" t="s">
        <v>2141</v>
      </c>
      <c r="D533" s="517" t="s">
        <v>2142</v>
      </c>
      <c r="E533" s="518" t="s">
        <v>2145</v>
      </c>
      <c r="F533" s="152"/>
      <c r="G533"/>
      <c r="H533"/>
      <c r="I533"/>
      <c r="J533"/>
      <c r="K533"/>
      <c r="L533"/>
      <c r="M533"/>
      <c r="N533"/>
      <c r="O533"/>
      <c r="P533"/>
      <c r="Q533"/>
      <c r="R533"/>
      <c r="S533"/>
      <c r="T533"/>
      <c r="U533"/>
      <c r="V533"/>
      <c r="W533"/>
      <c r="BF533" s="65"/>
      <c r="BG533" s="65"/>
      <c r="BH533" s="65"/>
      <c r="BI533" s="65"/>
      <c r="BJ533" s="65"/>
      <c r="BK533" s="65"/>
      <c r="BL533" s="65"/>
      <c r="BM533" s="65"/>
      <c r="BN533" s="65"/>
      <c r="BO533" s="65"/>
      <c r="BP533" s="65"/>
      <c r="BQ533" s="65"/>
      <c r="BR533" s="65"/>
      <c r="BS533" s="65"/>
    </row>
    <row r="534" spans="1:71" s="64" customFormat="1" outlineLevel="1">
      <c r="A534" s="65"/>
      <c r="B534" s="148" t="s">
        <v>1622</v>
      </c>
      <c r="C534" s="149" t="s">
        <v>2141</v>
      </c>
      <c r="D534" s="517" t="s">
        <v>2142</v>
      </c>
      <c r="E534" s="518" t="s">
        <v>2163</v>
      </c>
      <c r="F534" s="152"/>
      <c r="G534"/>
      <c r="H534"/>
      <c r="I534"/>
      <c r="J534"/>
      <c r="K534"/>
      <c r="L534"/>
      <c r="M534"/>
      <c r="N534"/>
      <c r="O534"/>
      <c r="P534"/>
      <c r="Q534"/>
      <c r="R534"/>
      <c r="S534"/>
      <c r="T534"/>
      <c r="U534"/>
      <c r="V534"/>
      <c r="W534"/>
      <c r="BF534" s="65"/>
      <c r="BG534" s="65"/>
      <c r="BH534" s="65"/>
      <c r="BI534" s="65"/>
      <c r="BJ534" s="65"/>
      <c r="BK534" s="65"/>
      <c r="BL534" s="65"/>
      <c r="BM534" s="65"/>
      <c r="BN534" s="65"/>
      <c r="BO534" s="65"/>
      <c r="BP534" s="65"/>
      <c r="BQ534" s="65"/>
      <c r="BR534" s="65"/>
      <c r="BS534" s="65"/>
    </row>
    <row r="535" spans="1:71" s="64" customFormat="1" outlineLevel="1">
      <c r="A535" s="65"/>
      <c r="B535" s="148" t="s">
        <v>1872</v>
      </c>
      <c r="C535" s="149"/>
      <c r="D535" s="151">
        <v>200</v>
      </c>
      <c r="E535" s="151"/>
      <c r="F535" s="152"/>
      <c r="G535"/>
      <c r="H535"/>
      <c r="I535"/>
      <c r="J535"/>
      <c r="K535"/>
      <c r="L535"/>
      <c r="M535"/>
      <c r="N535"/>
      <c r="O535"/>
      <c r="P535"/>
      <c r="Q535"/>
      <c r="R535"/>
      <c r="S535"/>
      <c r="T535"/>
      <c r="U535"/>
      <c r="V535"/>
      <c r="W535"/>
      <c r="BF535" s="65"/>
      <c r="BG535" s="65"/>
      <c r="BH535" s="65"/>
      <c r="BI535" s="65"/>
      <c r="BJ535" s="65"/>
      <c r="BK535" s="65"/>
      <c r="BL535" s="65"/>
      <c r="BM535" s="65"/>
      <c r="BN535" s="65"/>
      <c r="BO535" s="65"/>
      <c r="BP535" s="65"/>
      <c r="BQ535" s="65"/>
      <c r="BR535" s="65"/>
      <c r="BS535" s="65"/>
    </row>
    <row r="536" spans="1:71" s="64" customFormat="1" outlineLevel="1">
      <c r="A536" s="65"/>
      <c r="B536" s="148" t="s">
        <v>1032</v>
      </c>
      <c r="C536" s="149" t="s">
        <v>2164</v>
      </c>
      <c r="D536" s="150"/>
      <c r="E536" s="151"/>
      <c r="F536" s="152"/>
      <c r="G536"/>
      <c r="H536"/>
      <c r="I536"/>
      <c r="J536"/>
      <c r="K536"/>
      <c r="L536"/>
      <c r="M536"/>
      <c r="N536"/>
      <c r="O536"/>
      <c r="P536"/>
      <c r="Q536"/>
      <c r="R536"/>
      <c r="S536"/>
      <c r="T536"/>
      <c r="U536"/>
      <c r="V536"/>
      <c r="W536"/>
      <c r="BF536" s="65"/>
      <c r="BG536" s="65"/>
      <c r="BH536" s="65"/>
      <c r="BI536" s="65"/>
      <c r="BJ536" s="65"/>
      <c r="BK536" s="65"/>
      <c r="BL536" s="65"/>
      <c r="BM536" s="65"/>
      <c r="BN536" s="65"/>
      <c r="BO536" s="65"/>
      <c r="BP536" s="65"/>
      <c r="BQ536" s="65"/>
      <c r="BR536" s="65"/>
      <c r="BS536" s="65"/>
    </row>
    <row r="537" spans="1:71" s="64" customFormat="1" outlineLevel="1">
      <c r="A537" s="65"/>
      <c r="B537" s="148" t="s">
        <v>1622</v>
      </c>
      <c r="C537" s="149" t="s">
        <v>2141</v>
      </c>
      <c r="D537" s="517" t="s">
        <v>2142</v>
      </c>
      <c r="E537" s="518" t="s">
        <v>2145</v>
      </c>
      <c r="F537" s="152"/>
      <c r="G537"/>
      <c r="H537"/>
      <c r="I537"/>
      <c r="J537"/>
      <c r="K537"/>
      <c r="L537"/>
      <c r="M537"/>
      <c r="N537"/>
      <c r="O537"/>
      <c r="P537"/>
      <c r="Q537"/>
      <c r="R537"/>
      <c r="S537"/>
      <c r="T537"/>
      <c r="U537"/>
      <c r="V537"/>
      <c r="W537"/>
      <c r="BF537" s="65"/>
      <c r="BG537" s="65"/>
      <c r="BH537" s="65"/>
      <c r="BI537" s="65"/>
      <c r="BJ537" s="65"/>
      <c r="BK537" s="65"/>
      <c r="BL537" s="65"/>
      <c r="BM537" s="65"/>
      <c r="BN537" s="65"/>
      <c r="BO537" s="65"/>
      <c r="BP537" s="65"/>
      <c r="BQ537" s="65"/>
      <c r="BR537" s="65"/>
      <c r="BS537" s="65"/>
    </row>
    <row r="538" spans="1:71" s="64" customFormat="1" outlineLevel="1">
      <c r="A538" s="65"/>
      <c r="B538" s="148" t="s">
        <v>1622</v>
      </c>
      <c r="C538" s="149" t="s">
        <v>2141</v>
      </c>
      <c r="D538" s="517" t="s">
        <v>2142</v>
      </c>
      <c r="E538" s="518" t="s">
        <v>2165</v>
      </c>
      <c r="F538" s="152"/>
      <c r="G538"/>
      <c r="H538"/>
      <c r="I538"/>
      <c r="J538"/>
      <c r="K538"/>
      <c r="L538"/>
      <c r="M538"/>
      <c r="N538"/>
      <c r="O538"/>
      <c r="P538"/>
      <c r="Q538"/>
      <c r="R538"/>
      <c r="S538"/>
      <c r="T538"/>
      <c r="U538"/>
      <c r="V538"/>
      <c r="W538"/>
      <c r="BF538" s="65"/>
      <c r="BG538" s="65"/>
      <c r="BH538" s="65"/>
      <c r="BI538" s="65"/>
      <c r="BJ538" s="65"/>
      <c r="BK538" s="65"/>
      <c r="BL538" s="65"/>
      <c r="BM538" s="65"/>
      <c r="BN538" s="65"/>
      <c r="BO538" s="65"/>
      <c r="BP538" s="65"/>
      <c r="BQ538" s="65"/>
      <c r="BR538" s="65"/>
      <c r="BS538" s="65"/>
    </row>
    <row r="539" spans="1:71" s="64" customFormat="1" outlineLevel="1">
      <c r="A539" s="65"/>
      <c r="B539" s="148" t="s">
        <v>1872</v>
      </c>
      <c r="C539" s="149"/>
      <c r="D539" s="151">
        <v>200</v>
      </c>
      <c r="E539" s="151"/>
      <c r="F539" s="152"/>
      <c r="G539"/>
      <c r="H539"/>
      <c r="I539"/>
      <c r="J539"/>
      <c r="K539"/>
      <c r="L539"/>
      <c r="M539"/>
      <c r="N539"/>
      <c r="O539"/>
      <c r="P539"/>
      <c r="Q539"/>
      <c r="R539"/>
      <c r="S539"/>
      <c r="T539"/>
      <c r="U539"/>
      <c r="V539"/>
      <c r="W539"/>
      <c r="BF539" s="65"/>
      <c r="BG539" s="65"/>
      <c r="BH539" s="65"/>
      <c r="BI539" s="65"/>
      <c r="BJ539" s="65"/>
      <c r="BK539" s="65"/>
      <c r="BL539" s="65"/>
      <c r="BM539" s="65"/>
      <c r="BN539" s="65"/>
      <c r="BO539" s="65"/>
      <c r="BP539" s="65"/>
      <c r="BQ539" s="65"/>
      <c r="BR539" s="65"/>
      <c r="BS539" s="65"/>
    </row>
    <row r="540" spans="1:71" s="64" customFormat="1" outlineLevel="1">
      <c r="A540" s="65"/>
      <c r="B540" s="148" t="s">
        <v>1032</v>
      </c>
      <c r="C540" s="149" t="s">
        <v>1871</v>
      </c>
      <c r="D540" s="150"/>
      <c r="E540" s="151"/>
      <c r="F540" s="152"/>
      <c r="G540"/>
      <c r="H540"/>
      <c r="I540"/>
      <c r="J540"/>
      <c r="K540"/>
      <c r="L540"/>
      <c r="M540"/>
      <c r="N540"/>
      <c r="O540"/>
      <c r="P540"/>
      <c r="Q540"/>
      <c r="R540"/>
      <c r="S540"/>
      <c r="T540"/>
      <c r="U540"/>
      <c r="V540"/>
      <c r="W540"/>
      <c r="BF540" s="65"/>
      <c r="BG540" s="65"/>
      <c r="BH540" s="65"/>
      <c r="BI540" s="65"/>
      <c r="BJ540" s="65"/>
      <c r="BK540" s="65"/>
      <c r="BL540" s="65"/>
      <c r="BM540" s="65"/>
      <c r="BN540" s="65"/>
      <c r="BO540" s="65"/>
      <c r="BP540" s="65"/>
      <c r="BQ540" s="65"/>
      <c r="BR540" s="65"/>
      <c r="BS540" s="65"/>
    </row>
    <row r="541" spans="1:71" s="64" customFormat="1" outlineLevel="1">
      <c r="A541" s="65"/>
      <c r="B541" s="148" t="s">
        <v>1622</v>
      </c>
      <c r="C541" s="149" t="s">
        <v>2141</v>
      </c>
      <c r="D541" s="517" t="s">
        <v>2142</v>
      </c>
      <c r="E541" s="518" t="s">
        <v>2143</v>
      </c>
      <c r="F541" s="152"/>
      <c r="G541"/>
      <c r="H541"/>
      <c r="I541"/>
      <c r="J541"/>
      <c r="K541"/>
      <c r="L541"/>
      <c r="M541"/>
      <c r="N541"/>
      <c r="O541"/>
      <c r="P541"/>
      <c r="Q541"/>
      <c r="R541"/>
      <c r="S541"/>
      <c r="T541"/>
      <c r="U541"/>
      <c r="V541"/>
      <c r="W541"/>
      <c r="BF541" s="65"/>
      <c r="BG541" s="65"/>
      <c r="BH541" s="65"/>
      <c r="BI541" s="65"/>
      <c r="BJ541" s="65"/>
      <c r="BK541" s="65"/>
      <c r="BL541" s="65"/>
      <c r="BM541" s="65"/>
      <c r="BN541" s="65"/>
      <c r="BO541" s="65"/>
      <c r="BP541" s="65"/>
      <c r="BQ541" s="65"/>
      <c r="BR541" s="65"/>
      <c r="BS541" s="65"/>
    </row>
    <row r="542" spans="1:71" s="64" customFormat="1" outlineLevel="1">
      <c r="A542" s="65"/>
      <c r="B542" s="148" t="s">
        <v>1622</v>
      </c>
      <c r="C542" s="149" t="s">
        <v>2141</v>
      </c>
      <c r="D542" s="517" t="s">
        <v>2142</v>
      </c>
      <c r="E542" s="518" t="s">
        <v>2166</v>
      </c>
      <c r="F542" s="152"/>
      <c r="G542"/>
      <c r="H542"/>
      <c r="I542"/>
      <c r="J542"/>
      <c r="K542"/>
      <c r="L542"/>
      <c r="M542"/>
      <c r="N542"/>
      <c r="O542"/>
      <c r="P542"/>
      <c r="Q542"/>
      <c r="R542"/>
      <c r="S542"/>
      <c r="T542"/>
      <c r="U542"/>
      <c r="V542"/>
      <c r="W542"/>
      <c r="BF542" s="65"/>
      <c r="BG542" s="65"/>
      <c r="BH542" s="65"/>
      <c r="BI542" s="65"/>
      <c r="BJ542" s="65"/>
      <c r="BK542" s="65"/>
      <c r="BL542" s="65"/>
      <c r="BM542" s="65"/>
      <c r="BN542" s="65"/>
      <c r="BO542" s="65"/>
      <c r="BP542" s="65"/>
      <c r="BQ542" s="65"/>
      <c r="BR542" s="65"/>
      <c r="BS542" s="65"/>
    </row>
    <row r="543" spans="1:71" s="64" customFormat="1" outlineLevel="1">
      <c r="A543" s="65"/>
      <c r="B543" s="148" t="s">
        <v>1872</v>
      </c>
      <c r="C543" s="149"/>
      <c r="D543" s="151">
        <v>120000</v>
      </c>
      <c r="E543" s="151"/>
      <c r="F543" s="152"/>
      <c r="G543"/>
      <c r="H543"/>
      <c r="I543"/>
      <c r="J543"/>
      <c r="K543"/>
      <c r="L543"/>
      <c r="M543"/>
      <c r="N543"/>
      <c r="O543"/>
      <c r="P543"/>
      <c r="Q543"/>
      <c r="R543"/>
      <c r="S543"/>
      <c r="T543"/>
      <c r="U543"/>
      <c r="V543"/>
      <c r="W543"/>
      <c r="BF543" s="65"/>
      <c r="BG543" s="65"/>
      <c r="BH543" s="65"/>
      <c r="BI543" s="65"/>
      <c r="BJ543" s="65"/>
      <c r="BK543" s="65"/>
      <c r="BL543" s="65"/>
      <c r="BM543" s="65"/>
      <c r="BN543" s="65"/>
      <c r="BO543" s="65"/>
      <c r="BP543" s="65"/>
      <c r="BQ543" s="65"/>
      <c r="BR543" s="65"/>
      <c r="BS543" s="65"/>
    </row>
    <row r="544" spans="1:71" s="64" customFormat="1" outlineLevel="1">
      <c r="A544" s="65"/>
      <c r="B544" s="148" t="s">
        <v>1032</v>
      </c>
      <c r="C544" s="149" t="s">
        <v>2167</v>
      </c>
      <c r="D544" s="150"/>
      <c r="E544" s="151"/>
      <c r="F544" s="152"/>
      <c r="G544"/>
      <c r="H544"/>
      <c r="I544"/>
      <c r="J544"/>
      <c r="K544"/>
      <c r="L544"/>
      <c r="M544"/>
      <c r="N544"/>
      <c r="O544"/>
      <c r="P544"/>
      <c r="Q544"/>
      <c r="R544"/>
      <c r="S544"/>
      <c r="T544"/>
      <c r="U544"/>
      <c r="V544"/>
      <c r="W544"/>
      <c r="BF544" s="65"/>
      <c r="BG544" s="65"/>
      <c r="BH544" s="65"/>
      <c r="BI544" s="65"/>
      <c r="BJ544" s="65"/>
      <c r="BK544" s="65"/>
      <c r="BL544" s="65"/>
      <c r="BM544" s="65"/>
      <c r="BN544" s="65"/>
      <c r="BO544" s="65"/>
      <c r="BP544" s="65"/>
      <c r="BQ544" s="65"/>
      <c r="BR544" s="65"/>
      <c r="BS544" s="65"/>
    </row>
    <row r="545" spans="1:71" s="64" customFormat="1" outlineLevel="1">
      <c r="A545" s="65"/>
      <c r="B545" s="148" t="s">
        <v>1622</v>
      </c>
      <c r="C545" s="149" t="s">
        <v>2141</v>
      </c>
      <c r="D545" s="517" t="s">
        <v>2142</v>
      </c>
      <c r="E545" s="518" t="s">
        <v>2168</v>
      </c>
      <c r="F545" s="152"/>
      <c r="G545"/>
      <c r="H545"/>
      <c r="I545"/>
      <c r="J545"/>
      <c r="K545"/>
      <c r="L545"/>
      <c r="M545"/>
      <c r="N545"/>
      <c r="O545"/>
      <c r="P545"/>
      <c r="Q545"/>
      <c r="R545"/>
      <c r="S545"/>
      <c r="T545"/>
      <c r="U545"/>
      <c r="V545"/>
      <c r="W545"/>
      <c r="BF545" s="65"/>
      <c r="BG545" s="65"/>
      <c r="BH545" s="65"/>
      <c r="BI545" s="65"/>
      <c r="BJ545" s="65"/>
      <c r="BK545" s="65"/>
      <c r="BL545" s="65"/>
      <c r="BM545" s="65"/>
      <c r="BN545" s="65"/>
      <c r="BO545" s="65"/>
      <c r="BP545" s="65"/>
      <c r="BQ545" s="65"/>
      <c r="BR545" s="65"/>
      <c r="BS545" s="65"/>
    </row>
    <row r="546" spans="1:71" s="64" customFormat="1" outlineLevel="1">
      <c r="A546" s="65"/>
      <c r="B546" s="148" t="s">
        <v>1622</v>
      </c>
      <c r="C546" s="149" t="s">
        <v>2141</v>
      </c>
      <c r="D546" s="517" t="s">
        <v>2142</v>
      </c>
      <c r="E546" s="518" t="s">
        <v>2169</v>
      </c>
      <c r="F546" s="152"/>
      <c r="G546"/>
      <c r="H546"/>
      <c r="I546"/>
      <c r="J546"/>
      <c r="K546"/>
      <c r="L546"/>
      <c r="M546"/>
      <c r="N546"/>
      <c r="O546"/>
      <c r="P546"/>
      <c r="Q546"/>
      <c r="R546"/>
      <c r="S546"/>
      <c r="T546"/>
      <c r="U546"/>
      <c r="V546"/>
      <c r="W546"/>
      <c r="BF546" s="65"/>
      <c r="BG546" s="65"/>
      <c r="BH546" s="65"/>
      <c r="BI546" s="65"/>
      <c r="BJ546" s="65"/>
      <c r="BK546" s="65"/>
      <c r="BL546" s="65"/>
      <c r="BM546" s="65"/>
      <c r="BN546" s="65"/>
      <c r="BO546" s="65"/>
      <c r="BP546" s="65"/>
      <c r="BQ546" s="65"/>
      <c r="BR546" s="65"/>
      <c r="BS546" s="65"/>
    </row>
    <row r="547" spans="1:71" s="64" customFormat="1" outlineLevel="1">
      <c r="A547" s="65"/>
      <c r="B547" s="148" t="s">
        <v>1872</v>
      </c>
      <c r="C547" s="149"/>
      <c r="D547" s="151">
        <v>200</v>
      </c>
      <c r="E547" s="151"/>
      <c r="F547" s="152"/>
      <c r="G547"/>
      <c r="H547"/>
      <c r="I547"/>
      <c r="J547"/>
      <c r="K547"/>
      <c r="L547"/>
      <c r="M547"/>
      <c r="N547"/>
      <c r="O547"/>
      <c r="P547"/>
      <c r="Q547"/>
      <c r="R547"/>
      <c r="S547"/>
      <c r="T547"/>
      <c r="U547"/>
      <c r="V547"/>
      <c r="W547"/>
      <c r="BF547" s="65"/>
      <c r="BG547" s="65"/>
      <c r="BH547" s="65"/>
      <c r="BI547" s="65"/>
      <c r="BJ547" s="65"/>
      <c r="BK547" s="65"/>
      <c r="BL547" s="65"/>
      <c r="BM547" s="65"/>
      <c r="BN547" s="65"/>
      <c r="BO547" s="65"/>
      <c r="BP547" s="65"/>
      <c r="BQ547" s="65"/>
      <c r="BR547" s="65"/>
      <c r="BS547" s="65"/>
    </row>
    <row r="548" spans="1:71" s="64" customFormat="1" outlineLevel="1">
      <c r="A548" s="65"/>
      <c r="B548" s="148" t="s">
        <v>1032</v>
      </c>
      <c r="C548" s="149" t="s">
        <v>2170</v>
      </c>
      <c r="D548" s="150"/>
      <c r="E548" s="151"/>
      <c r="F548" s="152"/>
      <c r="G548"/>
      <c r="H548"/>
      <c r="I548"/>
      <c r="J548"/>
      <c r="K548"/>
      <c r="L548"/>
      <c r="M548"/>
      <c r="N548"/>
      <c r="O548"/>
      <c r="P548"/>
      <c r="Q548"/>
      <c r="R548"/>
      <c r="S548"/>
      <c r="T548"/>
      <c r="U548"/>
      <c r="V548"/>
      <c r="W548"/>
      <c r="BF548" s="65"/>
      <c r="BG548" s="65"/>
      <c r="BH548" s="65"/>
      <c r="BI548" s="65"/>
      <c r="BJ548" s="65"/>
      <c r="BK548" s="65"/>
      <c r="BL548" s="65"/>
      <c r="BM548" s="65"/>
      <c r="BN548" s="65"/>
      <c r="BO548" s="65"/>
      <c r="BP548" s="65"/>
      <c r="BQ548" s="65"/>
      <c r="BR548" s="65"/>
      <c r="BS548" s="65"/>
    </row>
    <row r="549" spans="1:71" s="64" customFormat="1" outlineLevel="1">
      <c r="A549" s="65"/>
      <c r="B549" s="148" t="s">
        <v>1622</v>
      </c>
      <c r="C549" s="149" t="s">
        <v>2141</v>
      </c>
      <c r="D549" s="517" t="s">
        <v>2142</v>
      </c>
      <c r="E549" s="518" t="s">
        <v>2171</v>
      </c>
      <c r="F549" s="152"/>
      <c r="G549"/>
      <c r="H549"/>
      <c r="I549"/>
      <c r="J549"/>
      <c r="K549"/>
      <c r="L549"/>
      <c r="M549"/>
      <c r="N549"/>
      <c r="O549"/>
      <c r="P549"/>
      <c r="Q549"/>
      <c r="R549"/>
      <c r="S549"/>
      <c r="T549"/>
      <c r="U549"/>
      <c r="V549"/>
      <c r="W549"/>
      <c r="BF549" s="65"/>
      <c r="BG549" s="65"/>
      <c r="BH549" s="65"/>
      <c r="BI549" s="65"/>
      <c r="BJ549" s="65"/>
      <c r="BK549" s="65"/>
      <c r="BL549" s="65"/>
      <c r="BM549" s="65"/>
      <c r="BN549" s="65"/>
      <c r="BO549" s="65"/>
      <c r="BP549" s="65"/>
      <c r="BQ549" s="65"/>
      <c r="BR549" s="65"/>
      <c r="BS549" s="65"/>
    </row>
    <row r="550" spans="1:71" s="64" customFormat="1" outlineLevel="1">
      <c r="A550" s="65"/>
      <c r="B550" s="148" t="s">
        <v>1622</v>
      </c>
      <c r="C550" s="149" t="s">
        <v>2141</v>
      </c>
      <c r="D550" s="517" t="s">
        <v>2142</v>
      </c>
      <c r="E550" s="518" t="s">
        <v>1649</v>
      </c>
      <c r="F550" s="152"/>
      <c r="G550"/>
      <c r="H550"/>
      <c r="I550"/>
      <c r="J550"/>
      <c r="K550"/>
      <c r="L550"/>
      <c r="M550"/>
      <c r="N550"/>
      <c r="O550"/>
      <c r="P550"/>
      <c r="Q550"/>
      <c r="R550"/>
      <c r="S550"/>
      <c r="T550"/>
      <c r="U550"/>
      <c r="V550"/>
      <c r="W550"/>
      <c r="BF550" s="65"/>
      <c r="BG550" s="65"/>
      <c r="BH550" s="65"/>
      <c r="BI550" s="65"/>
      <c r="BJ550" s="65"/>
      <c r="BK550" s="65"/>
      <c r="BL550" s="65"/>
      <c r="BM550" s="65"/>
      <c r="BN550" s="65"/>
      <c r="BO550" s="65"/>
      <c r="BP550" s="65"/>
      <c r="BQ550" s="65"/>
      <c r="BR550" s="65"/>
      <c r="BS550" s="65"/>
    </row>
    <row r="551" spans="1:71" s="64" customFormat="1" outlineLevel="1">
      <c r="A551" s="65"/>
      <c r="B551" s="148" t="s">
        <v>1622</v>
      </c>
      <c r="C551" s="149" t="s">
        <v>2141</v>
      </c>
      <c r="D551" s="517" t="s">
        <v>2142</v>
      </c>
      <c r="E551" s="518" t="s">
        <v>2172</v>
      </c>
      <c r="F551" s="152"/>
      <c r="G551"/>
      <c r="H551"/>
      <c r="I551"/>
      <c r="J551"/>
      <c r="K551"/>
      <c r="L551"/>
      <c r="M551"/>
      <c r="N551"/>
      <c r="O551"/>
      <c r="P551"/>
      <c r="Q551"/>
      <c r="R551"/>
      <c r="S551"/>
      <c r="T551"/>
      <c r="U551"/>
      <c r="V551"/>
      <c r="W551"/>
      <c r="BF551" s="65"/>
      <c r="BG551" s="65"/>
      <c r="BH551" s="65"/>
      <c r="BI551" s="65"/>
      <c r="BJ551" s="65"/>
      <c r="BK551" s="65"/>
      <c r="BL551" s="65"/>
      <c r="BM551" s="65"/>
      <c r="BN551" s="65"/>
      <c r="BO551" s="65"/>
      <c r="BP551" s="65"/>
      <c r="BQ551" s="65"/>
      <c r="BR551" s="65"/>
      <c r="BS551" s="65"/>
    </row>
    <row r="552" spans="1:71" s="64" customFormat="1" outlineLevel="1">
      <c r="A552" s="65"/>
      <c r="B552" s="148" t="s">
        <v>1622</v>
      </c>
      <c r="C552" s="149" t="s">
        <v>2141</v>
      </c>
      <c r="D552" s="517" t="s">
        <v>2142</v>
      </c>
      <c r="E552" s="518" t="s">
        <v>2173</v>
      </c>
      <c r="F552" s="152"/>
      <c r="G552"/>
      <c r="H552"/>
      <c r="I552"/>
      <c r="J552"/>
      <c r="K552"/>
      <c r="L552"/>
      <c r="M552"/>
      <c r="N552"/>
      <c r="O552"/>
      <c r="P552"/>
      <c r="Q552"/>
      <c r="R552"/>
      <c r="S552"/>
      <c r="T552"/>
      <c r="U552"/>
      <c r="V552"/>
      <c r="W552"/>
      <c r="BF552" s="65"/>
      <c r="BG552" s="65"/>
      <c r="BH552" s="65"/>
      <c r="BI552" s="65"/>
      <c r="BJ552" s="65"/>
      <c r="BK552" s="65"/>
      <c r="BL552" s="65"/>
      <c r="BM552" s="65"/>
      <c r="BN552" s="65"/>
      <c r="BO552" s="65"/>
      <c r="BP552" s="65"/>
      <c r="BQ552" s="65"/>
      <c r="BR552" s="65"/>
      <c r="BS552" s="65"/>
    </row>
    <row r="553" spans="1:71" s="64" customFormat="1" outlineLevel="1">
      <c r="A553" s="65"/>
      <c r="B553" s="148" t="s">
        <v>1622</v>
      </c>
      <c r="C553" s="149" t="s">
        <v>2141</v>
      </c>
      <c r="D553" s="517" t="s">
        <v>2142</v>
      </c>
      <c r="E553" s="518" t="s">
        <v>2174</v>
      </c>
      <c r="F553" s="152"/>
      <c r="G553"/>
      <c r="H553"/>
      <c r="I553"/>
      <c r="J553"/>
      <c r="K553"/>
      <c r="L553"/>
      <c r="M553"/>
      <c r="N553"/>
      <c r="O553"/>
      <c r="P553"/>
      <c r="Q553"/>
      <c r="R553"/>
      <c r="S553"/>
      <c r="T553"/>
      <c r="U553"/>
      <c r="V553"/>
      <c r="W553"/>
      <c r="BF553" s="65"/>
      <c r="BG553" s="65"/>
      <c r="BH553" s="65"/>
      <c r="BI553" s="65"/>
      <c r="BJ553" s="65"/>
      <c r="BK553" s="65"/>
      <c r="BL553" s="65"/>
      <c r="BM553" s="65"/>
      <c r="BN553" s="65"/>
      <c r="BO553" s="65"/>
      <c r="BP553" s="65"/>
      <c r="BQ553" s="65"/>
      <c r="BR553" s="65"/>
      <c r="BS553" s="65"/>
    </row>
    <row r="554" spans="1:71" s="64" customFormat="1" outlineLevel="1">
      <c r="A554" s="65"/>
      <c r="B554" s="148" t="s">
        <v>1622</v>
      </c>
      <c r="C554" s="149" t="s">
        <v>2141</v>
      </c>
      <c r="D554" s="517" t="s">
        <v>2142</v>
      </c>
      <c r="E554" s="518" t="s">
        <v>2175</v>
      </c>
      <c r="F554" s="152"/>
      <c r="G554"/>
      <c r="H554"/>
      <c r="I554"/>
      <c r="J554"/>
      <c r="K554"/>
      <c r="L554"/>
      <c r="M554"/>
      <c r="N554"/>
      <c r="O554"/>
      <c r="P554"/>
      <c r="Q554"/>
      <c r="R554"/>
      <c r="S554"/>
      <c r="T554"/>
      <c r="U554"/>
      <c r="V554"/>
      <c r="W554"/>
      <c r="BF554" s="65"/>
      <c r="BG554" s="65"/>
      <c r="BH554" s="65"/>
      <c r="BI554" s="65"/>
      <c r="BJ554" s="65"/>
      <c r="BK554" s="65"/>
      <c r="BL554" s="65"/>
      <c r="BM554" s="65"/>
      <c r="BN554" s="65"/>
      <c r="BO554" s="65"/>
      <c r="BP554" s="65"/>
      <c r="BQ554" s="65"/>
      <c r="BR554" s="65"/>
      <c r="BS554" s="65"/>
    </row>
    <row r="555" spans="1:71" s="64" customFormat="1" outlineLevel="1">
      <c r="A555" s="65"/>
      <c r="B555" s="148" t="s">
        <v>1622</v>
      </c>
      <c r="C555" s="149" t="s">
        <v>2141</v>
      </c>
      <c r="D555" s="517" t="s">
        <v>2142</v>
      </c>
      <c r="E555" s="518" t="s">
        <v>2176</v>
      </c>
      <c r="F555" s="152"/>
      <c r="G555"/>
      <c r="H555"/>
      <c r="I555"/>
      <c r="J555"/>
      <c r="K555"/>
      <c r="L555"/>
      <c r="M555"/>
      <c r="N555"/>
      <c r="O555"/>
      <c r="P555"/>
      <c r="Q555"/>
      <c r="R555"/>
      <c r="S555"/>
      <c r="T555"/>
      <c r="U555"/>
      <c r="V555"/>
      <c r="W555"/>
      <c r="BF555" s="65"/>
      <c r="BG555" s="65"/>
      <c r="BH555" s="65"/>
      <c r="BI555" s="65"/>
      <c r="BJ555" s="65"/>
      <c r="BK555" s="65"/>
      <c r="BL555" s="65"/>
      <c r="BM555" s="65"/>
      <c r="BN555" s="65"/>
      <c r="BO555" s="65"/>
      <c r="BP555" s="65"/>
      <c r="BQ555" s="65"/>
      <c r="BR555" s="65"/>
      <c r="BS555" s="65"/>
    </row>
    <row r="556" spans="1:71" s="64" customFormat="1" outlineLevel="1">
      <c r="A556" s="65"/>
      <c r="B556" s="148" t="s">
        <v>1622</v>
      </c>
      <c r="C556" s="149" t="s">
        <v>2141</v>
      </c>
      <c r="D556" s="517" t="s">
        <v>2142</v>
      </c>
      <c r="E556" s="518" t="s">
        <v>2177</v>
      </c>
      <c r="F556" s="152"/>
      <c r="G556"/>
      <c r="H556"/>
      <c r="I556"/>
      <c r="J556"/>
      <c r="K556"/>
      <c r="L556"/>
      <c r="M556"/>
      <c r="N556"/>
      <c r="O556"/>
      <c r="P556"/>
      <c r="Q556"/>
      <c r="R556"/>
      <c r="S556"/>
      <c r="T556"/>
      <c r="U556"/>
      <c r="V556"/>
      <c r="W556"/>
      <c r="BF556" s="65"/>
      <c r="BG556" s="65"/>
      <c r="BH556" s="65"/>
      <c r="BI556" s="65"/>
      <c r="BJ556" s="65"/>
      <c r="BK556" s="65"/>
      <c r="BL556" s="65"/>
      <c r="BM556" s="65"/>
      <c r="BN556" s="65"/>
      <c r="BO556" s="65"/>
      <c r="BP556" s="65"/>
      <c r="BQ556" s="65"/>
      <c r="BR556" s="65"/>
      <c r="BS556" s="65"/>
    </row>
    <row r="557" spans="1:71" s="64" customFormat="1" outlineLevel="1">
      <c r="A557" s="65"/>
      <c r="B557" s="148" t="s">
        <v>1622</v>
      </c>
      <c r="C557" s="149" t="s">
        <v>2141</v>
      </c>
      <c r="D557" s="517" t="s">
        <v>2142</v>
      </c>
      <c r="E557" s="518" t="s">
        <v>2178</v>
      </c>
      <c r="F557" s="152"/>
      <c r="G557"/>
      <c r="H557"/>
      <c r="I557"/>
      <c r="J557"/>
      <c r="K557"/>
      <c r="L557"/>
      <c r="M557"/>
      <c r="N557"/>
      <c r="O557"/>
      <c r="P557"/>
      <c r="Q557"/>
      <c r="R557"/>
      <c r="S557"/>
      <c r="T557"/>
      <c r="U557"/>
      <c r="V557"/>
      <c r="W557"/>
      <c r="BF557" s="65"/>
      <c r="BG557" s="65"/>
      <c r="BH557" s="65"/>
      <c r="BI557" s="65"/>
      <c r="BJ557" s="65"/>
      <c r="BK557" s="65"/>
      <c r="BL557" s="65"/>
      <c r="BM557" s="65"/>
      <c r="BN557" s="65"/>
      <c r="BO557" s="65"/>
      <c r="BP557" s="65"/>
      <c r="BQ557" s="65"/>
      <c r="BR557" s="65"/>
      <c r="BS557" s="65"/>
    </row>
    <row r="558" spans="1:71" s="64" customFormat="1" outlineLevel="1">
      <c r="A558" s="65"/>
      <c r="B558" s="148" t="s">
        <v>1622</v>
      </c>
      <c r="C558" s="149" t="s">
        <v>2141</v>
      </c>
      <c r="D558" s="517" t="s">
        <v>2142</v>
      </c>
      <c r="E558" s="518" t="s">
        <v>2179</v>
      </c>
      <c r="F558" s="152"/>
      <c r="G558"/>
      <c r="H558"/>
      <c r="I558"/>
      <c r="J558"/>
      <c r="K558"/>
      <c r="L558"/>
      <c r="M558"/>
      <c r="N558"/>
      <c r="O558"/>
      <c r="P558"/>
      <c r="Q558"/>
      <c r="R558"/>
      <c r="S558"/>
      <c r="T558"/>
      <c r="U558"/>
      <c r="V558"/>
      <c r="W558"/>
      <c r="BF558" s="65"/>
      <c r="BG558" s="65"/>
      <c r="BH558" s="65"/>
      <c r="BI558" s="65"/>
      <c r="BJ558" s="65"/>
      <c r="BK558" s="65"/>
      <c r="BL558" s="65"/>
      <c r="BM558" s="65"/>
      <c r="BN558" s="65"/>
      <c r="BO558" s="65"/>
      <c r="BP558" s="65"/>
      <c r="BQ558" s="65"/>
      <c r="BR558" s="65"/>
      <c r="BS558" s="65"/>
    </row>
    <row r="559" spans="1:71" s="64" customFormat="1" outlineLevel="1">
      <c r="A559" s="65"/>
      <c r="B559" s="148" t="s">
        <v>1622</v>
      </c>
      <c r="C559" s="149" t="s">
        <v>2141</v>
      </c>
      <c r="D559" s="517" t="s">
        <v>2142</v>
      </c>
      <c r="E559" s="518" t="s">
        <v>2180</v>
      </c>
      <c r="F559" s="152"/>
      <c r="G559"/>
      <c r="H559"/>
      <c r="I559"/>
      <c r="J559"/>
      <c r="K559"/>
      <c r="L559"/>
      <c r="M559"/>
      <c r="N559"/>
      <c r="O559"/>
      <c r="P559"/>
      <c r="Q559"/>
      <c r="R559"/>
      <c r="S559"/>
      <c r="T559"/>
      <c r="U559"/>
      <c r="V559"/>
      <c r="W559"/>
      <c r="BF559" s="65"/>
      <c r="BG559" s="65"/>
      <c r="BH559" s="65"/>
      <c r="BI559" s="65"/>
      <c r="BJ559" s="65"/>
      <c r="BK559" s="65"/>
      <c r="BL559" s="65"/>
      <c r="BM559" s="65"/>
      <c r="BN559" s="65"/>
      <c r="BO559" s="65"/>
      <c r="BP559" s="65"/>
      <c r="BQ559" s="65"/>
      <c r="BR559" s="65"/>
      <c r="BS559" s="65"/>
    </row>
    <row r="560" spans="1:71" s="64" customFormat="1" outlineLevel="1">
      <c r="A560" s="65"/>
      <c r="B560" s="148" t="s">
        <v>1622</v>
      </c>
      <c r="C560" s="149" t="s">
        <v>2141</v>
      </c>
      <c r="D560" s="517" t="s">
        <v>2142</v>
      </c>
      <c r="E560" s="518" t="s">
        <v>954</v>
      </c>
      <c r="F560" s="152"/>
      <c r="G560"/>
      <c r="H560"/>
      <c r="I560"/>
      <c r="J560"/>
      <c r="K560"/>
      <c r="L560"/>
      <c r="M560"/>
      <c r="N560"/>
      <c r="O560"/>
      <c r="P560"/>
      <c r="Q560"/>
      <c r="R560"/>
      <c r="S560"/>
      <c r="T560"/>
      <c r="U560"/>
      <c r="V560"/>
      <c r="W560"/>
      <c r="BF560" s="65"/>
      <c r="BG560" s="65"/>
      <c r="BH560" s="65"/>
      <c r="BI560" s="65"/>
      <c r="BJ560" s="65"/>
      <c r="BK560" s="65"/>
      <c r="BL560" s="65"/>
      <c r="BM560" s="65"/>
      <c r="BN560" s="65"/>
      <c r="BO560" s="65"/>
      <c r="BP560" s="65"/>
      <c r="BQ560" s="65"/>
      <c r="BR560" s="65"/>
      <c r="BS560" s="65"/>
    </row>
    <row r="561" spans="1:71" s="64" customFormat="1" outlineLevel="1">
      <c r="A561" s="65"/>
      <c r="B561" s="160"/>
      <c r="C561" s="161"/>
      <c r="D561" s="150"/>
      <c r="E561" s="162"/>
      <c r="F561" s="152"/>
      <c r="G561"/>
      <c r="H561"/>
      <c r="I561"/>
      <c r="J561"/>
      <c r="K561"/>
      <c r="L561"/>
      <c r="M561"/>
      <c r="N561"/>
      <c r="O561"/>
      <c r="P561"/>
      <c r="Q561"/>
      <c r="R561"/>
      <c r="S561"/>
      <c r="T561"/>
      <c r="U561"/>
      <c r="V561"/>
      <c r="W561"/>
      <c r="BF561" s="65"/>
      <c r="BG561" s="65"/>
      <c r="BH561" s="65"/>
      <c r="BI561" s="65"/>
      <c r="BJ561" s="65"/>
      <c r="BK561" s="65"/>
      <c r="BL561" s="65"/>
      <c r="BM561" s="65"/>
      <c r="BN561" s="65"/>
      <c r="BO561" s="65"/>
      <c r="BP561" s="65"/>
      <c r="BQ561" s="65"/>
      <c r="BR561" s="65"/>
      <c r="BS561" s="65"/>
    </row>
    <row r="562" spans="1:71" s="64" customFormat="1" outlineLevel="1">
      <c r="A562" s="65"/>
      <c r="B562" s="148"/>
      <c r="C562" s="149"/>
      <c r="D562" s="150"/>
      <c r="E562" s="151"/>
      <c r="F562" s="152"/>
      <c r="G562"/>
      <c r="H562"/>
      <c r="I562"/>
      <c r="J562"/>
      <c r="K562"/>
      <c r="L562"/>
      <c r="M562"/>
      <c r="N562"/>
      <c r="O562"/>
      <c r="P562"/>
      <c r="Q562"/>
      <c r="R562"/>
      <c r="S562"/>
      <c r="T562"/>
      <c r="U562"/>
      <c r="V562"/>
      <c r="W562"/>
      <c r="BF562" s="65"/>
      <c r="BG562" s="65"/>
      <c r="BH562" s="65"/>
      <c r="BI562" s="65"/>
      <c r="BJ562" s="65"/>
      <c r="BK562" s="65"/>
      <c r="BL562" s="65"/>
      <c r="BM562" s="65"/>
      <c r="BN562" s="65"/>
      <c r="BO562" s="65"/>
      <c r="BP562" s="65"/>
      <c r="BQ562" s="65"/>
      <c r="BR562" s="65"/>
      <c r="BS562" s="65"/>
    </row>
    <row r="563" spans="1:71" s="64" customFormat="1" outlineLevel="1">
      <c r="A563" s="65"/>
      <c r="B563" s="160"/>
      <c r="C563" s="161"/>
      <c r="D563" s="150"/>
      <c r="E563" s="162"/>
      <c r="F563" s="152"/>
      <c r="G563"/>
      <c r="H563"/>
      <c r="I563"/>
      <c r="J563"/>
      <c r="K563"/>
      <c r="L563"/>
      <c r="M563"/>
      <c r="N563"/>
      <c r="O563"/>
      <c r="P563"/>
      <c r="Q563"/>
      <c r="R563"/>
      <c r="S563"/>
      <c r="T563"/>
      <c r="U563"/>
      <c r="V563"/>
      <c r="W563"/>
      <c r="BF563" s="65"/>
      <c r="BG563" s="65"/>
      <c r="BH563" s="65"/>
      <c r="BI563" s="65"/>
      <c r="BJ563" s="65"/>
      <c r="BK563" s="65"/>
      <c r="BL563" s="65"/>
      <c r="BM563" s="65"/>
      <c r="BN563" s="65"/>
      <c r="BO563" s="65"/>
      <c r="BP563" s="65"/>
      <c r="BQ563" s="65"/>
      <c r="BR563" s="65"/>
      <c r="BS563" s="65"/>
    </row>
    <row r="564" spans="1:71" s="64" customFormat="1" outlineLevel="1">
      <c r="A564" s="65"/>
      <c r="B564" s="148"/>
      <c r="C564" s="149"/>
      <c r="D564" s="150"/>
      <c r="E564" s="151"/>
      <c r="F564" s="152"/>
      <c r="G564"/>
      <c r="H564"/>
      <c r="I564"/>
      <c r="J564"/>
      <c r="K564"/>
      <c r="L564"/>
      <c r="M564"/>
      <c r="N564"/>
      <c r="O564"/>
      <c r="P564"/>
      <c r="Q564"/>
      <c r="R564"/>
      <c r="S564"/>
      <c r="T564"/>
      <c r="U564"/>
      <c r="V564"/>
      <c r="W564"/>
      <c r="BF564" s="65"/>
      <c r="BG564" s="65"/>
      <c r="BH564" s="65"/>
      <c r="BI564" s="65"/>
      <c r="BJ564" s="65"/>
      <c r="BK564" s="65"/>
      <c r="BL564" s="65"/>
      <c r="BM564" s="65"/>
      <c r="BN564" s="65"/>
      <c r="BO564" s="65"/>
      <c r="BP564" s="65"/>
      <c r="BQ564" s="65"/>
      <c r="BR564" s="65"/>
      <c r="BS564" s="65"/>
    </row>
    <row r="565" spans="1:71" s="64" customFormat="1" outlineLevel="1">
      <c r="A565" s="65"/>
      <c r="B565" s="160"/>
      <c r="C565" s="161"/>
      <c r="D565" s="150"/>
      <c r="E565" s="162"/>
      <c r="F565" s="152"/>
      <c r="G565"/>
      <c r="H565"/>
      <c r="I565"/>
      <c r="J565"/>
      <c r="K565"/>
      <c r="L565"/>
      <c r="M565"/>
      <c r="N565"/>
      <c r="O565"/>
      <c r="P565"/>
      <c r="Q565"/>
      <c r="R565"/>
      <c r="S565"/>
      <c r="T565"/>
      <c r="U565"/>
      <c r="V565"/>
      <c r="W565"/>
      <c r="BF565" s="65"/>
      <c r="BG565" s="65"/>
      <c r="BH565" s="65"/>
      <c r="BI565" s="65"/>
      <c r="BJ565" s="65"/>
      <c r="BK565" s="65"/>
      <c r="BL565" s="65"/>
      <c r="BM565" s="65"/>
      <c r="BN565" s="65"/>
      <c r="BO565" s="65"/>
      <c r="BP565" s="65"/>
      <c r="BQ565" s="65"/>
      <c r="BR565" s="65"/>
      <c r="BS565" s="65"/>
    </row>
    <row r="566" spans="1:71" s="64" customFormat="1" outlineLevel="1">
      <c r="A566" s="65"/>
      <c r="B566" s="148"/>
      <c r="C566" s="149"/>
      <c r="D566" s="150"/>
      <c r="E566" s="151"/>
      <c r="F566" s="152"/>
      <c r="G566"/>
      <c r="H566"/>
      <c r="I566"/>
      <c r="J566"/>
      <c r="K566"/>
      <c r="L566"/>
      <c r="M566"/>
      <c r="N566"/>
      <c r="O566"/>
      <c r="P566"/>
      <c r="Q566"/>
      <c r="R566"/>
      <c r="S566"/>
      <c r="T566"/>
      <c r="U566"/>
      <c r="V566"/>
      <c r="W566"/>
      <c r="BF566" s="65"/>
      <c r="BG566" s="65"/>
      <c r="BH566" s="65"/>
      <c r="BI566" s="65"/>
      <c r="BJ566" s="65"/>
      <c r="BK566" s="65"/>
      <c r="BL566" s="65"/>
      <c r="BM566" s="65"/>
      <c r="BN566" s="65"/>
      <c r="BO566" s="65"/>
      <c r="BP566" s="65"/>
      <c r="BQ566" s="65"/>
      <c r="BR566" s="65"/>
      <c r="BS566" s="65"/>
    </row>
    <row r="567" spans="1:71" s="64" customFormat="1" outlineLevel="1">
      <c r="A567" s="65"/>
      <c r="B567" s="160"/>
      <c r="C567" s="161"/>
      <c r="D567" s="150"/>
      <c r="E567" s="162"/>
      <c r="F567" s="152"/>
      <c r="G567"/>
      <c r="H567"/>
      <c r="I567"/>
      <c r="J567"/>
      <c r="K567"/>
      <c r="L567"/>
      <c r="M567"/>
      <c r="N567"/>
      <c r="O567"/>
      <c r="P567"/>
      <c r="Q567"/>
      <c r="R567"/>
      <c r="S567"/>
      <c r="T567"/>
      <c r="U567"/>
      <c r="V567"/>
      <c r="W567"/>
      <c r="BF567" s="65"/>
      <c r="BG567" s="65"/>
      <c r="BH567" s="65"/>
      <c r="BI567" s="65"/>
      <c r="BJ567" s="65"/>
      <c r="BK567" s="65"/>
      <c r="BL567" s="65"/>
      <c r="BM567" s="65"/>
      <c r="BN567" s="65"/>
      <c r="BO567" s="65"/>
      <c r="BP567" s="65"/>
      <c r="BQ567" s="65"/>
      <c r="BR567" s="65"/>
      <c r="BS567" s="65"/>
    </row>
    <row r="568" spans="1:71" s="64" customFormat="1" outlineLevel="1">
      <c r="A568" s="65"/>
      <c r="B568" s="148"/>
      <c r="C568" s="149"/>
      <c r="D568" s="150"/>
      <c r="E568" s="151"/>
      <c r="F568" s="152"/>
      <c r="G568"/>
      <c r="H568"/>
      <c r="I568"/>
      <c r="J568"/>
      <c r="K568"/>
      <c r="L568"/>
      <c r="M568"/>
      <c r="N568"/>
      <c r="O568"/>
      <c r="P568"/>
      <c r="Q568"/>
      <c r="R568"/>
      <c r="S568"/>
      <c r="T568"/>
      <c r="U568"/>
      <c r="V568"/>
      <c r="W568"/>
      <c r="BF568" s="65"/>
      <c r="BG568" s="65"/>
      <c r="BH568" s="65"/>
      <c r="BI568" s="65"/>
      <c r="BJ568" s="65"/>
      <c r="BK568" s="65"/>
      <c r="BL568" s="65"/>
      <c r="BM568" s="65"/>
      <c r="BN568" s="65"/>
      <c r="BO568" s="65"/>
      <c r="BP568" s="65"/>
      <c r="BQ568" s="65"/>
      <c r="BR568" s="65"/>
      <c r="BS568" s="65"/>
    </row>
    <row r="569" spans="1:71" s="64" customFormat="1" outlineLevel="1">
      <c r="A569" s="65"/>
      <c r="B569" s="160"/>
      <c r="C569" s="161"/>
      <c r="D569" s="150"/>
      <c r="E569" s="162"/>
      <c r="F569" s="152"/>
      <c r="G569"/>
      <c r="H569"/>
      <c r="I569"/>
      <c r="J569"/>
      <c r="K569"/>
      <c r="L569"/>
      <c r="M569"/>
      <c r="N569"/>
      <c r="O569"/>
      <c r="P569"/>
      <c r="Q569"/>
      <c r="R569"/>
      <c r="S569"/>
      <c r="T569"/>
      <c r="U569"/>
      <c r="V569"/>
      <c r="W569"/>
      <c r="BF569" s="65"/>
      <c r="BG569" s="65"/>
      <c r="BH569" s="65"/>
      <c r="BI569" s="65"/>
      <c r="BJ569" s="65"/>
      <c r="BK569" s="65"/>
      <c r="BL569" s="65"/>
      <c r="BM569" s="65"/>
      <c r="BN569" s="65"/>
      <c r="BO569" s="65"/>
      <c r="BP569" s="65"/>
      <c r="BQ569" s="65"/>
      <c r="BR569" s="65"/>
      <c r="BS569" s="65"/>
    </row>
    <row r="570" spans="1:71" s="64" customFormat="1" outlineLevel="1">
      <c r="A570" s="65"/>
      <c r="B570" s="148"/>
      <c r="C570" s="149"/>
      <c r="D570" s="150"/>
      <c r="E570" s="151"/>
      <c r="F570" s="152"/>
      <c r="G570"/>
      <c r="H570"/>
      <c r="I570"/>
      <c r="J570"/>
      <c r="K570"/>
      <c r="L570"/>
      <c r="M570"/>
      <c r="N570"/>
      <c r="O570"/>
      <c r="P570"/>
      <c r="Q570"/>
      <c r="R570"/>
      <c r="S570"/>
      <c r="T570"/>
      <c r="U570"/>
      <c r="V570"/>
      <c r="W570"/>
      <c r="BF570" s="65"/>
      <c r="BG570" s="65"/>
      <c r="BH570" s="65"/>
      <c r="BI570" s="65"/>
      <c r="BJ570" s="65"/>
      <c r="BK570" s="65"/>
      <c r="BL570" s="65"/>
      <c r="BM570" s="65"/>
      <c r="BN570" s="65"/>
      <c r="BO570" s="65"/>
      <c r="BP570" s="65"/>
      <c r="BQ570" s="65"/>
      <c r="BR570" s="65"/>
      <c r="BS570" s="65"/>
    </row>
    <row r="571" spans="1:71" s="64" customFormat="1" outlineLevel="1">
      <c r="A571" s="65"/>
      <c r="B571" s="160"/>
      <c r="C571" s="161"/>
      <c r="D571" s="150"/>
      <c r="E571" s="162"/>
      <c r="F571" s="152"/>
      <c r="G571"/>
      <c r="H571"/>
      <c r="I571"/>
      <c r="J571"/>
      <c r="K571"/>
      <c r="L571"/>
      <c r="M571"/>
      <c r="N571"/>
      <c r="O571"/>
      <c r="P571"/>
      <c r="Q571"/>
      <c r="R571"/>
      <c r="S571"/>
      <c r="T571"/>
      <c r="U571"/>
      <c r="V571"/>
      <c r="W571"/>
      <c r="BF571" s="65"/>
      <c r="BG571" s="65"/>
      <c r="BH571" s="65"/>
      <c r="BI571" s="65"/>
      <c r="BJ571" s="65"/>
      <c r="BK571" s="65"/>
      <c r="BL571" s="65"/>
      <c r="BM571" s="65"/>
      <c r="BN571" s="65"/>
      <c r="BO571" s="65"/>
      <c r="BP571" s="65"/>
      <c r="BQ571" s="65"/>
      <c r="BR571" s="65"/>
      <c r="BS571" s="65"/>
    </row>
    <row r="572" spans="1:71" s="64" customFormat="1" outlineLevel="1">
      <c r="A572" s="65"/>
      <c r="B572" s="148"/>
      <c r="C572" s="149"/>
      <c r="D572" s="150"/>
      <c r="E572" s="151"/>
      <c r="F572" s="152"/>
      <c r="G572"/>
      <c r="H572"/>
      <c r="I572"/>
      <c r="J572"/>
      <c r="K572"/>
      <c r="L572"/>
      <c r="M572"/>
      <c r="N572"/>
      <c r="O572"/>
      <c r="P572"/>
      <c r="Q572"/>
      <c r="R572"/>
      <c r="S572"/>
      <c r="T572"/>
      <c r="U572"/>
      <c r="V572"/>
      <c r="W572"/>
      <c r="BF572" s="65"/>
      <c r="BG572" s="65"/>
      <c r="BH572" s="65"/>
      <c r="BI572" s="65"/>
      <c r="BJ572" s="65"/>
      <c r="BK572" s="65"/>
      <c r="BL572" s="65"/>
      <c r="BM572" s="65"/>
      <c r="BN572" s="65"/>
      <c r="BO572" s="65"/>
      <c r="BP572" s="65"/>
      <c r="BQ572" s="65"/>
      <c r="BR572" s="65"/>
      <c r="BS572" s="65"/>
    </row>
    <row r="573" spans="1:71" s="64" customFormat="1" outlineLevel="1">
      <c r="A573" s="65"/>
      <c r="B573" s="160"/>
      <c r="C573" s="161"/>
      <c r="D573" s="150"/>
      <c r="E573" s="162"/>
      <c r="F573" s="152"/>
      <c r="G573"/>
      <c r="H573"/>
      <c r="I573"/>
      <c r="J573"/>
      <c r="K573"/>
      <c r="L573"/>
      <c r="M573"/>
      <c r="N573"/>
      <c r="O573"/>
      <c r="P573"/>
      <c r="Q573"/>
      <c r="R573"/>
      <c r="S573"/>
      <c r="T573"/>
      <c r="U573"/>
      <c r="V573"/>
      <c r="W573"/>
      <c r="BF573" s="65"/>
      <c r="BG573" s="65"/>
      <c r="BH573" s="65"/>
      <c r="BI573" s="65"/>
      <c r="BJ573" s="65"/>
      <c r="BK573" s="65"/>
      <c r="BL573" s="65"/>
      <c r="BM573" s="65"/>
      <c r="BN573" s="65"/>
      <c r="BO573" s="65"/>
      <c r="BP573" s="65"/>
      <c r="BQ573" s="65"/>
      <c r="BR573" s="65"/>
      <c r="BS573" s="65"/>
    </row>
    <row r="574" spans="1:71" s="64" customFormat="1" outlineLevel="1">
      <c r="A574" s="65"/>
      <c r="B574" s="148"/>
      <c r="C574" s="149"/>
      <c r="D574" s="150"/>
      <c r="E574" s="151"/>
      <c r="F574" s="152"/>
      <c r="G574"/>
      <c r="H574"/>
      <c r="I574"/>
      <c r="J574"/>
      <c r="K574"/>
      <c r="L574"/>
      <c r="M574"/>
      <c r="N574"/>
      <c r="O574"/>
      <c r="P574"/>
      <c r="Q574"/>
      <c r="R574"/>
      <c r="S574"/>
      <c r="T574"/>
      <c r="U574"/>
      <c r="V574"/>
      <c r="W574"/>
      <c r="BF574" s="65"/>
      <c r="BG574" s="65"/>
      <c r="BH574" s="65"/>
      <c r="BI574" s="65"/>
      <c r="BJ574" s="65"/>
      <c r="BK574" s="65"/>
      <c r="BL574" s="65"/>
      <c r="BM574" s="65"/>
      <c r="BN574" s="65"/>
      <c r="BO574" s="65"/>
      <c r="BP574" s="65"/>
      <c r="BQ574" s="65"/>
      <c r="BR574" s="65"/>
      <c r="BS574" s="65"/>
    </row>
    <row r="575" spans="1:71" s="64" customFormat="1" outlineLevel="1">
      <c r="A575" s="65"/>
      <c r="B575" s="160"/>
      <c r="C575" s="161"/>
      <c r="D575" s="150"/>
      <c r="E575" s="162"/>
      <c r="F575" s="152"/>
      <c r="G575"/>
      <c r="H575"/>
      <c r="I575"/>
      <c r="J575"/>
      <c r="K575"/>
      <c r="L575"/>
      <c r="M575"/>
      <c r="N575"/>
      <c r="O575"/>
      <c r="P575"/>
      <c r="Q575"/>
      <c r="R575"/>
      <c r="S575"/>
      <c r="T575"/>
      <c r="U575"/>
      <c r="V575"/>
      <c r="W575"/>
      <c r="BF575" s="65"/>
      <c r="BG575" s="65"/>
      <c r="BH575" s="65"/>
      <c r="BI575" s="65"/>
      <c r="BJ575" s="65"/>
      <c r="BK575" s="65"/>
      <c r="BL575" s="65"/>
      <c r="BM575" s="65"/>
      <c r="BN575" s="65"/>
      <c r="BO575" s="65"/>
      <c r="BP575" s="65"/>
      <c r="BQ575" s="65"/>
      <c r="BR575" s="65"/>
      <c r="BS575" s="65"/>
    </row>
    <row r="576" spans="1:71" s="64" customFormat="1" outlineLevel="1">
      <c r="A576" s="65"/>
      <c r="B576" s="148"/>
      <c r="C576" s="149"/>
      <c r="D576" s="150"/>
      <c r="E576" s="151"/>
      <c r="F576" s="152"/>
      <c r="G576"/>
      <c r="H576"/>
      <c r="I576"/>
      <c r="J576"/>
      <c r="K576"/>
      <c r="L576"/>
      <c r="M576"/>
      <c r="N576"/>
      <c r="O576"/>
      <c r="P576"/>
      <c r="Q576"/>
      <c r="R576"/>
      <c r="S576"/>
      <c r="T576"/>
      <c r="U576"/>
      <c r="V576"/>
      <c r="W576"/>
      <c r="BF576" s="65"/>
      <c r="BG576" s="65"/>
      <c r="BH576" s="65"/>
      <c r="BI576" s="65"/>
      <c r="BJ576" s="65"/>
      <c r="BK576" s="65"/>
      <c r="BL576" s="65"/>
      <c r="BM576" s="65"/>
      <c r="BN576" s="65"/>
      <c r="BO576" s="65"/>
      <c r="BP576" s="65"/>
      <c r="BQ576" s="65"/>
      <c r="BR576" s="65"/>
      <c r="BS576" s="65"/>
    </row>
    <row r="577" spans="1:71" s="64" customFormat="1" outlineLevel="1">
      <c r="A577" s="65"/>
      <c r="B577" s="160"/>
      <c r="C577" s="161"/>
      <c r="D577" s="150"/>
      <c r="E577" s="162"/>
      <c r="F577" s="152"/>
      <c r="G577"/>
      <c r="H577"/>
      <c r="I577"/>
      <c r="J577"/>
      <c r="K577"/>
      <c r="L577"/>
      <c r="M577"/>
      <c r="N577"/>
      <c r="O577"/>
      <c r="P577"/>
      <c r="Q577"/>
      <c r="R577"/>
      <c r="S577"/>
      <c r="T577"/>
      <c r="U577"/>
      <c r="V577"/>
      <c r="W577"/>
      <c r="BF577" s="65"/>
      <c r="BG577" s="65"/>
      <c r="BH577" s="65"/>
      <c r="BI577" s="65"/>
      <c r="BJ577" s="65"/>
      <c r="BK577" s="65"/>
      <c r="BL577" s="65"/>
      <c r="BM577" s="65"/>
      <c r="BN577" s="65"/>
      <c r="BO577" s="65"/>
      <c r="BP577" s="65"/>
      <c r="BQ577" s="65"/>
      <c r="BR577" s="65"/>
      <c r="BS577" s="65"/>
    </row>
    <row r="578" spans="1:71" s="64" customFormat="1" outlineLevel="1">
      <c r="A578" s="65"/>
      <c r="B578" s="148"/>
      <c r="C578" s="149"/>
      <c r="D578" s="150"/>
      <c r="E578" s="151"/>
      <c r="F578" s="152"/>
      <c r="G578"/>
      <c r="H578"/>
      <c r="I578"/>
      <c r="J578"/>
      <c r="K578"/>
      <c r="L578"/>
      <c r="M578"/>
      <c r="N578"/>
      <c r="O578"/>
      <c r="P578"/>
      <c r="Q578"/>
      <c r="R578"/>
      <c r="S578"/>
      <c r="T578"/>
      <c r="U578"/>
      <c r="V578"/>
      <c r="W578"/>
      <c r="BF578" s="65"/>
      <c r="BG578" s="65"/>
      <c r="BH578" s="65"/>
      <c r="BI578" s="65"/>
      <c r="BJ578" s="65"/>
      <c r="BK578" s="65"/>
      <c r="BL578" s="65"/>
      <c r="BM578" s="65"/>
      <c r="BN578" s="65"/>
      <c r="BO578" s="65"/>
      <c r="BP578" s="65"/>
      <c r="BQ578" s="65"/>
      <c r="BR578" s="65"/>
      <c r="BS578" s="65"/>
    </row>
    <row r="579" spans="1:71" s="64" customFormat="1" outlineLevel="1">
      <c r="A579" s="65"/>
      <c r="B579" s="160"/>
      <c r="C579" s="161"/>
      <c r="D579" s="150"/>
      <c r="E579" s="162"/>
      <c r="F579" s="152"/>
      <c r="G579"/>
      <c r="H579"/>
      <c r="I579"/>
      <c r="J579"/>
      <c r="K579"/>
      <c r="L579"/>
      <c r="M579"/>
      <c r="N579"/>
      <c r="O579"/>
      <c r="P579"/>
      <c r="Q579"/>
      <c r="R579"/>
      <c r="S579"/>
      <c r="T579"/>
      <c r="U579"/>
      <c r="V579"/>
      <c r="W579"/>
      <c r="BF579" s="65"/>
      <c r="BG579" s="65"/>
      <c r="BH579" s="65"/>
      <c r="BI579" s="65"/>
      <c r="BJ579" s="65"/>
      <c r="BK579" s="65"/>
      <c r="BL579" s="65"/>
      <c r="BM579" s="65"/>
      <c r="BN579" s="65"/>
      <c r="BO579" s="65"/>
      <c r="BP579" s="65"/>
      <c r="BQ579" s="65"/>
      <c r="BR579" s="65"/>
      <c r="BS579" s="65"/>
    </row>
    <row r="580" spans="1:71" s="64" customFormat="1" outlineLevel="1">
      <c r="A580" s="65"/>
      <c r="B580" s="148"/>
      <c r="C580" s="149"/>
      <c r="D580" s="150"/>
      <c r="E580" s="151"/>
      <c r="F580" s="152"/>
      <c r="G580"/>
      <c r="H580"/>
      <c r="I580"/>
      <c r="J580"/>
      <c r="K580"/>
      <c r="L580"/>
      <c r="M580"/>
      <c r="N580"/>
      <c r="O580"/>
      <c r="P580"/>
      <c r="Q580"/>
      <c r="R580"/>
      <c r="S580"/>
      <c r="T580"/>
      <c r="U580"/>
      <c r="V580"/>
      <c r="W580"/>
      <c r="BF580" s="65"/>
      <c r="BG580" s="65"/>
      <c r="BH580" s="65"/>
      <c r="BI580" s="65"/>
      <c r="BJ580" s="65"/>
      <c r="BK580" s="65"/>
      <c r="BL580" s="65"/>
      <c r="BM580" s="65"/>
      <c r="BN580" s="65"/>
      <c r="BO580" s="65"/>
      <c r="BP580" s="65"/>
      <c r="BQ580" s="65"/>
      <c r="BR580" s="65"/>
      <c r="BS580" s="65"/>
    </row>
    <row r="581" spans="1:71" s="64" customFormat="1" outlineLevel="1">
      <c r="A581" s="65"/>
      <c r="B581" s="160"/>
      <c r="C581" s="161"/>
      <c r="D581" s="150"/>
      <c r="E581" s="162"/>
      <c r="F581" s="152"/>
      <c r="G581"/>
      <c r="H581"/>
      <c r="I581"/>
      <c r="J581"/>
      <c r="K581"/>
      <c r="L581"/>
      <c r="M581"/>
      <c r="N581"/>
      <c r="O581"/>
      <c r="P581"/>
      <c r="Q581"/>
      <c r="R581"/>
      <c r="S581"/>
      <c r="T581"/>
      <c r="U581"/>
      <c r="V581"/>
      <c r="W581"/>
      <c r="BF581" s="65"/>
      <c r="BG581" s="65"/>
      <c r="BH581" s="65"/>
      <c r="BI581" s="65"/>
      <c r="BJ581" s="65"/>
      <c r="BK581" s="65"/>
      <c r="BL581" s="65"/>
      <c r="BM581" s="65"/>
      <c r="BN581" s="65"/>
      <c r="BO581" s="65"/>
      <c r="BP581" s="65"/>
      <c r="BQ581" s="65"/>
      <c r="BR581" s="65"/>
      <c r="BS581" s="65"/>
    </row>
    <row r="582" spans="1:71" s="64" customFormat="1" outlineLevel="1">
      <c r="A582" s="65"/>
      <c r="B582" s="148"/>
      <c r="C582" s="149"/>
      <c r="D582" s="150"/>
      <c r="E582" s="151"/>
      <c r="F582" s="152"/>
      <c r="G582"/>
      <c r="H582"/>
      <c r="I582"/>
      <c r="J582"/>
      <c r="K582"/>
      <c r="L582"/>
      <c r="M582"/>
      <c r="N582"/>
      <c r="O582"/>
      <c r="P582"/>
      <c r="Q582"/>
      <c r="R582"/>
      <c r="S582"/>
      <c r="T582"/>
      <c r="U582"/>
      <c r="V582"/>
      <c r="W582"/>
      <c r="BF582" s="65"/>
      <c r="BG582" s="65"/>
      <c r="BH582" s="65"/>
      <c r="BI582" s="65"/>
      <c r="BJ582" s="65"/>
      <c r="BK582" s="65"/>
      <c r="BL582" s="65"/>
      <c r="BM582" s="65"/>
      <c r="BN582" s="65"/>
      <c r="BO582" s="65"/>
      <c r="BP582" s="65"/>
      <c r="BQ582" s="65"/>
      <c r="BR582" s="65"/>
      <c r="BS582" s="65"/>
    </row>
    <row r="583" spans="1:71" s="64" customFormat="1" outlineLevel="1">
      <c r="A583" s="65"/>
      <c r="B583" s="160"/>
      <c r="C583" s="161"/>
      <c r="D583" s="150"/>
      <c r="E583" s="162"/>
      <c r="F583" s="152"/>
      <c r="G583"/>
      <c r="H583"/>
      <c r="I583"/>
      <c r="J583"/>
      <c r="K583"/>
      <c r="L583"/>
      <c r="M583"/>
      <c r="N583"/>
      <c r="O583"/>
      <c r="P583"/>
      <c r="Q583"/>
      <c r="R583"/>
      <c r="S583"/>
      <c r="T583"/>
      <c r="U583"/>
      <c r="V583"/>
      <c r="W583"/>
      <c r="BF583" s="65"/>
      <c r="BG583" s="65"/>
      <c r="BH583" s="65"/>
      <c r="BI583" s="65"/>
      <c r="BJ583" s="65"/>
      <c r="BK583" s="65"/>
      <c r="BL583" s="65"/>
      <c r="BM583" s="65"/>
      <c r="BN583" s="65"/>
      <c r="BO583" s="65"/>
      <c r="BP583" s="65"/>
      <c r="BQ583" s="65"/>
      <c r="BR583" s="65"/>
      <c r="BS583" s="65"/>
    </row>
    <row r="584" spans="1:71" s="64" customFormat="1" outlineLevel="1">
      <c r="A584" s="65"/>
      <c r="B584" s="148"/>
      <c r="C584" s="149"/>
      <c r="D584" s="150"/>
      <c r="E584" s="151"/>
      <c r="F584" s="152"/>
      <c r="G584"/>
      <c r="H584"/>
      <c r="I584"/>
      <c r="J584"/>
      <c r="K584"/>
      <c r="L584"/>
      <c r="M584"/>
      <c r="N584"/>
      <c r="O584"/>
      <c r="P584"/>
      <c r="Q584"/>
      <c r="R584"/>
      <c r="S584"/>
      <c r="T584"/>
      <c r="U584"/>
      <c r="V584"/>
      <c r="W584"/>
      <c r="BF584" s="65"/>
      <c r="BG584" s="65"/>
      <c r="BH584" s="65"/>
      <c r="BI584" s="65"/>
      <c r="BJ584" s="65"/>
      <c r="BK584" s="65"/>
      <c r="BL584" s="65"/>
      <c r="BM584" s="65"/>
      <c r="BN584" s="65"/>
      <c r="BO584" s="65"/>
      <c r="BP584" s="65"/>
      <c r="BQ584" s="65"/>
      <c r="BR584" s="65"/>
      <c r="BS584" s="65"/>
    </row>
    <row r="585" spans="1:71" s="64" customFormat="1" outlineLevel="1">
      <c r="A585" s="65"/>
      <c r="B585" s="160"/>
      <c r="C585" s="161"/>
      <c r="D585" s="150"/>
      <c r="E585" s="162"/>
      <c r="F585" s="152"/>
      <c r="G585"/>
      <c r="H585"/>
      <c r="I585"/>
      <c r="J585"/>
      <c r="K585"/>
      <c r="L585"/>
      <c r="M585"/>
      <c r="N585"/>
      <c r="O585"/>
      <c r="P585"/>
      <c r="Q585"/>
      <c r="R585"/>
      <c r="S585"/>
      <c r="T585"/>
      <c r="U585"/>
      <c r="V585"/>
      <c r="W585"/>
      <c r="BF585" s="65"/>
      <c r="BG585" s="65"/>
      <c r="BH585" s="65"/>
      <c r="BI585" s="65"/>
      <c r="BJ585" s="65"/>
      <c r="BK585" s="65"/>
      <c r="BL585" s="65"/>
      <c r="BM585" s="65"/>
      <c r="BN585" s="65"/>
      <c r="BO585" s="65"/>
      <c r="BP585" s="65"/>
      <c r="BQ585" s="65"/>
      <c r="BR585" s="65"/>
      <c r="BS585" s="65"/>
    </row>
    <row r="586" spans="1:71" s="64" customFormat="1" outlineLevel="1">
      <c r="A586" s="65"/>
      <c r="B586" s="148"/>
      <c r="C586" s="149"/>
      <c r="D586" s="150"/>
      <c r="E586" s="151"/>
      <c r="F586" s="152"/>
      <c r="G586"/>
      <c r="H586"/>
      <c r="I586"/>
      <c r="J586"/>
      <c r="K586"/>
      <c r="L586"/>
      <c r="M586"/>
      <c r="N586"/>
      <c r="O586"/>
      <c r="P586"/>
      <c r="Q586"/>
      <c r="R586"/>
      <c r="S586"/>
      <c r="T586"/>
      <c r="U586"/>
      <c r="V586"/>
      <c r="W586"/>
      <c r="BF586" s="65"/>
      <c r="BG586" s="65"/>
      <c r="BH586" s="65"/>
      <c r="BI586" s="65"/>
      <c r="BJ586" s="65"/>
      <c r="BK586" s="65"/>
      <c r="BL586" s="65"/>
      <c r="BM586" s="65"/>
      <c r="BN586" s="65"/>
      <c r="BO586" s="65"/>
      <c r="BP586" s="65"/>
      <c r="BQ586" s="65"/>
      <c r="BR586" s="65"/>
      <c r="BS586" s="65"/>
    </row>
    <row r="587" spans="1:71" s="64" customFormat="1" outlineLevel="1">
      <c r="A587" s="65"/>
      <c r="B587" s="160"/>
      <c r="C587" s="161"/>
      <c r="D587" s="150"/>
      <c r="E587" s="162"/>
      <c r="F587" s="152"/>
      <c r="G587"/>
      <c r="H587"/>
      <c r="I587"/>
      <c r="J587"/>
      <c r="K587"/>
      <c r="L587"/>
      <c r="M587"/>
      <c r="N587"/>
      <c r="O587"/>
      <c r="P587"/>
      <c r="Q587"/>
      <c r="R587"/>
      <c r="S587"/>
      <c r="T587"/>
      <c r="U587"/>
      <c r="V587"/>
      <c r="W587"/>
      <c r="BF587" s="65"/>
      <c r="BG587" s="65"/>
      <c r="BH587" s="65"/>
      <c r="BI587" s="65"/>
      <c r="BJ587" s="65"/>
      <c r="BK587" s="65"/>
      <c r="BL587" s="65"/>
      <c r="BM587" s="65"/>
      <c r="BN587" s="65"/>
      <c r="BO587" s="65"/>
      <c r="BP587" s="65"/>
      <c r="BQ587" s="65"/>
      <c r="BR587" s="65"/>
      <c r="BS587" s="65"/>
    </row>
    <row r="588" spans="1:71" s="64" customFormat="1" outlineLevel="1">
      <c r="A588" s="65"/>
      <c r="B588" s="148"/>
      <c r="C588" s="149"/>
      <c r="D588" s="150"/>
      <c r="E588" s="151"/>
      <c r="F588" s="152"/>
      <c r="G588"/>
      <c r="H588"/>
      <c r="I588"/>
      <c r="J588"/>
      <c r="K588"/>
      <c r="L588"/>
      <c r="M588"/>
      <c r="N588"/>
      <c r="O588"/>
      <c r="P588"/>
      <c r="Q588"/>
      <c r="R588"/>
      <c r="S588"/>
      <c r="T588"/>
      <c r="U588"/>
      <c r="V588"/>
      <c r="W588"/>
      <c r="BF588" s="65"/>
      <c r="BG588" s="65"/>
      <c r="BH588" s="65"/>
      <c r="BI588" s="65"/>
      <c r="BJ588" s="65"/>
      <c r="BK588" s="65"/>
      <c r="BL588" s="65"/>
      <c r="BM588" s="65"/>
      <c r="BN588" s="65"/>
      <c r="BO588" s="65"/>
      <c r="BP588" s="65"/>
      <c r="BQ588" s="65"/>
      <c r="BR588" s="65"/>
      <c r="BS588" s="65"/>
    </row>
    <row r="589" spans="1:71" s="64" customFormat="1" outlineLevel="1">
      <c r="A589" s="65"/>
      <c r="B589" s="160"/>
      <c r="C589" s="161"/>
      <c r="D589" s="150"/>
      <c r="E589" s="162"/>
      <c r="F589" s="152"/>
      <c r="G589"/>
      <c r="H589"/>
      <c r="I589"/>
      <c r="J589"/>
      <c r="K589"/>
      <c r="L589"/>
      <c r="M589"/>
      <c r="N589"/>
      <c r="O589"/>
      <c r="P589"/>
      <c r="Q589"/>
      <c r="R589"/>
      <c r="S589"/>
      <c r="T589"/>
      <c r="U589"/>
      <c r="V589"/>
      <c r="W589"/>
      <c r="BF589" s="65"/>
      <c r="BG589" s="65"/>
      <c r="BH589" s="65"/>
      <c r="BI589" s="65"/>
      <c r="BJ589" s="65"/>
      <c r="BK589" s="65"/>
      <c r="BL589" s="65"/>
      <c r="BM589" s="65"/>
      <c r="BN589" s="65"/>
      <c r="BO589" s="65"/>
      <c r="BP589" s="65"/>
      <c r="BQ589" s="65"/>
      <c r="BR589" s="65"/>
      <c r="BS589" s="65"/>
    </row>
    <row r="590" spans="1:71" s="64" customFormat="1" outlineLevel="1">
      <c r="A590" s="65"/>
      <c r="B590" s="148"/>
      <c r="C590" s="149"/>
      <c r="D590" s="150"/>
      <c r="E590" s="151"/>
      <c r="F590" s="152"/>
      <c r="G590"/>
      <c r="H590"/>
      <c r="I590"/>
      <c r="J590"/>
      <c r="K590"/>
      <c r="L590"/>
      <c r="M590"/>
      <c r="N590"/>
      <c r="O590"/>
      <c r="P590"/>
      <c r="Q590"/>
      <c r="R590"/>
      <c r="S590"/>
      <c r="T590"/>
      <c r="U590"/>
      <c r="V590"/>
      <c r="W590"/>
      <c r="BF590" s="65"/>
      <c r="BG590" s="65"/>
      <c r="BH590" s="65"/>
      <c r="BI590" s="65"/>
      <c r="BJ590" s="65"/>
      <c r="BK590" s="65"/>
      <c r="BL590" s="65"/>
      <c r="BM590" s="65"/>
      <c r="BN590" s="65"/>
      <c r="BO590" s="65"/>
      <c r="BP590" s="65"/>
      <c r="BQ590" s="65"/>
      <c r="BR590" s="65"/>
      <c r="BS590" s="65"/>
    </row>
    <row r="591" spans="1:71" s="64" customFormat="1" outlineLevel="1">
      <c r="A591" s="65"/>
      <c r="B591" s="160"/>
      <c r="C591" s="161"/>
      <c r="D591" s="150"/>
      <c r="E591" s="162"/>
      <c r="F591" s="152"/>
      <c r="G591"/>
      <c r="H591"/>
      <c r="I591"/>
      <c r="J591"/>
      <c r="K591"/>
      <c r="L591"/>
      <c r="M591"/>
      <c r="N591"/>
      <c r="O591"/>
      <c r="P591"/>
      <c r="Q591"/>
      <c r="R591"/>
      <c r="S591"/>
      <c r="T591"/>
      <c r="U591"/>
      <c r="V591"/>
      <c r="W591"/>
      <c r="BF591" s="65"/>
      <c r="BG591" s="65"/>
      <c r="BH591" s="65"/>
      <c r="BI591" s="65"/>
      <c r="BJ591" s="65"/>
      <c r="BK591" s="65"/>
      <c r="BL591" s="65"/>
      <c r="BM591" s="65"/>
      <c r="BN591" s="65"/>
      <c r="BO591" s="65"/>
      <c r="BP591" s="65"/>
      <c r="BQ591" s="65"/>
      <c r="BR591" s="65"/>
      <c r="BS591" s="65"/>
    </row>
    <row r="592" spans="1:71" s="64" customFormat="1" outlineLevel="1">
      <c r="A592" s="65"/>
      <c r="B592" s="148"/>
      <c r="C592" s="149"/>
      <c r="D592" s="150"/>
      <c r="E592" s="151"/>
      <c r="F592" s="152"/>
      <c r="G592"/>
      <c r="H592"/>
      <c r="I592"/>
      <c r="J592"/>
      <c r="K592"/>
      <c r="L592"/>
      <c r="M592"/>
      <c r="N592"/>
      <c r="O592"/>
      <c r="P592"/>
      <c r="Q592"/>
      <c r="R592"/>
      <c r="S592"/>
      <c r="T592"/>
      <c r="U592"/>
      <c r="V592"/>
      <c r="W592"/>
      <c r="BF592" s="65"/>
      <c r="BG592" s="65"/>
      <c r="BH592" s="65"/>
      <c r="BI592" s="65"/>
      <c r="BJ592" s="65"/>
      <c r="BK592" s="65"/>
      <c r="BL592" s="65"/>
      <c r="BM592" s="65"/>
      <c r="BN592" s="65"/>
      <c r="BO592" s="65"/>
      <c r="BP592" s="65"/>
      <c r="BQ592" s="65"/>
      <c r="BR592" s="65"/>
      <c r="BS592" s="65"/>
    </row>
    <row r="593" spans="1:71" s="64" customFormat="1" outlineLevel="1">
      <c r="A593" s="65"/>
      <c r="B593" s="160"/>
      <c r="C593" s="161"/>
      <c r="D593" s="150"/>
      <c r="E593" s="162"/>
      <c r="F593" s="152"/>
      <c r="G593"/>
      <c r="H593"/>
      <c r="I593"/>
      <c r="J593"/>
      <c r="K593"/>
      <c r="L593"/>
      <c r="M593"/>
      <c r="N593"/>
      <c r="O593"/>
      <c r="P593"/>
      <c r="Q593"/>
      <c r="R593"/>
      <c r="S593"/>
      <c r="T593"/>
      <c r="U593"/>
      <c r="V593"/>
      <c r="W593"/>
      <c r="BF593" s="65"/>
      <c r="BG593" s="65"/>
      <c r="BH593" s="65"/>
      <c r="BI593" s="65"/>
      <c r="BJ593" s="65"/>
      <c r="BK593" s="65"/>
      <c r="BL593" s="65"/>
      <c r="BM593" s="65"/>
      <c r="BN593" s="65"/>
      <c r="BO593" s="65"/>
      <c r="BP593" s="65"/>
      <c r="BQ593" s="65"/>
      <c r="BR593" s="65"/>
      <c r="BS593" s="65"/>
    </row>
    <row r="594" spans="1:71" s="64" customFormat="1" outlineLevel="1">
      <c r="A594" s="65"/>
      <c r="B594" s="148"/>
      <c r="C594" s="149"/>
      <c r="D594" s="150"/>
      <c r="E594" s="151"/>
      <c r="F594" s="152"/>
      <c r="G594"/>
      <c r="H594"/>
      <c r="I594"/>
      <c r="J594"/>
      <c r="K594"/>
      <c r="L594"/>
      <c r="M594"/>
      <c r="N594"/>
      <c r="O594"/>
      <c r="P594"/>
      <c r="Q594"/>
      <c r="R594"/>
      <c r="S594"/>
      <c r="T594"/>
      <c r="U594"/>
      <c r="V594"/>
      <c r="W594"/>
      <c r="BF594" s="65"/>
      <c r="BG594" s="65"/>
      <c r="BH594" s="65"/>
      <c r="BI594" s="65"/>
      <c r="BJ594" s="65"/>
      <c r="BK594" s="65"/>
      <c r="BL594" s="65"/>
      <c r="BM594" s="65"/>
      <c r="BN594" s="65"/>
      <c r="BO594" s="65"/>
      <c r="BP594" s="65"/>
      <c r="BQ594" s="65"/>
      <c r="BR594" s="65"/>
      <c r="BS594" s="65"/>
    </row>
    <row r="595" spans="1:71" s="64" customFormat="1" outlineLevel="1">
      <c r="A595" s="65"/>
      <c r="B595" s="160"/>
      <c r="C595" s="161"/>
      <c r="D595" s="150"/>
      <c r="E595" s="162"/>
      <c r="F595" s="152"/>
      <c r="G595"/>
      <c r="H595"/>
      <c r="I595"/>
      <c r="J595"/>
      <c r="K595"/>
      <c r="L595"/>
      <c r="M595"/>
      <c r="N595"/>
      <c r="O595"/>
      <c r="P595"/>
      <c r="Q595"/>
      <c r="R595"/>
      <c r="S595"/>
      <c r="T595"/>
      <c r="U595"/>
      <c r="V595"/>
      <c r="W595"/>
      <c r="BF595" s="65"/>
      <c r="BG595" s="65"/>
      <c r="BH595" s="65"/>
      <c r="BI595" s="65"/>
      <c r="BJ595" s="65"/>
      <c r="BK595" s="65"/>
      <c r="BL595" s="65"/>
      <c r="BM595" s="65"/>
      <c r="BN595" s="65"/>
      <c r="BO595" s="65"/>
      <c r="BP595" s="65"/>
      <c r="BQ595" s="65"/>
      <c r="BR595" s="65"/>
      <c r="BS595" s="65"/>
    </row>
    <row r="596" spans="1:71" s="64" customFormat="1" outlineLevel="1">
      <c r="A596" s="65"/>
      <c r="B596" s="148"/>
      <c r="C596" s="149"/>
      <c r="D596" s="150"/>
      <c r="E596" s="151"/>
      <c r="F596" s="152"/>
      <c r="G596"/>
      <c r="H596"/>
      <c r="I596"/>
      <c r="J596"/>
      <c r="K596"/>
      <c r="L596"/>
      <c r="M596"/>
      <c r="N596"/>
      <c r="O596"/>
      <c r="P596"/>
      <c r="Q596"/>
      <c r="R596"/>
      <c r="S596"/>
      <c r="T596"/>
      <c r="U596"/>
      <c r="V596"/>
      <c r="W596"/>
      <c r="BF596" s="65"/>
      <c r="BG596" s="65"/>
      <c r="BH596" s="65"/>
      <c r="BI596" s="65"/>
      <c r="BJ596" s="65"/>
      <c r="BK596" s="65"/>
      <c r="BL596" s="65"/>
      <c r="BM596" s="65"/>
      <c r="BN596" s="65"/>
      <c r="BO596" s="65"/>
      <c r="BP596" s="65"/>
      <c r="BQ596" s="65"/>
      <c r="BR596" s="65"/>
      <c r="BS596" s="65"/>
    </row>
    <row r="597" spans="1:71" s="64" customFormat="1" outlineLevel="1">
      <c r="A597" s="65"/>
      <c r="B597" s="160"/>
      <c r="C597" s="161"/>
      <c r="D597" s="150"/>
      <c r="E597" s="162"/>
      <c r="F597" s="152"/>
      <c r="G597"/>
      <c r="H597"/>
      <c r="I597"/>
      <c r="J597"/>
      <c r="K597"/>
      <c r="L597"/>
      <c r="M597"/>
      <c r="N597"/>
      <c r="O597"/>
      <c r="P597"/>
      <c r="Q597"/>
      <c r="R597"/>
      <c r="S597"/>
      <c r="T597"/>
      <c r="U597"/>
      <c r="V597"/>
      <c r="W597"/>
      <c r="BF597" s="65"/>
      <c r="BG597" s="65"/>
      <c r="BH597" s="65"/>
      <c r="BI597" s="65"/>
      <c r="BJ597" s="65"/>
      <c r="BK597" s="65"/>
      <c r="BL597" s="65"/>
      <c r="BM597" s="65"/>
      <c r="BN597" s="65"/>
      <c r="BO597" s="65"/>
      <c r="BP597" s="65"/>
      <c r="BQ597" s="65"/>
      <c r="BR597" s="65"/>
      <c r="BS597" s="65"/>
    </row>
    <row r="598" spans="1:71" s="64" customFormat="1" outlineLevel="1">
      <c r="A598" s="65"/>
      <c r="B598" s="148"/>
      <c r="C598" s="149"/>
      <c r="D598" s="150"/>
      <c r="E598" s="151"/>
      <c r="F598" s="152"/>
      <c r="G598"/>
      <c r="H598"/>
      <c r="I598"/>
      <c r="J598"/>
      <c r="K598"/>
      <c r="L598"/>
      <c r="M598"/>
      <c r="N598"/>
      <c r="O598"/>
      <c r="P598"/>
      <c r="Q598"/>
      <c r="R598"/>
      <c r="S598"/>
      <c r="T598"/>
      <c r="U598"/>
      <c r="V598"/>
      <c r="W598"/>
      <c r="BF598" s="65"/>
      <c r="BG598" s="65"/>
      <c r="BH598" s="65"/>
      <c r="BI598" s="65"/>
      <c r="BJ598" s="65"/>
      <c r="BK598" s="65"/>
      <c r="BL598" s="65"/>
      <c r="BM598" s="65"/>
      <c r="BN598" s="65"/>
      <c r="BO598" s="65"/>
      <c r="BP598" s="65"/>
      <c r="BQ598" s="65"/>
      <c r="BR598" s="65"/>
      <c r="BS598" s="65"/>
    </row>
    <row r="599" spans="1:71" s="64" customFormat="1" outlineLevel="1">
      <c r="A599" s="65"/>
      <c r="B599" s="160"/>
      <c r="C599" s="161"/>
      <c r="D599" s="150"/>
      <c r="E599" s="162"/>
      <c r="F599" s="152"/>
      <c r="G599"/>
      <c r="H599"/>
      <c r="I599"/>
      <c r="J599"/>
      <c r="K599"/>
      <c r="L599"/>
      <c r="M599"/>
      <c r="N599"/>
      <c r="O599"/>
      <c r="P599"/>
      <c r="Q599"/>
      <c r="R599"/>
      <c r="S599"/>
      <c r="T599"/>
      <c r="U599"/>
      <c r="V599"/>
      <c r="W599"/>
      <c r="BF599" s="65"/>
      <c r="BG599" s="65"/>
      <c r="BH599" s="65"/>
      <c r="BI599" s="65"/>
      <c r="BJ599" s="65"/>
      <c r="BK599" s="65"/>
      <c r="BL599" s="65"/>
      <c r="BM599" s="65"/>
      <c r="BN599" s="65"/>
      <c r="BO599" s="65"/>
      <c r="BP599" s="65"/>
      <c r="BQ599" s="65"/>
      <c r="BR599" s="65"/>
      <c r="BS599" s="65"/>
    </row>
    <row r="600" spans="1:71" s="64" customFormat="1" outlineLevel="1">
      <c r="A600" s="65"/>
      <c r="B600" s="148"/>
      <c r="C600" s="149"/>
      <c r="D600" s="150"/>
      <c r="E600" s="151"/>
      <c r="F600" s="152"/>
      <c r="G600"/>
      <c r="H600"/>
      <c r="I600"/>
      <c r="J600"/>
      <c r="K600"/>
      <c r="L600"/>
      <c r="M600"/>
      <c r="N600"/>
      <c r="O600"/>
      <c r="P600"/>
      <c r="Q600"/>
      <c r="R600"/>
      <c r="S600"/>
      <c r="T600"/>
      <c r="U600"/>
      <c r="V600"/>
      <c r="W600"/>
      <c r="BF600" s="65"/>
      <c r="BG600" s="65"/>
      <c r="BH600" s="65"/>
      <c r="BI600" s="65"/>
      <c r="BJ600" s="65"/>
      <c r="BK600" s="65"/>
      <c r="BL600" s="65"/>
      <c r="BM600" s="65"/>
      <c r="BN600" s="65"/>
      <c r="BO600" s="65"/>
      <c r="BP600" s="65"/>
      <c r="BQ600" s="65"/>
      <c r="BR600" s="65"/>
      <c r="BS600" s="65"/>
    </row>
    <row r="601" spans="1:71" s="64" customFormat="1" outlineLevel="1">
      <c r="A601" s="65"/>
      <c r="B601" s="160"/>
      <c r="C601" s="161"/>
      <c r="D601" s="150"/>
      <c r="E601" s="162"/>
      <c r="F601" s="152"/>
      <c r="G601"/>
      <c r="H601"/>
      <c r="I601"/>
      <c r="J601"/>
      <c r="K601"/>
      <c r="L601"/>
      <c r="M601"/>
      <c r="N601"/>
      <c r="O601"/>
      <c r="P601"/>
      <c r="Q601"/>
      <c r="R601"/>
      <c r="S601"/>
      <c r="T601"/>
      <c r="U601"/>
      <c r="V601"/>
      <c r="W601"/>
      <c r="BF601" s="65"/>
      <c r="BG601" s="65"/>
      <c r="BH601" s="65"/>
      <c r="BI601" s="65"/>
      <c r="BJ601" s="65"/>
      <c r="BK601" s="65"/>
      <c r="BL601" s="65"/>
      <c r="BM601" s="65"/>
      <c r="BN601" s="65"/>
      <c r="BO601" s="65"/>
      <c r="BP601" s="65"/>
      <c r="BQ601" s="65"/>
      <c r="BR601" s="65"/>
      <c r="BS601" s="65"/>
    </row>
    <row r="602" spans="1:71" s="64" customFormat="1" outlineLevel="1">
      <c r="A602" s="65"/>
      <c r="B602" s="148"/>
      <c r="C602" s="149"/>
      <c r="D602" s="150"/>
      <c r="E602" s="151"/>
      <c r="F602" s="152"/>
      <c r="G602"/>
      <c r="H602"/>
      <c r="I602"/>
      <c r="J602"/>
      <c r="K602"/>
      <c r="L602"/>
      <c r="M602"/>
      <c r="N602"/>
      <c r="O602"/>
      <c r="P602"/>
      <c r="Q602"/>
      <c r="R602"/>
      <c r="S602"/>
      <c r="T602"/>
      <c r="U602"/>
      <c r="V602"/>
      <c r="W602"/>
      <c r="BF602" s="65"/>
      <c r="BG602" s="65"/>
      <c r="BH602" s="65"/>
      <c r="BI602" s="65"/>
      <c r="BJ602" s="65"/>
      <c r="BK602" s="65"/>
      <c r="BL602" s="65"/>
      <c r="BM602" s="65"/>
      <c r="BN602" s="65"/>
      <c r="BO602" s="65"/>
      <c r="BP602" s="65"/>
      <c r="BQ602" s="65"/>
      <c r="BR602" s="65"/>
      <c r="BS602" s="65"/>
    </row>
    <row r="603" spans="1:71" s="64" customFormat="1" outlineLevel="1">
      <c r="A603" s="65"/>
      <c r="B603" s="160"/>
      <c r="C603" s="161"/>
      <c r="D603" s="150"/>
      <c r="E603" s="162"/>
      <c r="F603" s="152"/>
      <c r="G603"/>
      <c r="H603"/>
      <c r="I603"/>
      <c r="J603"/>
      <c r="K603"/>
      <c r="L603"/>
      <c r="M603"/>
      <c r="N603"/>
      <c r="O603"/>
      <c r="P603"/>
      <c r="Q603"/>
      <c r="R603"/>
      <c r="S603"/>
      <c r="T603"/>
      <c r="U603"/>
      <c r="V603"/>
      <c r="W603"/>
      <c r="BF603" s="65"/>
      <c r="BG603" s="65"/>
      <c r="BH603" s="65"/>
      <c r="BI603" s="65"/>
      <c r="BJ603" s="65"/>
      <c r="BK603" s="65"/>
      <c r="BL603" s="65"/>
      <c r="BM603" s="65"/>
      <c r="BN603" s="65"/>
      <c r="BO603" s="65"/>
      <c r="BP603" s="65"/>
      <c r="BQ603" s="65"/>
      <c r="BR603" s="65"/>
      <c r="BS603" s="65"/>
    </row>
    <row r="604" spans="1:71" s="64" customFormat="1" outlineLevel="1">
      <c r="A604" s="65"/>
      <c r="B604" s="148"/>
      <c r="C604" s="149"/>
      <c r="D604" s="150"/>
      <c r="E604" s="151"/>
      <c r="F604" s="152"/>
      <c r="G604"/>
      <c r="H604"/>
      <c r="I604"/>
      <c r="J604"/>
      <c r="K604"/>
      <c r="L604"/>
      <c r="M604"/>
      <c r="N604"/>
      <c r="O604"/>
      <c r="P604"/>
      <c r="Q604"/>
      <c r="R604"/>
      <c r="S604"/>
      <c r="T604"/>
      <c r="U604"/>
      <c r="V604"/>
      <c r="W604"/>
      <c r="BF604" s="65"/>
      <c r="BG604" s="65"/>
      <c r="BH604" s="65"/>
      <c r="BI604" s="65"/>
      <c r="BJ604" s="65"/>
      <c r="BK604" s="65"/>
      <c r="BL604" s="65"/>
      <c r="BM604" s="65"/>
      <c r="BN604" s="65"/>
      <c r="BO604" s="65"/>
      <c r="BP604" s="65"/>
      <c r="BQ604" s="65"/>
      <c r="BR604" s="65"/>
      <c r="BS604" s="65"/>
    </row>
    <row r="605" spans="1:71" s="64" customFormat="1" outlineLevel="1">
      <c r="A605" s="65"/>
      <c r="B605" s="160"/>
      <c r="C605" s="161"/>
      <c r="D605" s="150"/>
      <c r="E605" s="162"/>
      <c r="F605" s="152"/>
      <c r="G605"/>
      <c r="H605"/>
      <c r="I605"/>
      <c r="J605"/>
      <c r="K605"/>
      <c r="L605"/>
      <c r="M605"/>
      <c r="N605"/>
      <c r="O605"/>
      <c r="P605"/>
      <c r="Q605"/>
      <c r="R605"/>
      <c r="S605"/>
      <c r="T605"/>
      <c r="U605"/>
      <c r="V605"/>
      <c r="W605"/>
      <c r="BF605" s="65"/>
      <c r="BG605" s="65"/>
      <c r="BH605" s="65"/>
      <c r="BI605" s="65"/>
      <c r="BJ605" s="65"/>
      <c r="BK605" s="65"/>
      <c r="BL605" s="65"/>
      <c r="BM605" s="65"/>
      <c r="BN605" s="65"/>
      <c r="BO605" s="65"/>
      <c r="BP605" s="65"/>
      <c r="BQ605" s="65"/>
      <c r="BR605" s="65"/>
      <c r="BS605" s="65"/>
    </row>
    <row r="606" spans="1:71" s="64" customFormat="1" outlineLevel="1">
      <c r="A606" s="65"/>
      <c r="B606" s="148"/>
      <c r="C606" s="149"/>
      <c r="D606" s="150"/>
      <c r="E606" s="151"/>
      <c r="F606" s="152"/>
      <c r="G606"/>
      <c r="H606"/>
      <c r="I606"/>
      <c r="J606"/>
      <c r="K606"/>
      <c r="L606"/>
      <c r="M606"/>
      <c r="N606"/>
      <c r="O606"/>
      <c r="P606"/>
      <c r="Q606"/>
      <c r="R606"/>
      <c r="S606"/>
      <c r="T606"/>
      <c r="U606"/>
      <c r="V606"/>
      <c r="W606"/>
      <c r="BF606" s="65"/>
      <c r="BG606" s="65"/>
      <c r="BH606" s="65"/>
      <c r="BI606" s="65"/>
      <c r="BJ606" s="65"/>
      <c r="BK606" s="65"/>
      <c r="BL606" s="65"/>
      <c r="BM606" s="65"/>
      <c r="BN606" s="65"/>
      <c r="BO606" s="65"/>
      <c r="BP606" s="65"/>
      <c r="BQ606" s="65"/>
      <c r="BR606" s="65"/>
      <c r="BS606" s="65"/>
    </row>
    <row r="607" spans="1:71" s="64" customFormat="1" outlineLevel="1">
      <c r="A607" s="65"/>
      <c r="B607" s="160"/>
      <c r="C607" s="161"/>
      <c r="D607" s="150"/>
      <c r="E607" s="162"/>
      <c r="F607" s="152"/>
      <c r="G607"/>
      <c r="H607"/>
      <c r="I607"/>
      <c r="J607"/>
      <c r="K607"/>
      <c r="L607"/>
      <c r="M607"/>
      <c r="N607"/>
      <c r="O607"/>
      <c r="P607"/>
      <c r="Q607"/>
      <c r="R607"/>
      <c r="S607"/>
      <c r="T607"/>
      <c r="U607"/>
      <c r="V607"/>
      <c r="W607"/>
      <c r="BF607" s="65"/>
      <c r="BG607" s="65"/>
      <c r="BH607" s="65"/>
      <c r="BI607" s="65"/>
      <c r="BJ607" s="65"/>
      <c r="BK607" s="65"/>
      <c r="BL607" s="65"/>
      <c r="BM607" s="65"/>
      <c r="BN607" s="65"/>
      <c r="BO607" s="65"/>
      <c r="BP607" s="65"/>
      <c r="BQ607" s="65"/>
      <c r="BR607" s="65"/>
      <c r="BS607" s="65"/>
    </row>
    <row r="608" spans="1:71" s="64" customFormat="1" outlineLevel="1">
      <c r="A608" s="65"/>
      <c r="B608" s="148"/>
      <c r="C608" s="149"/>
      <c r="D608" s="150"/>
      <c r="E608" s="151"/>
      <c r="F608" s="152"/>
      <c r="G608"/>
      <c r="H608"/>
      <c r="I608"/>
      <c r="J608"/>
      <c r="K608"/>
      <c r="L608"/>
      <c r="M608"/>
      <c r="N608"/>
      <c r="O608"/>
      <c r="P608"/>
      <c r="Q608"/>
      <c r="R608"/>
      <c r="S608"/>
      <c r="T608"/>
      <c r="U608"/>
      <c r="V608"/>
      <c r="W608"/>
      <c r="BF608" s="65"/>
      <c r="BG608" s="65"/>
      <c r="BH608" s="65"/>
      <c r="BI608" s="65"/>
      <c r="BJ608" s="65"/>
      <c r="BK608" s="65"/>
      <c r="BL608" s="65"/>
      <c r="BM608" s="65"/>
      <c r="BN608" s="65"/>
      <c r="BO608" s="65"/>
      <c r="BP608" s="65"/>
      <c r="BQ608" s="65"/>
      <c r="BR608" s="65"/>
      <c r="BS608" s="65"/>
    </row>
    <row r="609" spans="1:71" s="64" customFormat="1" outlineLevel="1">
      <c r="A609" s="65"/>
      <c r="B609" s="160"/>
      <c r="C609" s="161"/>
      <c r="D609" s="150"/>
      <c r="E609" s="162"/>
      <c r="F609" s="152"/>
      <c r="G609"/>
      <c r="H609"/>
      <c r="I609"/>
      <c r="J609"/>
      <c r="K609"/>
      <c r="L609"/>
      <c r="M609"/>
      <c r="N609"/>
      <c r="O609"/>
      <c r="P609"/>
      <c r="Q609"/>
      <c r="R609"/>
      <c r="S609"/>
      <c r="T609"/>
      <c r="U609"/>
      <c r="V609"/>
      <c r="W609"/>
      <c r="BF609" s="65"/>
      <c r="BG609" s="65"/>
      <c r="BH609" s="65"/>
      <c r="BI609" s="65"/>
      <c r="BJ609" s="65"/>
      <c r="BK609" s="65"/>
      <c r="BL609" s="65"/>
      <c r="BM609" s="65"/>
      <c r="BN609" s="65"/>
      <c r="BO609" s="65"/>
      <c r="BP609" s="65"/>
      <c r="BQ609" s="65"/>
      <c r="BR609" s="65"/>
      <c r="BS609" s="65"/>
    </row>
    <row r="610" spans="1:71" s="64" customFormat="1" outlineLevel="1">
      <c r="A610" s="65"/>
      <c r="B610" s="148"/>
      <c r="C610" s="149"/>
      <c r="D610" s="150"/>
      <c r="E610" s="151"/>
      <c r="F610" s="152"/>
      <c r="G610"/>
      <c r="H610"/>
      <c r="I610"/>
      <c r="J610"/>
      <c r="K610"/>
      <c r="L610"/>
      <c r="M610"/>
      <c r="N610"/>
      <c r="O610"/>
      <c r="P610"/>
      <c r="Q610"/>
      <c r="R610"/>
      <c r="S610"/>
      <c r="T610"/>
      <c r="U610"/>
      <c r="V610"/>
      <c r="W610"/>
      <c r="BF610" s="65"/>
      <c r="BG610" s="65"/>
      <c r="BH610" s="65"/>
      <c r="BI610" s="65"/>
      <c r="BJ610" s="65"/>
      <c r="BK610" s="65"/>
      <c r="BL610" s="65"/>
      <c r="BM610" s="65"/>
      <c r="BN610" s="65"/>
      <c r="BO610" s="65"/>
      <c r="BP610" s="65"/>
      <c r="BQ610" s="65"/>
      <c r="BR610" s="65"/>
      <c r="BS610" s="65"/>
    </row>
    <row r="611" spans="1:71" s="64" customFormat="1" outlineLevel="1">
      <c r="A611" s="65"/>
      <c r="B611" s="160"/>
      <c r="C611" s="161"/>
      <c r="D611" s="150"/>
      <c r="E611" s="162"/>
      <c r="F611" s="152"/>
      <c r="G611"/>
      <c r="H611"/>
      <c r="I611"/>
      <c r="J611"/>
      <c r="K611"/>
      <c r="L611"/>
      <c r="M611"/>
      <c r="N611"/>
      <c r="O611"/>
      <c r="P611"/>
      <c r="Q611"/>
      <c r="R611"/>
      <c r="S611"/>
      <c r="T611"/>
      <c r="U611"/>
      <c r="V611"/>
      <c r="W611"/>
      <c r="BF611" s="65"/>
      <c r="BG611" s="65"/>
      <c r="BH611" s="65"/>
      <c r="BI611" s="65"/>
      <c r="BJ611" s="65"/>
      <c r="BK611" s="65"/>
      <c r="BL611" s="65"/>
      <c r="BM611" s="65"/>
      <c r="BN611" s="65"/>
      <c r="BO611" s="65"/>
      <c r="BP611" s="65"/>
      <c r="BQ611" s="65"/>
      <c r="BR611" s="65"/>
      <c r="BS611" s="65"/>
    </row>
    <row r="612" spans="1:71" s="64" customFormat="1" outlineLevel="1">
      <c r="A612" s="65"/>
      <c r="B612" s="148"/>
      <c r="C612" s="149"/>
      <c r="D612" s="150"/>
      <c r="E612" s="151"/>
      <c r="F612" s="152"/>
      <c r="G612"/>
      <c r="H612"/>
      <c r="I612"/>
      <c r="J612"/>
      <c r="K612"/>
      <c r="L612"/>
      <c r="M612"/>
      <c r="N612"/>
      <c r="O612"/>
      <c r="P612"/>
      <c r="Q612"/>
      <c r="R612"/>
      <c r="S612"/>
      <c r="T612"/>
      <c r="U612"/>
      <c r="V612"/>
      <c r="W612"/>
      <c r="BF612" s="65"/>
      <c r="BG612" s="65"/>
      <c r="BH612" s="65"/>
      <c r="BI612" s="65"/>
      <c r="BJ612" s="65"/>
      <c r="BK612" s="65"/>
      <c r="BL612" s="65"/>
      <c r="BM612" s="65"/>
      <c r="BN612" s="65"/>
      <c r="BO612" s="65"/>
      <c r="BP612" s="65"/>
      <c r="BQ612" s="65"/>
      <c r="BR612" s="65"/>
      <c r="BS612" s="65"/>
    </row>
    <row r="613" spans="1:71" s="64" customFormat="1" outlineLevel="1">
      <c r="A613" s="65"/>
      <c r="B613" s="160"/>
      <c r="C613" s="161"/>
      <c r="D613" s="150"/>
      <c r="E613" s="162"/>
      <c r="F613" s="152"/>
      <c r="G613"/>
      <c r="H613"/>
      <c r="I613"/>
      <c r="J613"/>
      <c r="K613"/>
      <c r="L613"/>
      <c r="M613"/>
      <c r="N613"/>
      <c r="O613"/>
      <c r="P613"/>
      <c r="Q613"/>
      <c r="R613"/>
      <c r="S613"/>
      <c r="T613"/>
      <c r="U613"/>
      <c r="V613"/>
      <c r="W613"/>
      <c r="BF613" s="65"/>
      <c r="BG613" s="65"/>
      <c r="BH613" s="65"/>
      <c r="BI613" s="65"/>
      <c r="BJ613" s="65"/>
      <c r="BK613" s="65"/>
      <c r="BL613" s="65"/>
      <c r="BM613" s="65"/>
      <c r="BN613" s="65"/>
      <c r="BO613" s="65"/>
      <c r="BP613" s="65"/>
      <c r="BQ613" s="65"/>
      <c r="BR613" s="65"/>
      <c r="BS613" s="65"/>
    </row>
    <row r="614" spans="1:71" s="64" customFormat="1" outlineLevel="1">
      <c r="A614" s="65"/>
      <c r="B614" s="148"/>
      <c r="C614" s="149"/>
      <c r="D614" s="150"/>
      <c r="E614" s="151"/>
      <c r="F614" s="152"/>
      <c r="G614"/>
      <c r="H614"/>
      <c r="I614"/>
      <c r="J614"/>
      <c r="K614"/>
      <c r="L614"/>
      <c r="M614"/>
      <c r="N614"/>
      <c r="O614"/>
      <c r="P614"/>
      <c r="Q614"/>
      <c r="R614"/>
      <c r="S614"/>
      <c r="T614"/>
      <c r="U614"/>
      <c r="V614"/>
      <c r="W614"/>
      <c r="BF614" s="65"/>
      <c r="BG614" s="65"/>
      <c r="BH614" s="65"/>
      <c r="BI614" s="65"/>
      <c r="BJ614" s="65"/>
      <c r="BK614" s="65"/>
      <c r="BL614" s="65"/>
      <c r="BM614" s="65"/>
      <c r="BN614" s="65"/>
      <c r="BO614" s="65"/>
      <c r="BP614" s="65"/>
      <c r="BQ614" s="65"/>
      <c r="BR614" s="65"/>
      <c r="BS614" s="65"/>
    </row>
    <row r="615" spans="1:71" s="64" customFormat="1" outlineLevel="1">
      <c r="A615" s="65"/>
      <c r="B615" s="160"/>
      <c r="C615" s="161"/>
      <c r="D615" s="150"/>
      <c r="E615" s="162"/>
      <c r="F615" s="152"/>
      <c r="G615"/>
      <c r="H615"/>
      <c r="I615"/>
      <c r="J615"/>
      <c r="K615"/>
      <c r="L615"/>
      <c r="M615"/>
      <c r="N615"/>
      <c r="O615"/>
      <c r="P615"/>
      <c r="Q615"/>
      <c r="R615"/>
      <c r="S615"/>
      <c r="T615"/>
      <c r="U615"/>
      <c r="V615"/>
      <c r="W615"/>
      <c r="BF615" s="65"/>
      <c r="BG615" s="65"/>
      <c r="BH615" s="65"/>
      <c r="BI615" s="65"/>
      <c r="BJ615" s="65"/>
      <c r="BK615" s="65"/>
      <c r="BL615" s="65"/>
      <c r="BM615" s="65"/>
      <c r="BN615" s="65"/>
      <c r="BO615" s="65"/>
      <c r="BP615" s="65"/>
      <c r="BQ615" s="65"/>
      <c r="BR615" s="65"/>
      <c r="BS615" s="65"/>
    </row>
    <row r="616" spans="1:71" s="64" customFormat="1" outlineLevel="1">
      <c r="A616" s="65"/>
      <c r="B616" s="148"/>
      <c r="C616" s="149"/>
      <c r="D616" s="150"/>
      <c r="E616" s="151"/>
      <c r="F616" s="152"/>
      <c r="G616"/>
      <c r="H616"/>
      <c r="I616"/>
      <c r="J616"/>
      <c r="K616"/>
      <c r="L616"/>
      <c r="M616"/>
      <c r="N616"/>
      <c r="O616"/>
      <c r="P616"/>
      <c r="Q616"/>
      <c r="R616"/>
      <c r="S616"/>
      <c r="T616"/>
      <c r="U616"/>
      <c r="V616"/>
      <c r="W616"/>
      <c r="BF616" s="65"/>
      <c r="BG616" s="65"/>
      <c r="BH616" s="65"/>
      <c r="BI616" s="65"/>
      <c r="BJ616" s="65"/>
      <c r="BK616" s="65"/>
      <c r="BL616" s="65"/>
      <c r="BM616" s="65"/>
      <c r="BN616" s="65"/>
      <c r="BO616" s="65"/>
      <c r="BP616" s="65"/>
      <c r="BQ616" s="65"/>
      <c r="BR616" s="65"/>
      <c r="BS616" s="65"/>
    </row>
    <row r="617" spans="1:71" s="64" customFormat="1" outlineLevel="1">
      <c r="A617" s="65"/>
      <c r="B617" s="160"/>
      <c r="C617" s="161"/>
      <c r="D617" s="150"/>
      <c r="E617" s="162"/>
      <c r="F617" s="152"/>
      <c r="G617"/>
      <c r="H617"/>
      <c r="I617"/>
      <c r="J617"/>
      <c r="K617"/>
      <c r="L617"/>
      <c r="M617"/>
      <c r="N617"/>
      <c r="O617"/>
      <c r="P617"/>
      <c r="Q617"/>
      <c r="R617"/>
      <c r="S617"/>
      <c r="T617"/>
      <c r="U617"/>
      <c r="V617"/>
      <c r="W617"/>
      <c r="BF617" s="65"/>
      <c r="BG617" s="65"/>
      <c r="BH617" s="65"/>
      <c r="BI617" s="65"/>
      <c r="BJ617" s="65"/>
      <c r="BK617" s="65"/>
      <c r="BL617" s="65"/>
      <c r="BM617" s="65"/>
      <c r="BN617" s="65"/>
      <c r="BO617" s="65"/>
      <c r="BP617" s="65"/>
      <c r="BQ617" s="65"/>
      <c r="BR617" s="65"/>
      <c r="BS617" s="65"/>
    </row>
    <row r="618" spans="1:71" s="64" customFormat="1" outlineLevel="1">
      <c r="A618" s="65"/>
      <c r="B618" s="148"/>
      <c r="C618" s="149"/>
      <c r="D618" s="150"/>
      <c r="E618" s="151"/>
      <c r="F618" s="152"/>
      <c r="G618"/>
      <c r="H618"/>
      <c r="I618"/>
      <c r="J618"/>
      <c r="K618"/>
      <c r="L618"/>
      <c r="M618"/>
      <c r="N618"/>
      <c r="O618"/>
      <c r="P618"/>
      <c r="Q618"/>
      <c r="R618"/>
      <c r="S618"/>
      <c r="T618"/>
      <c r="U618"/>
      <c r="V618"/>
      <c r="W618"/>
      <c r="BF618" s="65"/>
      <c r="BG618" s="65"/>
      <c r="BH618" s="65"/>
      <c r="BI618" s="65"/>
      <c r="BJ618" s="65"/>
      <c r="BK618" s="65"/>
      <c r="BL618" s="65"/>
      <c r="BM618" s="65"/>
      <c r="BN618" s="65"/>
      <c r="BO618" s="65"/>
      <c r="BP618" s="65"/>
      <c r="BQ618" s="65"/>
      <c r="BR618" s="65"/>
      <c r="BS618" s="65"/>
    </row>
    <row r="619" spans="1:71" s="64" customFormat="1" outlineLevel="1">
      <c r="A619" s="65"/>
      <c r="B619" s="160"/>
      <c r="C619" s="161"/>
      <c r="D619" s="150"/>
      <c r="E619" s="162"/>
      <c r="F619" s="152"/>
      <c r="G619"/>
      <c r="H619"/>
      <c r="I619"/>
      <c r="J619"/>
      <c r="K619"/>
      <c r="L619"/>
      <c r="M619"/>
      <c r="N619"/>
      <c r="O619"/>
      <c r="P619"/>
      <c r="Q619"/>
      <c r="R619"/>
      <c r="S619"/>
      <c r="T619"/>
      <c r="U619"/>
      <c r="V619"/>
      <c r="W619"/>
      <c r="BF619" s="65"/>
      <c r="BG619" s="65"/>
      <c r="BH619" s="65"/>
      <c r="BI619" s="65"/>
      <c r="BJ619" s="65"/>
      <c r="BK619" s="65"/>
      <c r="BL619" s="65"/>
      <c r="BM619" s="65"/>
      <c r="BN619" s="65"/>
      <c r="BO619" s="65"/>
      <c r="BP619" s="65"/>
      <c r="BQ619" s="65"/>
      <c r="BR619" s="65"/>
      <c r="BS619" s="65"/>
    </row>
    <row r="620" spans="1:71" s="64" customFormat="1" outlineLevel="1">
      <c r="A620" s="65"/>
      <c r="B620" s="148"/>
      <c r="C620" s="149"/>
      <c r="D620" s="150"/>
      <c r="E620" s="151"/>
      <c r="F620" s="152"/>
      <c r="G620"/>
      <c r="H620"/>
      <c r="I620"/>
      <c r="J620"/>
      <c r="K620"/>
      <c r="L620"/>
      <c r="M620"/>
      <c r="N620"/>
      <c r="O620"/>
      <c r="P620"/>
      <c r="Q620"/>
      <c r="R620"/>
      <c r="S620"/>
      <c r="T620"/>
      <c r="U620"/>
      <c r="V620"/>
      <c r="W620"/>
      <c r="BF620" s="65"/>
      <c r="BG620" s="65"/>
      <c r="BH620" s="65"/>
      <c r="BI620" s="65"/>
      <c r="BJ620" s="65"/>
      <c r="BK620" s="65"/>
      <c r="BL620" s="65"/>
      <c r="BM620" s="65"/>
      <c r="BN620" s="65"/>
      <c r="BO620" s="65"/>
      <c r="BP620" s="65"/>
      <c r="BQ620" s="65"/>
      <c r="BR620" s="65"/>
      <c r="BS620" s="65"/>
    </row>
    <row r="621" spans="1:71" s="64" customFormat="1" outlineLevel="1">
      <c r="A621" s="65"/>
      <c r="B621" s="160"/>
      <c r="C621" s="161"/>
      <c r="D621" s="150"/>
      <c r="E621" s="162"/>
      <c r="F621" s="152"/>
      <c r="G621"/>
      <c r="H621"/>
      <c r="I621"/>
      <c r="J621"/>
      <c r="K621"/>
      <c r="L621"/>
      <c r="M621"/>
      <c r="N621"/>
      <c r="O621"/>
      <c r="P621"/>
      <c r="Q621"/>
      <c r="R621"/>
      <c r="S621"/>
      <c r="T621"/>
      <c r="U621"/>
      <c r="V621"/>
      <c r="W621"/>
      <c r="BF621" s="65"/>
      <c r="BG621" s="65"/>
      <c r="BH621" s="65"/>
      <c r="BI621" s="65"/>
      <c r="BJ621" s="65"/>
      <c r="BK621" s="65"/>
      <c r="BL621" s="65"/>
      <c r="BM621" s="65"/>
      <c r="BN621" s="65"/>
      <c r="BO621" s="65"/>
      <c r="BP621" s="65"/>
      <c r="BQ621" s="65"/>
      <c r="BR621" s="65"/>
      <c r="BS621" s="65"/>
    </row>
    <row r="622" spans="1:71" s="64" customFormat="1" outlineLevel="1">
      <c r="A622" s="65"/>
      <c r="B622" s="148"/>
      <c r="C622" s="149"/>
      <c r="D622" s="150"/>
      <c r="E622" s="151"/>
      <c r="F622" s="152"/>
      <c r="G622"/>
      <c r="H622"/>
      <c r="I622"/>
      <c r="J622"/>
      <c r="K622"/>
      <c r="L622"/>
      <c r="M622"/>
      <c r="N622"/>
      <c r="O622"/>
      <c r="P622"/>
      <c r="Q622"/>
      <c r="R622"/>
      <c r="S622"/>
      <c r="T622"/>
      <c r="U622"/>
      <c r="V622"/>
      <c r="W622"/>
      <c r="BF622" s="65"/>
      <c r="BG622" s="65"/>
      <c r="BH622" s="65"/>
      <c r="BI622" s="65"/>
      <c r="BJ622" s="65"/>
      <c r="BK622" s="65"/>
      <c r="BL622" s="65"/>
      <c r="BM622" s="65"/>
      <c r="BN622" s="65"/>
      <c r="BO622" s="65"/>
      <c r="BP622" s="65"/>
      <c r="BQ622" s="65"/>
      <c r="BR622" s="65"/>
      <c r="BS622" s="65"/>
    </row>
    <row r="623" spans="1:71" s="64" customFormat="1" outlineLevel="1">
      <c r="A623" s="65"/>
      <c r="B623" s="160"/>
      <c r="C623" s="161"/>
      <c r="D623" s="150"/>
      <c r="E623" s="162"/>
      <c r="F623" s="152"/>
      <c r="G623"/>
      <c r="H623"/>
      <c r="I623"/>
      <c r="J623"/>
      <c r="K623"/>
      <c r="L623"/>
      <c r="M623"/>
      <c r="N623"/>
      <c r="O623"/>
      <c r="P623"/>
      <c r="Q623"/>
      <c r="R623"/>
      <c r="S623"/>
      <c r="T623"/>
      <c r="U623"/>
      <c r="V623"/>
      <c r="W623"/>
      <c r="BF623" s="65"/>
      <c r="BG623" s="65"/>
      <c r="BH623" s="65"/>
      <c r="BI623" s="65"/>
      <c r="BJ623" s="65"/>
      <c r="BK623" s="65"/>
      <c r="BL623" s="65"/>
      <c r="BM623" s="65"/>
      <c r="BN623" s="65"/>
      <c r="BO623" s="65"/>
      <c r="BP623" s="65"/>
      <c r="BQ623" s="65"/>
      <c r="BR623" s="65"/>
      <c r="BS623" s="65"/>
    </row>
    <row r="624" spans="1:71" s="64" customFormat="1" outlineLevel="1">
      <c r="A624" s="65"/>
      <c r="B624" s="148"/>
      <c r="C624" s="149"/>
      <c r="D624" s="150"/>
      <c r="E624" s="151"/>
      <c r="F624" s="152"/>
      <c r="G624"/>
      <c r="H624"/>
      <c r="I624"/>
      <c r="J624"/>
      <c r="K624"/>
      <c r="L624"/>
      <c r="M624"/>
      <c r="N624"/>
      <c r="O624"/>
      <c r="P624"/>
      <c r="Q624"/>
      <c r="R624"/>
      <c r="S624"/>
      <c r="T624"/>
      <c r="U624"/>
      <c r="V624"/>
      <c r="W624"/>
      <c r="BF624" s="65"/>
      <c r="BG624" s="65"/>
      <c r="BH624" s="65"/>
      <c r="BI624" s="65"/>
      <c r="BJ624" s="65"/>
      <c r="BK624" s="65"/>
      <c r="BL624" s="65"/>
      <c r="BM624" s="65"/>
      <c r="BN624" s="65"/>
      <c r="BO624" s="65"/>
      <c r="BP624" s="65"/>
      <c r="BQ624" s="65"/>
      <c r="BR624" s="65"/>
      <c r="BS624" s="65"/>
    </row>
    <row r="625" spans="1:71" s="64" customFormat="1" outlineLevel="1">
      <c r="A625" s="65"/>
      <c r="B625" s="160"/>
      <c r="C625" s="161"/>
      <c r="D625" s="150"/>
      <c r="E625" s="162"/>
      <c r="F625" s="152"/>
      <c r="G625"/>
      <c r="H625"/>
      <c r="I625"/>
      <c r="J625"/>
      <c r="K625"/>
      <c r="L625"/>
      <c r="M625"/>
      <c r="N625"/>
      <c r="O625"/>
      <c r="P625"/>
      <c r="Q625"/>
      <c r="R625"/>
      <c r="S625"/>
      <c r="T625"/>
      <c r="U625"/>
      <c r="V625"/>
      <c r="W625"/>
      <c r="BF625" s="65"/>
      <c r="BG625" s="65"/>
      <c r="BH625" s="65"/>
      <c r="BI625" s="65"/>
      <c r="BJ625" s="65"/>
      <c r="BK625" s="65"/>
      <c r="BL625" s="65"/>
      <c r="BM625" s="65"/>
      <c r="BN625" s="65"/>
      <c r="BO625" s="65"/>
      <c r="BP625" s="65"/>
      <c r="BQ625" s="65"/>
      <c r="BR625" s="65"/>
      <c r="BS625" s="65"/>
    </row>
    <row r="626" spans="1:71" s="64" customFormat="1" outlineLevel="1">
      <c r="A626" s="65"/>
      <c r="B626" s="148"/>
      <c r="C626" s="149"/>
      <c r="D626" s="150"/>
      <c r="E626" s="151"/>
      <c r="F626" s="152"/>
      <c r="G626"/>
      <c r="H626"/>
      <c r="I626"/>
      <c r="J626"/>
      <c r="K626"/>
      <c r="L626"/>
      <c r="M626"/>
      <c r="N626"/>
      <c r="O626"/>
      <c r="P626"/>
      <c r="Q626"/>
      <c r="R626"/>
      <c r="S626"/>
      <c r="T626"/>
      <c r="U626"/>
      <c r="V626"/>
      <c r="W626"/>
      <c r="BF626" s="65"/>
      <c r="BG626" s="65"/>
      <c r="BH626" s="65"/>
      <c r="BI626" s="65"/>
      <c r="BJ626" s="65"/>
      <c r="BK626" s="65"/>
      <c r="BL626" s="65"/>
      <c r="BM626" s="65"/>
      <c r="BN626" s="65"/>
      <c r="BO626" s="65"/>
      <c r="BP626" s="65"/>
      <c r="BQ626" s="65"/>
      <c r="BR626" s="65"/>
      <c r="BS626" s="65"/>
    </row>
    <row r="627" spans="1:71" s="64" customFormat="1" outlineLevel="1">
      <c r="A627" s="65"/>
      <c r="B627" s="160"/>
      <c r="C627" s="161"/>
      <c r="D627" s="150"/>
      <c r="E627" s="162"/>
      <c r="F627" s="152"/>
      <c r="G627"/>
      <c r="H627"/>
      <c r="I627"/>
      <c r="J627"/>
      <c r="K627"/>
      <c r="L627"/>
      <c r="M627"/>
      <c r="N627"/>
      <c r="O627"/>
      <c r="P627"/>
      <c r="Q627"/>
      <c r="R627"/>
      <c r="S627"/>
      <c r="T627"/>
      <c r="U627"/>
      <c r="V627"/>
      <c r="W627"/>
      <c r="BF627" s="65"/>
      <c r="BG627" s="65"/>
      <c r="BH627" s="65"/>
      <c r="BI627" s="65"/>
      <c r="BJ627" s="65"/>
      <c r="BK627" s="65"/>
      <c r="BL627" s="65"/>
      <c r="BM627" s="65"/>
      <c r="BN627" s="65"/>
      <c r="BO627" s="65"/>
      <c r="BP627" s="65"/>
      <c r="BQ627" s="65"/>
      <c r="BR627" s="65"/>
      <c r="BS627" s="65"/>
    </row>
    <row r="628" spans="1:71" s="64" customFormat="1" outlineLevel="1">
      <c r="A628" s="65"/>
      <c r="B628" s="148"/>
      <c r="C628" s="149"/>
      <c r="D628" s="150"/>
      <c r="E628" s="151"/>
      <c r="F628" s="152"/>
      <c r="G628"/>
      <c r="H628"/>
      <c r="I628"/>
      <c r="J628"/>
      <c r="K628"/>
      <c r="L628"/>
      <c r="M628"/>
      <c r="N628"/>
      <c r="O628"/>
      <c r="P628"/>
      <c r="Q628"/>
      <c r="R628"/>
      <c r="S628"/>
      <c r="T628"/>
      <c r="U628"/>
      <c r="V628"/>
      <c r="W628"/>
      <c r="BF628" s="65"/>
      <c r="BG628" s="65"/>
      <c r="BH628" s="65"/>
      <c r="BI628" s="65"/>
      <c r="BJ628" s="65"/>
      <c r="BK628" s="65"/>
      <c r="BL628" s="65"/>
      <c r="BM628" s="65"/>
      <c r="BN628" s="65"/>
      <c r="BO628" s="65"/>
      <c r="BP628" s="65"/>
      <c r="BQ628" s="65"/>
      <c r="BR628" s="65"/>
      <c r="BS628" s="65"/>
    </row>
    <row r="629" spans="1:71" s="64" customFormat="1" outlineLevel="1">
      <c r="A629" s="65"/>
      <c r="B629" s="160"/>
      <c r="C629" s="161"/>
      <c r="D629" s="150"/>
      <c r="E629" s="162"/>
      <c r="F629" s="152"/>
      <c r="G629"/>
      <c r="H629"/>
      <c r="I629"/>
      <c r="J629"/>
      <c r="K629"/>
      <c r="L629"/>
      <c r="M629"/>
      <c r="N629"/>
      <c r="O629"/>
      <c r="P629"/>
      <c r="Q629"/>
      <c r="R629"/>
      <c r="S629"/>
      <c r="T629"/>
      <c r="U629"/>
      <c r="V629"/>
      <c r="W629"/>
      <c r="BF629" s="65"/>
      <c r="BG629" s="65"/>
      <c r="BH629" s="65"/>
      <c r="BI629" s="65"/>
      <c r="BJ629" s="65"/>
      <c r="BK629" s="65"/>
      <c r="BL629" s="65"/>
      <c r="BM629" s="65"/>
      <c r="BN629" s="65"/>
      <c r="BO629" s="65"/>
      <c r="BP629" s="65"/>
      <c r="BQ629" s="65"/>
      <c r="BR629" s="65"/>
      <c r="BS629" s="65"/>
    </row>
    <row r="630" spans="1:71" s="64" customFormat="1" outlineLevel="1">
      <c r="A630" s="65"/>
      <c r="B630" s="148"/>
      <c r="C630" s="149"/>
      <c r="D630" s="150"/>
      <c r="E630" s="151"/>
      <c r="F630" s="152"/>
      <c r="G630"/>
      <c r="H630"/>
      <c r="I630"/>
      <c r="J630"/>
      <c r="K630"/>
      <c r="L630"/>
      <c r="M630"/>
      <c r="N630"/>
      <c r="O630"/>
      <c r="P630"/>
      <c r="Q630"/>
      <c r="R630"/>
      <c r="S630"/>
      <c r="T630"/>
      <c r="U630"/>
      <c r="V630"/>
      <c r="W630"/>
      <c r="BF630" s="65"/>
      <c r="BG630" s="65"/>
      <c r="BH630" s="65"/>
      <c r="BI630" s="65"/>
      <c r="BJ630" s="65"/>
      <c r="BK630" s="65"/>
      <c r="BL630" s="65"/>
      <c r="BM630" s="65"/>
      <c r="BN630" s="65"/>
      <c r="BO630" s="65"/>
      <c r="BP630" s="65"/>
      <c r="BQ630" s="65"/>
      <c r="BR630" s="65"/>
      <c r="BS630" s="65"/>
    </row>
    <row r="631" spans="1:71" s="64" customFormat="1" outlineLevel="1">
      <c r="A631" s="65"/>
      <c r="B631" s="160"/>
      <c r="C631" s="161"/>
      <c r="D631" s="150"/>
      <c r="E631" s="162"/>
      <c r="F631" s="152"/>
      <c r="G631"/>
      <c r="H631"/>
      <c r="I631"/>
      <c r="J631"/>
      <c r="K631"/>
      <c r="L631"/>
      <c r="M631"/>
      <c r="N631"/>
      <c r="O631"/>
      <c r="P631"/>
      <c r="Q631"/>
      <c r="R631"/>
      <c r="S631"/>
      <c r="T631"/>
      <c r="U631"/>
      <c r="V631"/>
      <c r="W631"/>
      <c r="BF631" s="65"/>
      <c r="BG631" s="65"/>
      <c r="BH631" s="65"/>
      <c r="BI631" s="65"/>
      <c r="BJ631" s="65"/>
      <c r="BK631" s="65"/>
      <c r="BL631" s="65"/>
      <c r="BM631" s="65"/>
      <c r="BN631" s="65"/>
      <c r="BO631" s="65"/>
      <c r="BP631" s="65"/>
      <c r="BQ631" s="65"/>
      <c r="BR631" s="65"/>
      <c r="BS631" s="65"/>
    </row>
    <row r="632" spans="1:71" s="64" customFormat="1" outlineLevel="1">
      <c r="A632" s="65"/>
      <c r="B632" s="148"/>
      <c r="C632" s="149"/>
      <c r="D632" s="150"/>
      <c r="E632" s="151"/>
      <c r="F632" s="152"/>
      <c r="G632"/>
      <c r="H632"/>
      <c r="I632"/>
      <c r="J632"/>
      <c r="K632"/>
      <c r="L632"/>
      <c r="M632"/>
      <c r="N632"/>
      <c r="O632"/>
      <c r="P632"/>
      <c r="Q632"/>
      <c r="R632"/>
      <c r="S632"/>
      <c r="T632"/>
      <c r="U632"/>
      <c r="V632"/>
      <c r="W632"/>
      <c r="BF632" s="65"/>
      <c r="BG632" s="65"/>
      <c r="BH632" s="65"/>
      <c r="BI632" s="65"/>
      <c r="BJ632" s="65"/>
      <c r="BK632" s="65"/>
      <c r="BL632" s="65"/>
      <c r="BM632" s="65"/>
      <c r="BN632" s="65"/>
      <c r="BO632" s="65"/>
      <c r="BP632" s="65"/>
      <c r="BQ632" s="65"/>
      <c r="BR632" s="65"/>
      <c r="BS632" s="65"/>
    </row>
    <row r="633" spans="1:71" s="64" customFormat="1" outlineLevel="1">
      <c r="A633" s="65"/>
      <c r="B633" s="160"/>
      <c r="C633" s="161"/>
      <c r="D633" s="150"/>
      <c r="E633" s="162"/>
      <c r="F633" s="152"/>
      <c r="G633"/>
      <c r="H633"/>
      <c r="I633"/>
      <c r="J633"/>
      <c r="K633"/>
      <c r="L633"/>
      <c r="M633"/>
      <c r="N633"/>
      <c r="O633"/>
      <c r="P633"/>
      <c r="Q633"/>
      <c r="R633"/>
      <c r="S633"/>
      <c r="T633"/>
      <c r="U633"/>
      <c r="V633"/>
      <c r="W633"/>
      <c r="BF633" s="65"/>
      <c r="BG633" s="65"/>
      <c r="BH633" s="65"/>
      <c r="BI633" s="65"/>
      <c r="BJ633" s="65"/>
      <c r="BK633" s="65"/>
      <c r="BL633" s="65"/>
      <c r="BM633" s="65"/>
      <c r="BN633" s="65"/>
      <c r="BO633" s="65"/>
      <c r="BP633" s="65"/>
      <c r="BQ633" s="65"/>
      <c r="BR633" s="65"/>
      <c r="BS633" s="65"/>
    </row>
    <row r="634" spans="1:71" s="64" customFormat="1" outlineLevel="1">
      <c r="A634" s="65"/>
      <c r="B634" s="148"/>
      <c r="C634" s="149"/>
      <c r="D634" s="150"/>
      <c r="E634" s="151"/>
      <c r="F634" s="152"/>
      <c r="G634"/>
      <c r="H634"/>
      <c r="I634"/>
      <c r="J634"/>
      <c r="K634"/>
      <c r="L634"/>
      <c r="M634"/>
      <c r="N634"/>
      <c r="O634"/>
      <c r="P634"/>
      <c r="Q634"/>
      <c r="R634"/>
      <c r="S634"/>
      <c r="T634"/>
      <c r="U634"/>
      <c r="V634"/>
      <c r="W634"/>
      <c r="BF634" s="65"/>
      <c r="BG634" s="65"/>
      <c r="BH634" s="65"/>
      <c r="BI634" s="65"/>
      <c r="BJ634" s="65"/>
      <c r="BK634" s="65"/>
      <c r="BL634" s="65"/>
      <c r="BM634" s="65"/>
      <c r="BN634" s="65"/>
      <c r="BO634" s="65"/>
      <c r="BP634" s="65"/>
      <c r="BQ634" s="65"/>
      <c r="BR634" s="65"/>
      <c r="BS634" s="65"/>
    </row>
    <row r="635" spans="1:71" s="64" customFormat="1" outlineLevel="1">
      <c r="A635" s="65"/>
      <c r="B635" s="160"/>
      <c r="C635" s="161"/>
      <c r="D635" s="150"/>
      <c r="E635" s="162"/>
      <c r="F635" s="152"/>
      <c r="G635"/>
      <c r="H635"/>
      <c r="I635"/>
      <c r="J635"/>
      <c r="K635"/>
      <c r="L635"/>
      <c r="M635"/>
      <c r="N635"/>
      <c r="O635"/>
      <c r="P635"/>
      <c r="Q635"/>
      <c r="R635"/>
      <c r="S635"/>
      <c r="T635"/>
      <c r="U635"/>
      <c r="V635"/>
      <c r="W635"/>
      <c r="BF635" s="65"/>
      <c r="BG635" s="65"/>
      <c r="BH635" s="65"/>
      <c r="BI635" s="65"/>
      <c r="BJ635" s="65"/>
      <c r="BK635" s="65"/>
      <c r="BL635" s="65"/>
      <c r="BM635" s="65"/>
      <c r="BN635" s="65"/>
      <c r="BO635" s="65"/>
      <c r="BP635" s="65"/>
      <c r="BQ635" s="65"/>
      <c r="BR635" s="65"/>
      <c r="BS635" s="65"/>
    </row>
    <row r="636" spans="1:71" s="64" customFormat="1" outlineLevel="1">
      <c r="A636" s="65"/>
      <c r="B636" s="148"/>
      <c r="C636" s="149"/>
      <c r="D636" s="150"/>
      <c r="E636" s="151"/>
      <c r="F636" s="152"/>
      <c r="G636"/>
      <c r="H636"/>
      <c r="I636"/>
      <c r="J636"/>
      <c r="K636"/>
      <c r="L636"/>
      <c r="M636"/>
      <c r="N636"/>
      <c r="O636"/>
      <c r="P636"/>
      <c r="Q636"/>
      <c r="R636"/>
      <c r="S636"/>
      <c r="T636"/>
      <c r="U636"/>
      <c r="V636"/>
      <c r="W636"/>
      <c r="BF636" s="65"/>
      <c r="BG636" s="65"/>
      <c r="BH636" s="65"/>
      <c r="BI636" s="65"/>
      <c r="BJ636" s="65"/>
      <c r="BK636" s="65"/>
      <c r="BL636" s="65"/>
      <c r="BM636" s="65"/>
      <c r="BN636" s="65"/>
      <c r="BO636" s="65"/>
      <c r="BP636" s="65"/>
      <c r="BQ636" s="65"/>
      <c r="BR636" s="65"/>
      <c r="BS636" s="65"/>
    </row>
    <row r="637" spans="1:71" s="64" customFormat="1" outlineLevel="1">
      <c r="A637" s="65"/>
      <c r="B637" s="160"/>
      <c r="C637" s="161"/>
      <c r="D637" s="150"/>
      <c r="E637" s="162"/>
      <c r="F637" s="152"/>
      <c r="G637"/>
      <c r="H637"/>
      <c r="I637"/>
      <c r="J637"/>
      <c r="K637"/>
      <c r="L637"/>
      <c r="M637"/>
      <c r="N637"/>
      <c r="O637"/>
      <c r="P637"/>
      <c r="Q637"/>
      <c r="R637"/>
      <c r="S637"/>
      <c r="T637"/>
      <c r="U637"/>
      <c r="V637"/>
      <c r="W637"/>
      <c r="BF637" s="65"/>
      <c r="BG637" s="65"/>
      <c r="BH637" s="65"/>
      <c r="BI637" s="65"/>
      <c r="BJ637" s="65"/>
      <c r="BK637" s="65"/>
      <c r="BL637" s="65"/>
      <c r="BM637" s="65"/>
      <c r="BN637" s="65"/>
      <c r="BO637" s="65"/>
      <c r="BP637" s="65"/>
      <c r="BQ637" s="65"/>
      <c r="BR637" s="65"/>
      <c r="BS637" s="65"/>
    </row>
    <row r="638" spans="1:71" s="64" customFormat="1" outlineLevel="1">
      <c r="A638" s="65"/>
      <c r="B638" s="148"/>
      <c r="C638" s="149"/>
      <c r="D638" s="150"/>
      <c r="E638" s="151"/>
      <c r="F638" s="152"/>
      <c r="G638"/>
      <c r="H638"/>
      <c r="I638"/>
      <c r="J638"/>
      <c r="K638"/>
      <c r="L638"/>
      <c r="M638"/>
      <c r="N638"/>
      <c r="O638"/>
      <c r="P638"/>
      <c r="Q638"/>
      <c r="R638"/>
      <c r="S638"/>
      <c r="T638"/>
      <c r="U638"/>
      <c r="V638"/>
      <c r="W638"/>
      <c r="BF638" s="65"/>
      <c r="BG638" s="65"/>
      <c r="BH638" s="65"/>
      <c r="BI638" s="65"/>
      <c r="BJ638" s="65"/>
      <c r="BK638" s="65"/>
      <c r="BL638" s="65"/>
      <c r="BM638" s="65"/>
      <c r="BN638" s="65"/>
      <c r="BO638" s="65"/>
      <c r="BP638" s="65"/>
      <c r="BQ638" s="65"/>
      <c r="BR638" s="65"/>
      <c r="BS638" s="65"/>
    </row>
    <row r="639" spans="1:71" s="64" customFormat="1" outlineLevel="1">
      <c r="A639" s="65"/>
      <c r="B639" s="160"/>
      <c r="C639" s="161"/>
      <c r="D639" s="150"/>
      <c r="E639" s="162"/>
      <c r="F639" s="152"/>
      <c r="G639"/>
      <c r="H639"/>
      <c r="I639"/>
      <c r="J639"/>
      <c r="K639"/>
      <c r="L639"/>
      <c r="M639"/>
      <c r="N639"/>
      <c r="O639"/>
      <c r="P639"/>
      <c r="Q639"/>
      <c r="R639"/>
      <c r="S639"/>
      <c r="T639"/>
      <c r="U639"/>
      <c r="V639"/>
      <c r="W639"/>
      <c r="BF639" s="65"/>
      <c r="BG639" s="65"/>
      <c r="BH639" s="65"/>
      <c r="BI639" s="65"/>
      <c r="BJ639" s="65"/>
      <c r="BK639" s="65"/>
      <c r="BL639" s="65"/>
      <c r="BM639" s="65"/>
      <c r="BN639" s="65"/>
      <c r="BO639" s="65"/>
      <c r="BP639" s="65"/>
      <c r="BQ639" s="65"/>
      <c r="BR639" s="65"/>
      <c r="BS639" s="65"/>
    </row>
    <row r="640" spans="1:71" s="64" customFormat="1" outlineLevel="1">
      <c r="A640" s="65"/>
      <c r="B640" s="148"/>
      <c r="C640" s="149"/>
      <c r="D640" s="150"/>
      <c r="E640" s="151"/>
      <c r="F640" s="152"/>
      <c r="G640"/>
      <c r="H640"/>
      <c r="I640"/>
      <c r="J640"/>
      <c r="K640"/>
      <c r="L640"/>
      <c r="M640"/>
      <c r="N640"/>
      <c r="O640"/>
      <c r="P640"/>
      <c r="Q640"/>
      <c r="R640"/>
      <c r="S640"/>
      <c r="T640"/>
      <c r="U640"/>
      <c r="V640"/>
      <c r="W640"/>
      <c r="BF640" s="65"/>
      <c r="BG640" s="65"/>
      <c r="BH640" s="65"/>
      <c r="BI640" s="65"/>
      <c r="BJ640" s="65"/>
      <c r="BK640" s="65"/>
      <c r="BL640" s="65"/>
      <c r="BM640" s="65"/>
      <c r="BN640" s="65"/>
      <c r="BO640" s="65"/>
      <c r="BP640" s="65"/>
      <c r="BQ640" s="65"/>
      <c r="BR640" s="65"/>
      <c r="BS640" s="65"/>
    </row>
    <row r="641" spans="1:71" s="64" customFormat="1" outlineLevel="1">
      <c r="A641" s="65"/>
      <c r="B641" s="160"/>
      <c r="C641" s="161"/>
      <c r="D641" s="150"/>
      <c r="E641" s="162"/>
      <c r="F641" s="152"/>
      <c r="G641"/>
      <c r="H641"/>
      <c r="I641"/>
      <c r="J641"/>
      <c r="K641"/>
      <c r="L641"/>
      <c r="M641"/>
      <c r="N641"/>
      <c r="O641"/>
      <c r="P641"/>
      <c r="Q641"/>
      <c r="R641"/>
      <c r="S641"/>
      <c r="T641"/>
      <c r="U641"/>
      <c r="V641"/>
      <c r="W641"/>
      <c r="BF641" s="65"/>
      <c r="BG641" s="65"/>
      <c r="BH641" s="65"/>
      <c r="BI641" s="65"/>
      <c r="BJ641" s="65"/>
      <c r="BK641" s="65"/>
      <c r="BL641" s="65"/>
      <c r="BM641" s="65"/>
      <c r="BN641" s="65"/>
      <c r="BO641" s="65"/>
      <c r="BP641" s="65"/>
      <c r="BQ641" s="65"/>
      <c r="BR641" s="65"/>
      <c r="BS641" s="65"/>
    </row>
    <row r="642" spans="1:71" s="64" customFormat="1" outlineLevel="1">
      <c r="A642" s="65"/>
      <c r="B642" s="148"/>
      <c r="C642" s="149"/>
      <c r="D642" s="150"/>
      <c r="E642" s="151"/>
      <c r="F642" s="152"/>
      <c r="G642"/>
      <c r="H642"/>
      <c r="I642"/>
      <c r="J642"/>
      <c r="K642"/>
      <c r="L642"/>
      <c r="M642"/>
      <c r="N642"/>
      <c r="O642"/>
      <c r="P642"/>
      <c r="Q642"/>
      <c r="R642"/>
      <c r="S642"/>
      <c r="T642"/>
      <c r="U642"/>
      <c r="V642"/>
      <c r="W642"/>
      <c r="BF642" s="65"/>
      <c r="BG642" s="65"/>
      <c r="BH642" s="65"/>
      <c r="BI642" s="65"/>
      <c r="BJ642" s="65"/>
      <c r="BK642" s="65"/>
      <c r="BL642" s="65"/>
      <c r="BM642" s="65"/>
      <c r="BN642" s="65"/>
      <c r="BO642" s="65"/>
      <c r="BP642" s="65"/>
      <c r="BQ642" s="65"/>
      <c r="BR642" s="65"/>
      <c r="BS642" s="65"/>
    </row>
    <row r="643" spans="1:71" s="64" customFormat="1" outlineLevel="1">
      <c r="A643" s="65"/>
      <c r="B643" s="160"/>
      <c r="C643" s="161"/>
      <c r="D643" s="150"/>
      <c r="E643" s="162"/>
      <c r="F643" s="152"/>
      <c r="G643"/>
      <c r="H643"/>
      <c r="I643"/>
      <c r="J643"/>
      <c r="K643"/>
      <c r="L643"/>
      <c r="M643"/>
      <c r="N643"/>
      <c r="O643"/>
      <c r="P643"/>
      <c r="Q643"/>
      <c r="R643"/>
      <c r="S643"/>
      <c r="T643"/>
      <c r="U643"/>
      <c r="V643"/>
      <c r="W643"/>
      <c r="BF643" s="65"/>
      <c r="BG643" s="65"/>
      <c r="BH643" s="65"/>
      <c r="BI643" s="65"/>
      <c r="BJ643" s="65"/>
      <c r="BK643" s="65"/>
      <c r="BL643" s="65"/>
      <c r="BM643" s="65"/>
      <c r="BN643" s="65"/>
      <c r="BO643" s="65"/>
      <c r="BP643" s="65"/>
      <c r="BQ643" s="65"/>
      <c r="BR643" s="65"/>
      <c r="BS643" s="65"/>
    </row>
    <row r="644" spans="1:71" s="64" customFormat="1" outlineLevel="1">
      <c r="A644" s="65"/>
      <c r="B644" s="148"/>
      <c r="C644" s="149"/>
      <c r="D644" s="150"/>
      <c r="E644" s="151"/>
      <c r="F644" s="152"/>
      <c r="G644"/>
      <c r="H644"/>
      <c r="I644"/>
      <c r="J644"/>
      <c r="K644"/>
      <c r="L644"/>
      <c r="M644"/>
      <c r="N644"/>
      <c r="O644"/>
      <c r="P644"/>
      <c r="Q644"/>
      <c r="R644"/>
      <c r="S644"/>
      <c r="T644"/>
      <c r="U644"/>
      <c r="V644"/>
      <c r="W644"/>
      <c r="BF644" s="65"/>
      <c r="BG644" s="65"/>
      <c r="BH644" s="65"/>
      <c r="BI644" s="65"/>
      <c r="BJ644" s="65"/>
      <c r="BK644" s="65"/>
      <c r="BL644" s="65"/>
      <c r="BM644" s="65"/>
      <c r="BN644" s="65"/>
      <c r="BO644" s="65"/>
      <c r="BP644" s="65"/>
      <c r="BQ644" s="65"/>
      <c r="BR644" s="65"/>
      <c r="BS644" s="65"/>
    </row>
    <row r="645" spans="1:71" s="64" customFormat="1" outlineLevel="1">
      <c r="A645" s="65"/>
      <c r="B645" s="160"/>
      <c r="C645" s="161"/>
      <c r="D645" s="150"/>
      <c r="E645" s="162"/>
      <c r="F645" s="152"/>
      <c r="G645"/>
      <c r="H645"/>
      <c r="I645"/>
      <c r="J645"/>
      <c r="K645"/>
      <c r="L645"/>
      <c r="M645"/>
      <c r="N645"/>
      <c r="O645"/>
      <c r="P645"/>
      <c r="Q645"/>
      <c r="R645"/>
      <c r="S645"/>
      <c r="T645"/>
      <c r="U645"/>
      <c r="V645"/>
      <c r="W645"/>
      <c r="BF645" s="65"/>
      <c r="BG645" s="65"/>
      <c r="BH645" s="65"/>
      <c r="BI645" s="65"/>
      <c r="BJ645" s="65"/>
      <c r="BK645" s="65"/>
      <c r="BL645" s="65"/>
      <c r="BM645" s="65"/>
      <c r="BN645" s="65"/>
      <c r="BO645" s="65"/>
      <c r="BP645" s="65"/>
      <c r="BQ645" s="65"/>
      <c r="BR645" s="65"/>
      <c r="BS645" s="65"/>
    </row>
    <row r="646" spans="1:71" s="64" customFormat="1" outlineLevel="1">
      <c r="A646" s="65"/>
      <c r="B646" s="148"/>
      <c r="C646" s="149"/>
      <c r="D646" s="150"/>
      <c r="E646" s="151"/>
      <c r="F646" s="152"/>
      <c r="G646"/>
      <c r="H646"/>
      <c r="I646"/>
      <c r="J646"/>
      <c r="K646"/>
      <c r="L646"/>
      <c r="M646"/>
      <c r="N646"/>
      <c r="O646"/>
      <c r="P646"/>
      <c r="Q646"/>
      <c r="R646"/>
      <c r="S646"/>
      <c r="T646"/>
      <c r="U646"/>
      <c r="V646"/>
      <c r="W646"/>
      <c r="BF646" s="65"/>
      <c r="BG646" s="65"/>
      <c r="BH646" s="65"/>
      <c r="BI646" s="65"/>
      <c r="BJ646" s="65"/>
      <c r="BK646" s="65"/>
      <c r="BL646" s="65"/>
      <c r="BM646" s="65"/>
      <c r="BN646" s="65"/>
      <c r="BO646" s="65"/>
      <c r="BP646" s="65"/>
      <c r="BQ646" s="65"/>
      <c r="BR646" s="65"/>
      <c r="BS646" s="65"/>
    </row>
    <row r="647" spans="1:71" s="64" customFormat="1" outlineLevel="1">
      <c r="A647" s="65"/>
      <c r="B647" s="160"/>
      <c r="C647" s="161"/>
      <c r="D647" s="150"/>
      <c r="E647" s="162"/>
      <c r="F647" s="152"/>
      <c r="G647"/>
      <c r="H647"/>
      <c r="I647"/>
      <c r="J647"/>
      <c r="K647"/>
      <c r="L647"/>
      <c r="M647"/>
      <c r="N647"/>
      <c r="O647"/>
      <c r="P647"/>
      <c r="Q647"/>
      <c r="R647"/>
      <c r="S647"/>
      <c r="T647"/>
      <c r="U647"/>
      <c r="V647"/>
      <c r="W647"/>
      <c r="BF647" s="65"/>
      <c r="BG647" s="65"/>
      <c r="BH647" s="65"/>
      <c r="BI647" s="65"/>
      <c r="BJ647" s="65"/>
      <c r="BK647" s="65"/>
      <c r="BL647" s="65"/>
      <c r="BM647" s="65"/>
      <c r="BN647" s="65"/>
      <c r="BO647" s="65"/>
      <c r="BP647" s="65"/>
      <c r="BQ647" s="65"/>
      <c r="BR647" s="65"/>
      <c r="BS647" s="65"/>
    </row>
    <row r="648" spans="1:71" s="64" customFormat="1" outlineLevel="1">
      <c r="A648" s="65"/>
      <c r="B648" s="148"/>
      <c r="C648" s="149"/>
      <c r="D648" s="150"/>
      <c r="E648" s="151"/>
      <c r="F648" s="152"/>
      <c r="G648"/>
      <c r="H648"/>
      <c r="I648"/>
      <c r="J648"/>
      <c r="K648"/>
      <c r="L648"/>
      <c r="M648"/>
      <c r="N648"/>
      <c r="O648"/>
      <c r="P648"/>
      <c r="Q648"/>
      <c r="R648"/>
      <c r="S648"/>
      <c r="T648"/>
      <c r="U648"/>
      <c r="V648"/>
      <c r="W648"/>
      <c r="BF648" s="65"/>
      <c r="BG648" s="65"/>
      <c r="BH648" s="65"/>
      <c r="BI648" s="65"/>
      <c r="BJ648" s="65"/>
      <c r="BK648" s="65"/>
      <c r="BL648" s="65"/>
      <c r="BM648" s="65"/>
      <c r="BN648" s="65"/>
      <c r="BO648" s="65"/>
      <c r="BP648" s="65"/>
      <c r="BQ648" s="65"/>
      <c r="BR648" s="65"/>
      <c r="BS648" s="65"/>
    </row>
    <row r="649" spans="1:71" s="64" customFormat="1" outlineLevel="1">
      <c r="A649" s="65"/>
      <c r="B649" s="160"/>
      <c r="C649" s="161"/>
      <c r="D649" s="150"/>
      <c r="E649" s="162"/>
      <c r="F649" s="152"/>
      <c r="G649"/>
      <c r="H649"/>
      <c r="I649"/>
      <c r="J649"/>
      <c r="K649"/>
      <c r="L649"/>
      <c r="M649"/>
      <c r="N649"/>
      <c r="O649"/>
      <c r="P649"/>
      <c r="Q649"/>
      <c r="R649"/>
      <c r="S649"/>
      <c r="T649"/>
      <c r="U649"/>
      <c r="V649"/>
      <c r="W649"/>
      <c r="BF649" s="65"/>
      <c r="BG649" s="65"/>
      <c r="BH649" s="65"/>
      <c r="BI649" s="65"/>
      <c r="BJ649" s="65"/>
      <c r="BK649" s="65"/>
      <c r="BL649" s="65"/>
      <c r="BM649" s="65"/>
      <c r="BN649" s="65"/>
      <c r="BO649" s="65"/>
      <c r="BP649" s="65"/>
      <c r="BQ649" s="65"/>
      <c r="BR649" s="65"/>
      <c r="BS649" s="65"/>
    </row>
    <row r="650" spans="1:71" s="64" customFormat="1" outlineLevel="1">
      <c r="A650" s="65"/>
      <c r="B650" s="148"/>
      <c r="C650" s="149"/>
      <c r="D650" s="150"/>
      <c r="E650" s="151"/>
      <c r="F650" s="152"/>
      <c r="G650"/>
      <c r="H650"/>
      <c r="I650"/>
      <c r="J650"/>
      <c r="K650"/>
      <c r="L650"/>
      <c r="M650"/>
      <c r="N650"/>
      <c r="O650"/>
      <c r="P650"/>
      <c r="Q650"/>
      <c r="R650"/>
      <c r="S650"/>
      <c r="T650"/>
      <c r="U650"/>
      <c r="V650"/>
      <c r="W650"/>
      <c r="BF650" s="65"/>
      <c r="BG650" s="65"/>
      <c r="BH650" s="65"/>
      <c r="BI650" s="65"/>
      <c r="BJ650" s="65"/>
      <c r="BK650" s="65"/>
      <c r="BL650" s="65"/>
      <c r="BM650" s="65"/>
      <c r="BN650" s="65"/>
      <c r="BO650" s="65"/>
      <c r="BP650" s="65"/>
      <c r="BQ650" s="65"/>
      <c r="BR650" s="65"/>
      <c r="BS650" s="65"/>
    </row>
    <row r="651" spans="1:71" s="64" customFormat="1" outlineLevel="1">
      <c r="A651" s="65"/>
      <c r="B651" s="160"/>
      <c r="C651" s="161"/>
      <c r="D651" s="150"/>
      <c r="E651" s="162"/>
      <c r="F651" s="152"/>
      <c r="G651"/>
      <c r="H651"/>
      <c r="I651"/>
      <c r="J651"/>
      <c r="K651"/>
      <c r="L651"/>
      <c r="M651"/>
      <c r="N651"/>
      <c r="O651"/>
      <c r="P651"/>
      <c r="Q651"/>
      <c r="R651"/>
      <c r="S651"/>
      <c r="T651"/>
      <c r="U651"/>
      <c r="V651"/>
      <c r="W651"/>
      <c r="BF651" s="65"/>
      <c r="BG651" s="65"/>
      <c r="BH651" s="65"/>
      <c r="BI651" s="65"/>
      <c r="BJ651" s="65"/>
      <c r="BK651" s="65"/>
      <c r="BL651" s="65"/>
      <c r="BM651" s="65"/>
      <c r="BN651" s="65"/>
      <c r="BO651" s="65"/>
      <c r="BP651" s="65"/>
      <c r="BQ651" s="65"/>
      <c r="BR651" s="65"/>
      <c r="BS651" s="65"/>
    </row>
    <row r="652" spans="1:71" s="64" customFormat="1" outlineLevel="1">
      <c r="A652" s="65"/>
      <c r="B652" s="148"/>
      <c r="C652" s="149"/>
      <c r="D652" s="150"/>
      <c r="E652" s="151"/>
      <c r="F652" s="152"/>
      <c r="G652"/>
      <c r="H652"/>
      <c r="I652"/>
      <c r="J652"/>
      <c r="K652"/>
      <c r="L652"/>
      <c r="M652"/>
      <c r="N652"/>
      <c r="O652"/>
      <c r="P652"/>
      <c r="Q652"/>
      <c r="R652"/>
      <c r="S652"/>
      <c r="T652"/>
      <c r="U652"/>
      <c r="V652"/>
      <c r="W652"/>
      <c r="BF652" s="65"/>
      <c r="BG652" s="65"/>
      <c r="BH652" s="65"/>
      <c r="BI652" s="65"/>
      <c r="BJ652" s="65"/>
      <c r="BK652" s="65"/>
      <c r="BL652" s="65"/>
      <c r="BM652" s="65"/>
      <c r="BN652" s="65"/>
      <c r="BO652" s="65"/>
      <c r="BP652" s="65"/>
      <c r="BQ652" s="65"/>
      <c r="BR652" s="65"/>
      <c r="BS652" s="65"/>
    </row>
    <row r="653" spans="1:71" s="64" customFormat="1" outlineLevel="1">
      <c r="A653" s="65"/>
      <c r="B653" s="160"/>
      <c r="C653" s="161"/>
      <c r="D653" s="150"/>
      <c r="E653" s="162"/>
      <c r="F653" s="152"/>
      <c r="G653"/>
      <c r="H653"/>
      <c r="I653"/>
      <c r="J653"/>
      <c r="K653"/>
      <c r="L653"/>
      <c r="M653"/>
      <c r="N653"/>
      <c r="O653"/>
      <c r="P653"/>
      <c r="Q653"/>
      <c r="R653"/>
      <c r="S653"/>
      <c r="T653"/>
      <c r="U653"/>
      <c r="V653"/>
      <c r="W653"/>
      <c r="BF653" s="65"/>
      <c r="BG653" s="65"/>
      <c r="BH653" s="65"/>
      <c r="BI653" s="65"/>
      <c r="BJ653" s="65"/>
      <c r="BK653" s="65"/>
      <c r="BL653" s="65"/>
      <c r="BM653" s="65"/>
      <c r="BN653" s="65"/>
      <c r="BO653" s="65"/>
      <c r="BP653" s="65"/>
      <c r="BQ653" s="65"/>
      <c r="BR653" s="65"/>
      <c r="BS653" s="65"/>
    </row>
    <row r="654" spans="1:71" s="64" customFormat="1" outlineLevel="1">
      <c r="A654" s="65"/>
      <c r="B654" s="148"/>
      <c r="C654" s="149"/>
      <c r="D654" s="150"/>
      <c r="E654" s="151"/>
      <c r="F654" s="152"/>
      <c r="G654"/>
      <c r="H654"/>
      <c r="I654"/>
      <c r="J654"/>
      <c r="K654"/>
      <c r="L654"/>
      <c r="M654"/>
      <c r="N654"/>
      <c r="O654"/>
      <c r="P654"/>
      <c r="Q654"/>
      <c r="R654"/>
      <c r="S654"/>
      <c r="T654"/>
      <c r="U654"/>
      <c r="V654"/>
      <c r="W654"/>
      <c r="BF654" s="65"/>
      <c r="BG654" s="65"/>
      <c r="BH654" s="65"/>
      <c r="BI654" s="65"/>
      <c r="BJ654" s="65"/>
      <c r="BK654" s="65"/>
      <c r="BL654" s="65"/>
      <c r="BM654" s="65"/>
      <c r="BN654" s="65"/>
      <c r="BO654" s="65"/>
      <c r="BP654" s="65"/>
      <c r="BQ654" s="65"/>
      <c r="BR654" s="65"/>
      <c r="BS654" s="65"/>
    </row>
    <row r="655" spans="1:71" s="64" customFormat="1" outlineLevel="1">
      <c r="A655" s="65"/>
      <c r="B655" s="160"/>
      <c r="C655" s="161"/>
      <c r="D655" s="150"/>
      <c r="E655" s="162"/>
      <c r="F655" s="152"/>
      <c r="G655"/>
      <c r="H655"/>
      <c r="I655"/>
      <c r="J655"/>
      <c r="K655"/>
      <c r="L655"/>
      <c r="M655"/>
      <c r="N655"/>
      <c r="O655"/>
      <c r="P655"/>
      <c r="Q655"/>
      <c r="R655"/>
      <c r="S655"/>
      <c r="T655"/>
      <c r="U655"/>
      <c r="V655"/>
      <c r="W655"/>
      <c r="BF655" s="65"/>
      <c r="BG655" s="65"/>
      <c r="BH655" s="65"/>
      <c r="BI655" s="65"/>
      <c r="BJ655" s="65"/>
      <c r="BK655" s="65"/>
      <c r="BL655" s="65"/>
      <c r="BM655" s="65"/>
      <c r="BN655" s="65"/>
      <c r="BO655" s="65"/>
      <c r="BP655" s="65"/>
      <c r="BQ655" s="65"/>
      <c r="BR655" s="65"/>
      <c r="BS655" s="65"/>
    </row>
    <row r="656" spans="1:71" s="64" customFormat="1" outlineLevel="1">
      <c r="A656" s="65"/>
      <c r="B656" s="148"/>
      <c r="C656" s="149"/>
      <c r="D656" s="150"/>
      <c r="E656" s="151"/>
      <c r="F656" s="152"/>
      <c r="G656"/>
      <c r="H656"/>
      <c r="I656"/>
      <c r="J656"/>
      <c r="K656"/>
      <c r="L656"/>
      <c r="M656"/>
      <c r="N656"/>
      <c r="O656"/>
      <c r="P656"/>
      <c r="Q656"/>
      <c r="R656"/>
      <c r="S656"/>
      <c r="T656"/>
      <c r="U656"/>
      <c r="V656"/>
      <c r="W656"/>
      <c r="BF656" s="65"/>
      <c r="BG656" s="65"/>
      <c r="BH656" s="65"/>
      <c r="BI656" s="65"/>
      <c r="BJ656" s="65"/>
      <c r="BK656" s="65"/>
      <c r="BL656" s="65"/>
      <c r="BM656" s="65"/>
      <c r="BN656" s="65"/>
      <c r="BO656" s="65"/>
      <c r="BP656" s="65"/>
      <c r="BQ656" s="65"/>
      <c r="BR656" s="65"/>
      <c r="BS656" s="65"/>
    </row>
    <row r="657" spans="1:71" s="64" customFormat="1" outlineLevel="1">
      <c r="A657" s="65"/>
      <c r="B657" s="160"/>
      <c r="C657" s="161"/>
      <c r="D657" s="150"/>
      <c r="E657" s="162"/>
      <c r="F657" s="152"/>
      <c r="G657"/>
      <c r="H657"/>
      <c r="I657"/>
      <c r="J657"/>
      <c r="K657"/>
      <c r="L657"/>
      <c r="M657"/>
      <c r="N657"/>
      <c r="O657"/>
      <c r="P657"/>
      <c r="Q657"/>
      <c r="R657"/>
      <c r="S657"/>
      <c r="T657"/>
      <c r="U657"/>
      <c r="V657"/>
      <c r="W657"/>
      <c r="BF657" s="65"/>
      <c r="BG657" s="65"/>
      <c r="BH657" s="65"/>
      <c r="BI657" s="65"/>
      <c r="BJ657" s="65"/>
      <c r="BK657" s="65"/>
      <c r="BL657" s="65"/>
      <c r="BM657" s="65"/>
      <c r="BN657" s="65"/>
      <c r="BO657" s="65"/>
      <c r="BP657" s="65"/>
      <c r="BQ657" s="65"/>
      <c r="BR657" s="65"/>
      <c r="BS657" s="65"/>
    </row>
    <row r="658" spans="1:71" s="64" customFormat="1" outlineLevel="1">
      <c r="A658" s="65"/>
      <c r="B658" s="148"/>
      <c r="C658" s="149"/>
      <c r="D658" s="150"/>
      <c r="E658" s="151"/>
      <c r="F658" s="152"/>
      <c r="G658"/>
      <c r="H658"/>
      <c r="I658"/>
      <c r="J658"/>
      <c r="K658"/>
      <c r="L658"/>
      <c r="M658"/>
      <c r="N658"/>
      <c r="O658"/>
      <c r="P658"/>
      <c r="Q658"/>
      <c r="R658"/>
      <c r="S658"/>
      <c r="T658"/>
      <c r="U658"/>
      <c r="V658"/>
      <c r="W658"/>
      <c r="BF658" s="65"/>
      <c r="BG658" s="65"/>
      <c r="BH658" s="65"/>
      <c r="BI658" s="65"/>
      <c r="BJ658" s="65"/>
      <c r="BK658" s="65"/>
      <c r="BL658" s="65"/>
      <c r="BM658" s="65"/>
      <c r="BN658" s="65"/>
      <c r="BO658" s="65"/>
      <c r="BP658" s="65"/>
      <c r="BQ658" s="65"/>
      <c r="BR658" s="65"/>
      <c r="BS658" s="65"/>
    </row>
    <row r="659" spans="1:71" s="64" customFormat="1" outlineLevel="1">
      <c r="A659" s="65"/>
      <c r="B659" s="160"/>
      <c r="C659" s="161"/>
      <c r="D659" s="150"/>
      <c r="E659" s="162"/>
      <c r="F659" s="152"/>
      <c r="G659"/>
      <c r="H659"/>
      <c r="I659"/>
      <c r="J659"/>
      <c r="K659"/>
      <c r="L659"/>
      <c r="M659"/>
      <c r="N659"/>
      <c r="O659"/>
      <c r="P659"/>
      <c r="Q659"/>
      <c r="R659"/>
      <c r="S659"/>
      <c r="T659"/>
      <c r="U659"/>
      <c r="V659"/>
      <c r="W659"/>
      <c r="BF659" s="65"/>
      <c r="BG659" s="65"/>
      <c r="BH659" s="65"/>
      <c r="BI659" s="65"/>
      <c r="BJ659" s="65"/>
      <c r="BK659" s="65"/>
      <c r="BL659" s="65"/>
      <c r="BM659" s="65"/>
      <c r="BN659" s="65"/>
      <c r="BO659" s="65"/>
      <c r="BP659" s="65"/>
      <c r="BQ659" s="65"/>
      <c r="BR659" s="65"/>
      <c r="BS659" s="65"/>
    </row>
    <row r="660" spans="1:71" s="64" customFormat="1" outlineLevel="1">
      <c r="A660" s="65"/>
      <c r="B660" s="148"/>
      <c r="C660" s="149"/>
      <c r="D660" s="150"/>
      <c r="E660" s="151"/>
      <c r="F660" s="152"/>
      <c r="G660"/>
      <c r="H660"/>
      <c r="I660"/>
      <c r="J660"/>
      <c r="K660"/>
      <c r="L660"/>
      <c r="M660"/>
      <c r="N660"/>
      <c r="O660"/>
      <c r="P660"/>
      <c r="Q660"/>
      <c r="R660"/>
      <c r="S660"/>
      <c r="T660"/>
      <c r="U660"/>
      <c r="V660"/>
      <c r="W660"/>
      <c r="BF660" s="65"/>
      <c r="BG660" s="65"/>
      <c r="BH660" s="65"/>
      <c r="BI660" s="65"/>
      <c r="BJ660" s="65"/>
      <c r="BK660" s="65"/>
      <c r="BL660" s="65"/>
      <c r="BM660" s="65"/>
      <c r="BN660" s="65"/>
      <c r="BO660" s="65"/>
      <c r="BP660" s="65"/>
      <c r="BQ660" s="65"/>
      <c r="BR660" s="65"/>
      <c r="BS660" s="65"/>
    </row>
    <row r="661" spans="1:71" s="64" customFormat="1" outlineLevel="1">
      <c r="A661" s="65"/>
      <c r="B661" s="160"/>
      <c r="C661" s="161"/>
      <c r="D661" s="150"/>
      <c r="E661" s="162"/>
      <c r="F661" s="152"/>
      <c r="G661"/>
      <c r="H661"/>
      <c r="I661"/>
      <c r="J661"/>
      <c r="K661"/>
      <c r="L661"/>
      <c r="M661"/>
      <c r="N661"/>
      <c r="O661"/>
      <c r="P661"/>
      <c r="Q661"/>
      <c r="R661"/>
      <c r="S661"/>
      <c r="T661"/>
      <c r="U661"/>
      <c r="V661"/>
      <c r="W661"/>
      <c r="BF661" s="65"/>
      <c r="BG661" s="65"/>
      <c r="BH661" s="65"/>
      <c r="BI661" s="65"/>
      <c r="BJ661" s="65"/>
      <c r="BK661" s="65"/>
      <c r="BL661" s="65"/>
      <c r="BM661" s="65"/>
      <c r="BN661" s="65"/>
      <c r="BO661" s="65"/>
      <c r="BP661" s="65"/>
      <c r="BQ661" s="65"/>
      <c r="BR661" s="65"/>
      <c r="BS661" s="65"/>
    </row>
    <row r="662" spans="1:71" s="64" customFormat="1" outlineLevel="1">
      <c r="A662" s="65"/>
      <c r="B662" s="148"/>
      <c r="C662" s="149"/>
      <c r="D662" s="150"/>
      <c r="E662" s="151"/>
      <c r="F662" s="152"/>
      <c r="G662"/>
      <c r="H662"/>
      <c r="I662"/>
      <c r="J662"/>
      <c r="K662"/>
      <c r="L662"/>
      <c r="M662"/>
      <c r="N662"/>
      <c r="O662"/>
      <c r="P662"/>
      <c r="Q662"/>
      <c r="R662"/>
      <c r="S662"/>
      <c r="T662"/>
      <c r="U662"/>
      <c r="V662"/>
      <c r="W662"/>
      <c r="BF662" s="65"/>
      <c r="BG662" s="65"/>
      <c r="BH662" s="65"/>
      <c r="BI662" s="65"/>
      <c r="BJ662" s="65"/>
      <c r="BK662" s="65"/>
      <c r="BL662" s="65"/>
      <c r="BM662" s="65"/>
      <c r="BN662" s="65"/>
      <c r="BO662" s="65"/>
      <c r="BP662" s="65"/>
      <c r="BQ662" s="65"/>
      <c r="BR662" s="65"/>
      <c r="BS662" s="65"/>
    </row>
    <row r="663" spans="1:71" s="64" customFormat="1" outlineLevel="1">
      <c r="A663" s="65"/>
      <c r="B663" s="160"/>
      <c r="C663" s="161"/>
      <c r="D663" s="150"/>
      <c r="E663" s="162"/>
      <c r="F663" s="152"/>
      <c r="G663"/>
      <c r="H663"/>
      <c r="I663"/>
      <c r="J663"/>
      <c r="K663"/>
      <c r="L663"/>
      <c r="M663"/>
      <c r="N663"/>
      <c r="O663"/>
      <c r="P663"/>
      <c r="Q663"/>
      <c r="R663"/>
      <c r="S663"/>
      <c r="T663"/>
      <c r="U663"/>
      <c r="V663"/>
      <c r="W663"/>
      <c r="BF663" s="65"/>
      <c r="BG663" s="65"/>
      <c r="BH663" s="65"/>
      <c r="BI663" s="65"/>
      <c r="BJ663" s="65"/>
      <c r="BK663" s="65"/>
      <c r="BL663" s="65"/>
      <c r="BM663" s="65"/>
      <c r="BN663" s="65"/>
      <c r="BO663" s="65"/>
      <c r="BP663" s="65"/>
      <c r="BQ663" s="65"/>
      <c r="BR663" s="65"/>
      <c r="BS663" s="65"/>
    </row>
    <row r="664" spans="1:71" s="64" customFormat="1" outlineLevel="1">
      <c r="A664" s="65"/>
      <c r="B664" s="148"/>
      <c r="C664" s="149"/>
      <c r="D664" s="150"/>
      <c r="E664" s="151"/>
      <c r="F664" s="152"/>
      <c r="G664"/>
      <c r="H664"/>
      <c r="I664"/>
      <c r="J664"/>
      <c r="K664"/>
      <c r="L664"/>
      <c r="M664"/>
      <c r="N664"/>
      <c r="O664"/>
      <c r="P664"/>
      <c r="Q664"/>
      <c r="R664"/>
      <c r="S664"/>
      <c r="T664"/>
      <c r="U664"/>
      <c r="V664"/>
      <c r="W664"/>
      <c r="BF664" s="65"/>
      <c r="BG664" s="65"/>
      <c r="BH664" s="65"/>
      <c r="BI664" s="65"/>
      <c r="BJ664" s="65"/>
      <c r="BK664" s="65"/>
      <c r="BL664" s="65"/>
      <c r="BM664" s="65"/>
      <c r="BN664" s="65"/>
      <c r="BO664" s="65"/>
      <c r="BP664" s="65"/>
      <c r="BQ664" s="65"/>
      <c r="BR664" s="65"/>
      <c r="BS664" s="65"/>
    </row>
    <row r="665" spans="1:71" s="64" customFormat="1" outlineLevel="1">
      <c r="A665" s="65"/>
      <c r="B665" s="160"/>
      <c r="C665" s="161"/>
      <c r="D665" s="150"/>
      <c r="E665" s="162"/>
      <c r="F665" s="152"/>
      <c r="G665"/>
      <c r="H665"/>
      <c r="I665"/>
      <c r="J665"/>
      <c r="K665"/>
      <c r="L665"/>
      <c r="M665"/>
      <c r="N665"/>
      <c r="O665"/>
      <c r="P665"/>
      <c r="Q665"/>
      <c r="R665"/>
      <c r="S665"/>
      <c r="T665"/>
      <c r="U665"/>
      <c r="V665"/>
      <c r="W665"/>
      <c r="BF665" s="65"/>
      <c r="BG665" s="65"/>
      <c r="BH665" s="65"/>
      <c r="BI665" s="65"/>
      <c r="BJ665" s="65"/>
      <c r="BK665" s="65"/>
      <c r="BL665" s="65"/>
      <c r="BM665" s="65"/>
      <c r="BN665" s="65"/>
      <c r="BO665" s="65"/>
      <c r="BP665" s="65"/>
      <c r="BQ665" s="65"/>
      <c r="BR665" s="65"/>
      <c r="BS665" s="65"/>
    </row>
    <row r="666" spans="1:71" s="64" customFormat="1" outlineLevel="1">
      <c r="A666" s="65"/>
      <c r="B666" s="148"/>
      <c r="C666" s="149"/>
      <c r="D666" s="150"/>
      <c r="E666" s="151"/>
      <c r="F666" s="152"/>
      <c r="G666"/>
      <c r="H666"/>
      <c r="I666"/>
      <c r="J666"/>
      <c r="K666"/>
      <c r="L666"/>
      <c r="M666"/>
      <c r="N666"/>
      <c r="O666"/>
      <c r="P666"/>
      <c r="Q666"/>
      <c r="R666"/>
      <c r="S666"/>
      <c r="T666"/>
      <c r="U666"/>
      <c r="V666"/>
      <c r="W666"/>
      <c r="BF666" s="65"/>
      <c r="BG666" s="65"/>
      <c r="BH666" s="65"/>
      <c r="BI666" s="65"/>
      <c r="BJ666" s="65"/>
      <c r="BK666" s="65"/>
      <c r="BL666" s="65"/>
      <c r="BM666" s="65"/>
      <c r="BN666" s="65"/>
      <c r="BO666" s="65"/>
      <c r="BP666" s="65"/>
      <c r="BQ666" s="65"/>
      <c r="BR666" s="65"/>
      <c r="BS666" s="65"/>
    </row>
    <row r="667" spans="1:71" s="64" customFormat="1" outlineLevel="1">
      <c r="A667" s="65"/>
      <c r="B667" s="160"/>
      <c r="C667" s="161"/>
      <c r="D667" s="150"/>
      <c r="E667" s="162"/>
      <c r="F667" s="152"/>
      <c r="G667"/>
      <c r="H667"/>
      <c r="I667"/>
      <c r="J667"/>
      <c r="K667"/>
      <c r="L667"/>
      <c r="M667"/>
      <c r="N667"/>
      <c r="O667"/>
      <c r="P667"/>
      <c r="Q667"/>
      <c r="R667"/>
      <c r="S667"/>
      <c r="T667"/>
      <c r="U667"/>
      <c r="V667"/>
      <c r="W667"/>
      <c r="BF667" s="65"/>
      <c r="BG667" s="65"/>
      <c r="BH667" s="65"/>
      <c r="BI667" s="65"/>
      <c r="BJ667" s="65"/>
      <c r="BK667" s="65"/>
      <c r="BL667" s="65"/>
      <c r="BM667" s="65"/>
      <c r="BN667" s="65"/>
      <c r="BO667" s="65"/>
      <c r="BP667" s="65"/>
      <c r="BQ667" s="65"/>
      <c r="BR667" s="65"/>
      <c r="BS667" s="65"/>
    </row>
    <row r="668" spans="1:71" s="64" customFormat="1" outlineLevel="1">
      <c r="A668" s="65"/>
      <c r="B668" s="148"/>
      <c r="C668" s="149"/>
      <c r="D668" s="150"/>
      <c r="E668" s="151"/>
      <c r="F668" s="152"/>
      <c r="G668"/>
      <c r="H668"/>
      <c r="I668"/>
      <c r="J668"/>
      <c r="K668"/>
      <c r="L668"/>
      <c r="M668"/>
      <c r="N668"/>
      <c r="O668"/>
      <c r="P668"/>
      <c r="Q668"/>
      <c r="R668"/>
      <c r="S668"/>
      <c r="T668"/>
      <c r="U668"/>
      <c r="V668"/>
      <c r="W668"/>
      <c r="BF668" s="65"/>
      <c r="BG668" s="65"/>
      <c r="BH668" s="65"/>
      <c r="BI668" s="65"/>
      <c r="BJ668" s="65"/>
      <c r="BK668" s="65"/>
      <c r="BL668" s="65"/>
      <c r="BM668" s="65"/>
      <c r="BN668" s="65"/>
      <c r="BO668" s="65"/>
      <c r="BP668" s="65"/>
      <c r="BQ668" s="65"/>
      <c r="BR668" s="65"/>
      <c r="BS668" s="65"/>
    </row>
    <row r="669" spans="1:71" s="64" customFormat="1" outlineLevel="1">
      <c r="A669" s="65"/>
      <c r="B669" s="160"/>
      <c r="C669" s="161"/>
      <c r="D669" s="150"/>
      <c r="E669" s="162"/>
      <c r="F669" s="152"/>
      <c r="G669"/>
      <c r="H669"/>
      <c r="I669"/>
      <c r="J669"/>
      <c r="K669"/>
      <c r="L669"/>
      <c r="M669"/>
      <c r="N669"/>
      <c r="O669"/>
      <c r="P669"/>
      <c r="Q669"/>
      <c r="R669"/>
      <c r="S669"/>
      <c r="T669"/>
      <c r="U669"/>
      <c r="V669"/>
      <c r="W669"/>
      <c r="BF669" s="65"/>
      <c r="BG669" s="65"/>
      <c r="BH669" s="65"/>
      <c r="BI669" s="65"/>
      <c r="BJ669" s="65"/>
      <c r="BK669" s="65"/>
      <c r="BL669" s="65"/>
      <c r="BM669" s="65"/>
      <c r="BN669" s="65"/>
      <c r="BO669" s="65"/>
      <c r="BP669" s="65"/>
      <c r="BQ669" s="65"/>
      <c r="BR669" s="65"/>
      <c r="BS669" s="65"/>
    </row>
    <row r="670" spans="1:71" s="64" customFormat="1" outlineLevel="1">
      <c r="A670" s="65"/>
      <c r="B670" s="148"/>
      <c r="C670" s="149"/>
      <c r="D670" s="150"/>
      <c r="E670" s="151"/>
      <c r="F670" s="152"/>
      <c r="G670"/>
      <c r="H670"/>
      <c r="I670"/>
      <c r="J670"/>
      <c r="K670"/>
      <c r="L670"/>
      <c r="M670"/>
      <c r="N670"/>
      <c r="O670"/>
      <c r="P670"/>
      <c r="Q670"/>
      <c r="R670"/>
      <c r="S670"/>
      <c r="T670"/>
      <c r="U670"/>
      <c r="V670"/>
      <c r="W670"/>
      <c r="BF670" s="65"/>
      <c r="BG670" s="65"/>
      <c r="BH670" s="65"/>
      <c r="BI670" s="65"/>
      <c r="BJ670" s="65"/>
      <c r="BK670" s="65"/>
      <c r="BL670" s="65"/>
      <c r="BM670" s="65"/>
      <c r="BN670" s="65"/>
      <c r="BO670" s="65"/>
      <c r="BP670" s="65"/>
      <c r="BQ670" s="65"/>
      <c r="BR670" s="65"/>
      <c r="BS670" s="65"/>
    </row>
    <row r="671" spans="1:71" s="64" customFormat="1" outlineLevel="1">
      <c r="A671" s="65"/>
      <c r="B671" s="160"/>
      <c r="C671" s="161"/>
      <c r="D671" s="150"/>
      <c r="E671" s="162"/>
      <c r="F671" s="152"/>
      <c r="G671"/>
      <c r="H671"/>
      <c r="I671"/>
      <c r="J671"/>
      <c r="K671"/>
      <c r="L671"/>
      <c r="M671"/>
      <c r="N671"/>
      <c r="O671"/>
      <c r="P671"/>
      <c r="Q671"/>
      <c r="R671"/>
      <c r="S671"/>
      <c r="T671"/>
      <c r="U671"/>
      <c r="V671"/>
      <c r="W671"/>
      <c r="BF671" s="65"/>
      <c r="BG671" s="65"/>
      <c r="BH671" s="65"/>
      <c r="BI671" s="65"/>
      <c r="BJ671" s="65"/>
      <c r="BK671" s="65"/>
      <c r="BL671" s="65"/>
      <c r="BM671" s="65"/>
      <c r="BN671" s="65"/>
      <c r="BO671" s="65"/>
      <c r="BP671" s="65"/>
      <c r="BQ671" s="65"/>
      <c r="BR671" s="65"/>
      <c r="BS671" s="65"/>
    </row>
    <row r="672" spans="1:71" s="64" customFormat="1" outlineLevel="1">
      <c r="A672" s="65"/>
      <c r="B672" s="148"/>
      <c r="C672" s="149"/>
      <c r="D672" s="150"/>
      <c r="E672" s="151"/>
      <c r="F672" s="152"/>
      <c r="G672"/>
      <c r="H672"/>
      <c r="I672"/>
      <c r="J672"/>
      <c r="K672"/>
      <c r="L672"/>
      <c r="M672"/>
      <c r="N672"/>
      <c r="O672"/>
      <c r="P672"/>
      <c r="Q672"/>
      <c r="R672"/>
      <c r="S672"/>
      <c r="T672"/>
      <c r="U672"/>
      <c r="V672"/>
      <c r="W672"/>
      <c r="BF672" s="65"/>
      <c r="BG672" s="65"/>
      <c r="BH672" s="65"/>
      <c r="BI672" s="65"/>
      <c r="BJ672" s="65"/>
      <c r="BK672" s="65"/>
      <c r="BL672" s="65"/>
      <c r="BM672" s="65"/>
      <c r="BN672" s="65"/>
      <c r="BO672" s="65"/>
      <c r="BP672" s="65"/>
      <c r="BQ672" s="65"/>
      <c r="BR672" s="65"/>
      <c r="BS672" s="65"/>
    </row>
    <row r="673" spans="1:71" s="64" customFormat="1" outlineLevel="1">
      <c r="A673" s="65"/>
      <c r="B673" s="160"/>
      <c r="C673" s="161"/>
      <c r="D673" s="150"/>
      <c r="E673" s="162"/>
      <c r="F673" s="152"/>
      <c r="G673"/>
      <c r="H673"/>
      <c r="I673"/>
      <c r="J673"/>
      <c r="K673"/>
      <c r="L673"/>
      <c r="M673"/>
      <c r="N673"/>
      <c r="O673"/>
      <c r="P673"/>
      <c r="Q673"/>
      <c r="R673"/>
      <c r="S673"/>
      <c r="T673"/>
      <c r="U673"/>
      <c r="V673"/>
      <c r="W673"/>
      <c r="BF673" s="65"/>
      <c r="BG673" s="65"/>
      <c r="BH673" s="65"/>
      <c r="BI673" s="65"/>
      <c r="BJ673" s="65"/>
      <c r="BK673" s="65"/>
      <c r="BL673" s="65"/>
      <c r="BM673" s="65"/>
      <c r="BN673" s="65"/>
      <c r="BO673" s="65"/>
      <c r="BP673" s="65"/>
      <c r="BQ673" s="65"/>
      <c r="BR673" s="65"/>
      <c r="BS673" s="65"/>
    </row>
    <row r="674" spans="1:71" s="64" customFormat="1" outlineLevel="1">
      <c r="A674" s="65"/>
      <c r="B674" s="148"/>
      <c r="C674" s="149"/>
      <c r="D674" s="150"/>
      <c r="E674" s="151"/>
      <c r="F674" s="152"/>
      <c r="G674"/>
      <c r="H674"/>
      <c r="I674"/>
      <c r="J674"/>
      <c r="K674"/>
      <c r="L674"/>
      <c r="M674"/>
      <c r="N674"/>
      <c r="O674"/>
      <c r="P674"/>
      <c r="Q674"/>
      <c r="R674"/>
      <c r="S674"/>
      <c r="T674"/>
      <c r="U674"/>
      <c r="V674"/>
      <c r="W674"/>
      <c r="BF674" s="65"/>
      <c r="BG674" s="65"/>
      <c r="BH674" s="65"/>
      <c r="BI674" s="65"/>
      <c r="BJ674" s="65"/>
      <c r="BK674" s="65"/>
      <c r="BL674" s="65"/>
      <c r="BM674" s="65"/>
      <c r="BN674" s="65"/>
      <c r="BO674" s="65"/>
      <c r="BP674" s="65"/>
      <c r="BQ674" s="65"/>
      <c r="BR674" s="65"/>
      <c r="BS674" s="65"/>
    </row>
    <row r="675" spans="1:71" s="64" customFormat="1" outlineLevel="1">
      <c r="A675" s="65"/>
      <c r="B675" s="160"/>
      <c r="C675" s="161"/>
      <c r="D675" s="150"/>
      <c r="E675" s="162"/>
      <c r="F675" s="152"/>
      <c r="G675"/>
      <c r="H675"/>
      <c r="I675"/>
      <c r="J675"/>
      <c r="K675"/>
      <c r="L675"/>
      <c r="M675"/>
      <c r="N675"/>
      <c r="O675"/>
      <c r="P675"/>
      <c r="Q675"/>
      <c r="R675"/>
      <c r="S675"/>
      <c r="T675"/>
      <c r="U675"/>
      <c r="V675"/>
      <c r="W675"/>
      <c r="BF675" s="65"/>
      <c r="BG675" s="65"/>
      <c r="BH675" s="65"/>
      <c r="BI675" s="65"/>
      <c r="BJ675" s="65"/>
      <c r="BK675" s="65"/>
      <c r="BL675" s="65"/>
      <c r="BM675" s="65"/>
      <c r="BN675" s="65"/>
      <c r="BO675" s="65"/>
      <c r="BP675" s="65"/>
      <c r="BQ675" s="65"/>
      <c r="BR675" s="65"/>
      <c r="BS675" s="65"/>
    </row>
    <row r="676" spans="1:71" s="64" customFormat="1" outlineLevel="1">
      <c r="A676" s="65"/>
      <c r="B676" s="148"/>
      <c r="C676" s="149"/>
      <c r="D676" s="150"/>
      <c r="E676" s="151"/>
      <c r="F676" s="152"/>
      <c r="G676"/>
      <c r="H676"/>
      <c r="I676"/>
      <c r="J676"/>
      <c r="K676"/>
      <c r="L676"/>
      <c r="M676"/>
      <c r="N676"/>
      <c r="O676"/>
      <c r="P676"/>
      <c r="Q676"/>
      <c r="R676"/>
      <c r="S676"/>
      <c r="T676"/>
      <c r="U676"/>
      <c r="V676"/>
      <c r="W676"/>
      <c r="BF676" s="65"/>
      <c r="BG676" s="65"/>
      <c r="BH676" s="65"/>
      <c r="BI676" s="65"/>
      <c r="BJ676" s="65"/>
      <c r="BK676" s="65"/>
      <c r="BL676" s="65"/>
      <c r="BM676" s="65"/>
      <c r="BN676" s="65"/>
      <c r="BO676" s="65"/>
      <c r="BP676" s="65"/>
      <c r="BQ676" s="65"/>
      <c r="BR676" s="65"/>
      <c r="BS676" s="65"/>
    </row>
    <row r="677" spans="1:71" s="64" customFormat="1" outlineLevel="1">
      <c r="A677" s="65"/>
      <c r="B677" s="160"/>
      <c r="C677" s="161"/>
      <c r="D677" s="150"/>
      <c r="E677" s="162"/>
      <c r="F677" s="152"/>
      <c r="G677"/>
      <c r="H677"/>
      <c r="I677"/>
      <c r="J677"/>
      <c r="K677"/>
      <c r="L677"/>
      <c r="M677"/>
      <c r="N677"/>
      <c r="O677"/>
      <c r="P677"/>
      <c r="Q677"/>
      <c r="R677"/>
      <c r="S677"/>
      <c r="T677"/>
      <c r="U677"/>
      <c r="V677"/>
      <c r="W677"/>
      <c r="BF677" s="65"/>
      <c r="BG677" s="65"/>
      <c r="BH677" s="65"/>
      <c r="BI677" s="65"/>
      <c r="BJ677" s="65"/>
      <c r="BK677" s="65"/>
      <c r="BL677" s="65"/>
      <c r="BM677" s="65"/>
      <c r="BN677" s="65"/>
      <c r="BO677" s="65"/>
      <c r="BP677" s="65"/>
      <c r="BQ677" s="65"/>
      <c r="BR677" s="65"/>
      <c r="BS677" s="65"/>
    </row>
    <row r="678" spans="1:71" s="64" customFormat="1" outlineLevel="1">
      <c r="A678" s="65"/>
      <c r="B678" s="148"/>
      <c r="C678" s="149"/>
      <c r="D678" s="150"/>
      <c r="E678" s="151"/>
      <c r="F678" s="152"/>
      <c r="G678"/>
      <c r="H678"/>
      <c r="I678"/>
      <c r="J678"/>
      <c r="K678"/>
      <c r="L678"/>
      <c r="M678"/>
      <c r="N678"/>
      <c r="O678"/>
      <c r="P678"/>
      <c r="Q678"/>
      <c r="R678"/>
      <c r="S678"/>
      <c r="T678"/>
      <c r="U678"/>
      <c r="V678"/>
      <c r="W678"/>
      <c r="BF678" s="65"/>
      <c r="BG678" s="65"/>
      <c r="BH678" s="65"/>
      <c r="BI678" s="65"/>
      <c r="BJ678" s="65"/>
      <c r="BK678" s="65"/>
      <c r="BL678" s="65"/>
      <c r="BM678" s="65"/>
      <c r="BN678" s="65"/>
      <c r="BO678" s="65"/>
      <c r="BP678" s="65"/>
      <c r="BQ678" s="65"/>
      <c r="BR678" s="65"/>
      <c r="BS678" s="65"/>
    </row>
    <row r="679" spans="1:71" s="64" customFormat="1" outlineLevel="1">
      <c r="A679" s="65"/>
      <c r="B679" s="160"/>
      <c r="C679" s="161"/>
      <c r="D679" s="150"/>
      <c r="E679" s="162"/>
      <c r="F679" s="152"/>
      <c r="G679"/>
      <c r="H679"/>
      <c r="I679"/>
      <c r="J679"/>
      <c r="K679"/>
      <c r="L679"/>
      <c r="M679"/>
      <c r="N679"/>
      <c r="O679"/>
      <c r="P679"/>
      <c r="Q679"/>
      <c r="R679"/>
      <c r="S679"/>
      <c r="T679"/>
      <c r="U679"/>
      <c r="V679"/>
      <c r="W679"/>
      <c r="BF679" s="65"/>
      <c r="BG679" s="65"/>
      <c r="BH679" s="65"/>
      <c r="BI679" s="65"/>
      <c r="BJ679" s="65"/>
      <c r="BK679" s="65"/>
      <c r="BL679" s="65"/>
      <c r="BM679" s="65"/>
      <c r="BN679" s="65"/>
      <c r="BO679" s="65"/>
      <c r="BP679" s="65"/>
      <c r="BQ679" s="65"/>
      <c r="BR679" s="65"/>
      <c r="BS679" s="65"/>
    </row>
    <row r="680" spans="1:71" s="64" customFormat="1" outlineLevel="1">
      <c r="A680" s="65"/>
      <c r="B680" s="148"/>
      <c r="C680" s="149"/>
      <c r="D680" s="150"/>
      <c r="E680" s="151"/>
      <c r="F680" s="152"/>
      <c r="G680"/>
      <c r="H680"/>
      <c r="I680"/>
      <c r="J680"/>
      <c r="K680"/>
      <c r="L680"/>
      <c r="M680"/>
      <c r="N680"/>
      <c r="O680"/>
      <c r="P680"/>
      <c r="Q680"/>
      <c r="R680"/>
      <c r="S680"/>
      <c r="T680"/>
      <c r="U680"/>
      <c r="V680"/>
      <c r="W680"/>
      <c r="BF680" s="65"/>
      <c r="BG680" s="65"/>
      <c r="BH680" s="65"/>
      <c r="BI680" s="65"/>
      <c r="BJ680" s="65"/>
      <c r="BK680" s="65"/>
      <c r="BL680" s="65"/>
      <c r="BM680" s="65"/>
      <c r="BN680" s="65"/>
      <c r="BO680" s="65"/>
      <c r="BP680" s="65"/>
      <c r="BQ680" s="65"/>
      <c r="BR680" s="65"/>
      <c r="BS680" s="65"/>
    </row>
    <row r="681" spans="1:71" s="64" customFormat="1" outlineLevel="1">
      <c r="A681" s="65"/>
      <c r="B681" s="160"/>
      <c r="C681" s="161"/>
      <c r="D681" s="150"/>
      <c r="E681" s="162"/>
      <c r="F681" s="152"/>
      <c r="G681"/>
      <c r="H681"/>
      <c r="I681"/>
      <c r="J681"/>
      <c r="K681"/>
      <c r="L681"/>
      <c r="M681"/>
      <c r="N681"/>
      <c r="O681"/>
      <c r="P681"/>
      <c r="Q681"/>
      <c r="R681"/>
      <c r="S681"/>
      <c r="T681"/>
      <c r="U681"/>
      <c r="V681"/>
      <c r="W681"/>
      <c r="BF681" s="65"/>
      <c r="BG681" s="65"/>
      <c r="BH681" s="65"/>
      <c r="BI681" s="65"/>
      <c r="BJ681" s="65"/>
      <c r="BK681" s="65"/>
      <c r="BL681" s="65"/>
      <c r="BM681" s="65"/>
      <c r="BN681" s="65"/>
      <c r="BO681" s="65"/>
      <c r="BP681" s="65"/>
      <c r="BQ681" s="65"/>
      <c r="BR681" s="65"/>
      <c r="BS681" s="65"/>
    </row>
    <row r="682" spans="1:71" s="64" customFormat="1" outlineLevel="1">
      <c r="A682" s="65"/>
      <c r="B682" s="148"/>
      <c r="C682" s="149"/>
      <c r="D682" s="150"/>
      <c r="E682" s="151"/>
      <c r="F682" s="152"/>
      <c r="G682"/>
      <c r="H682"/>
      <c r="I682"/>
      <c r="J682"/>
      <c r="K682"/>
      <c r="L682"/>
      <c r="M682"/>
      <c r="N682"/>
      <c r="O682"/>
      <c r="P682"/>
      <c r="Q682"/>
      <c r="R682"/>
      <c r="S682"/>
      <c r="T682"/>
      <c r="U682"/>
      <c r="V682"/>
      <c r="W682"/>
      <c r="BF682" s="65"/>
      <c r="BG682" s="65"/>
      <c r="BH682" s="65"/>
      <c r="BI682" s="65"/>
      <c r="BJ682" s="65"/>
      <c r="BK682" s="65"/>
      <c r="BL682" s="65"/>
      <c r="BM682" s="65"/>
      <c r="BN682" s="65"/>
      <c r="BO682" s="65"/>
      <c r="BP682" s="65"/>
      <c r="BQ682" s="65"/>
      <c r="BR682" s="65"/>
      <c r="BS682" s="65"/>
    </row>
    <row r="683" spans="1:71" s="64" customFormat="1" outlineLevel="1">
      <c r="A683" s="65"/>
      <c r="B683" s="160"/>
      <c r="C683" s="161"/>
      <c r="D683" s="150"/>
      <c r="E683" s="162"/>
      <c r="F683" s="152"/>
      <c r="G683"/>
      <c r="H683"/>
      <c r="I683"/>
      <c r="J683"/>
      <c r="K683"/>
      <c r="L683"/>
      <c r="M683"/>
      <c r="N683"/>
      <c r="O683"/>
      <c r="P683"/>
      <c r="Q683"/>
      <c r="R683"/>
      <c r="S683"/>
      <c r="T683"/>
      <c r="U683"/>
      <c r="V683"/>
      <c r="W683"/>
      <c r="BF683" s="65"/>
      <c r="BG683" s="65"/>
      <c r="BH683" s="65"/>
      <c r="BI683" s="65"/>
      <c r="BJ683" s="65"/>
      <c r="BK683" s="65"/>
      <c r="BL683" s="65"/>
      <c r="BM683" s="65"/>
      <c r="BN683" s="65"/>
      <c r="BO683" s="65"/>
      <c r="BP683" s="65"/>
      <c r="BQ683" s="65"/>
      <c r="BR683" s="65"/>
      <c r="BS683" s="65"/>
    </row>
    <row r="684" spans="1:71" s="64" customFormat="1" outlineLevel="1">
      <c r="A684" s="65"/>
      <c r="B684" s="148"/>
      <c r="C684" s="149"/>
      <c r="D684" s="150"/>
      <c r="E684" s="151"/>
      <c r="F684" s="152"/>
      <c r="G684"/>
      <c r="H684"/>
      <c r="I684"/>
      <c r="J684"/>
      <c r="K684"/>
      <c r="L684"/>
      <c r="M684"/>
      <c r="N684"/>
      <c r="O684"/>
      <c r="P684"/>
      <c r="Q684"/>
      <c r="R684"/>
      <c r="S684"/>
      <c r="T684"/>
      <c r="U684"/>
      <c r="V684"/>
      <c r="W684"/>
      <c r="BF684" s="65"/>
      <c r="BG684" s="65"/>
      <c r="BH684" s="65"/>
      <c r="BI684" s="65"/>
      <c r="BJ684" s="65"/>
      <c r="BK684" s="65"/>
      <c r="BL684" s="65"/>
      <c r="BM684" s="65"/>
      <c r="BN684" s="65"/>
      <c r="BO684" s="65"/>
      <c r="BP684" s="65"/>
      <c r="BQ684" s="65"/>
      <c r="BR684" s="65"/>
      <c r="BS684" s="65"/>
    </row>
    <row r="685" spans="1:71" s="64" customFormat="1" outlineLevel="1">
      <c r="A685" s="65"/>
      <c r="B685" s="160"/>
      <c r="C685" s="161"/>
      <c r="D685" s="150"/>
      <c r="E685" s="162"/>
      <c r="F685" s="152"/>
      <c r="G685"/>
      <c r="H685"/>
      <c r="I685"/>
      <c r="J685"/>
      <c r="K685"/>
      <c r="L685"/>
      <c r="M685"/>
      <c r="N685"/>
      <c r="O685"/>
      <c r="P685"/>
      <c r="Q685"/>
      <c r="R685"/>
      <c r="S685"/>
      <c r="T685"/>
      <c r="U685"/>
      <c r="V685"/>
      <c r="W685"/>
      <c r="BF685" s="65"/>
      <c r="BG685" s="65"/>
      <c r="BH685" s="65"/>
      <c r="BI685" s="65"/>
      <c r="BJ685" s="65"/>
      <c r="BK685" s="65"/>
      <c r="BL685" s="65"/>
      <c r="BM685" s="65"/>
      <c r="BN685" s="65"/>
      <c r="BO685" s="65"/>
      <c r="BP685" s="65"/>
      <c r="BQ685" s="65"/>
      <c r="BR685" s="65"/>
      <c r="BS685" s="65"/>
    </row>
    <row r="686" spans="1:71" s="64" customFormat="1" outlineLevel="1">
      <c r="A686" s="65"/>
      <c r="B686" s="148"/>
      <c r="C686" s="149"/>
      <c r="D686" s="150"/>
      <c r="E686" s="151"/>
      <c r="F686" s="152"/>
      <c r="G686"/>
      <c r="H686"/>
      <c r="I686"/>
      <c r="J686"/>
      <c r="K686"/>
      <c r="L686"/>
      <c r="M686"/>
      <c r="N686"/>
      <c r="O686"/>
      <c r="P686"/>
      <c r="Q686"/>
      <c r="R686"/>
      <c r="S686"/>
      <c r="T686"/>
      <c r="U686"/>
      <c r="V686"/>
      <c r="W686"/>
      <c r="BF686" s="65"/>
      <c r="BG686" s="65"/>
      <c r="BH686" s="65"/>
      <c r="BI686" s="65"/>
      <c r="BJ686" s="65"/>
      <c r="BK686" s="65"/>
      <c r="BL686" s="65"/>
      <c r="BM686" s="65"/>
      <c r="BN686" s="65"/>
      <c r="BO686" s="65"/>
      <c r="BP686" s="65"/>
      <c r="BQ686" s="65"/>
      <c r="BR686" s="65"/>
      <c r="BS686" s="65"/>
    </row>
    <row r="687" spans="1:71" s="64" customFormat="1" outlineLevel="1">
      <c r="A687" s="65"/>
      <c r="B687" s="160"/>
      <c r="C687" s="161"/>
      <c r="D687" s="150"/>
      <c r="E687" s="162"/>
      <c r="F687" s="152"/>
      <c r="G687"/>
      <c r="H687"/>
      <c r="I687"/>
      <c r="J687"/>
      <c r="K687"/>
      <c r="L687"/>
      <c r="M687"/>
      <c r="N687"/>
      <c r="O687"/>
      <c r="P687"/>
      <c r="Q687"/>
      <c r="R687"/>
      <c r="S687"/>
      <c r="T687"/>
      <c r="U687"/>
      <c r="V687"/>
      <c r="W687"/>
      <c r="BF687" s="65"/>
      <c r="BG687" s="65"/>
      <c r="BH687" s="65"/>
      <c r="BI687" s="65"/>
      <c r="BJ687" s="65"/>
      <c r="BK687" s="65"/>
      <c r="BL687" s="65"/>
      <c r="BM687" s="65"/>
      <c r="BN687" s="65"/>
      <c r="BO687" s="65"/>
      <c r="BP687" s="65"/>
      <c r="BQ687" s="65"/>
      <c r="BR687" s="65"/>
      <c r="BS687" s="65"/>
    </row>
    <row r="688" spans="1:71" s="64" customFormat="1" outlineLevel="1">
      <c r="A688" s="65"/>
      <c r="B688" s="148"/>
      <c r="C688" s="149"/>
      <c r="D688" s="150"/>
      <c r="E688" s="151"/>
      <c r="F688" s="152"/>
      <c r="G688"/>
      <c r="H688"/>
      <c r="I688"/>
      <c r="J688"/>
      <c r="K688"/>
      <c r="L688"/>
      <c r="M688"/>
      <c r="N688"/>
      <c r="O688"/>
      <c r="P688"/>
      <c r="Q688"/>
      <c r="R688"/>
      <c r="S688"/>
      <c r="T688"/>
      <c r="U688"/>
      <c r="V688"/>
      <c r="W688"/>
      <c r="BF688" s="65"/>
      <c r="BG688" s="65"/>
      <c r="BH688" s="65"/>
      <c r="BI688" s="65"/>
      <c r="BJ688" s="65"/>
      <c r="BK688" s="65"/>
      <c r="BL688" s="65"/>
      <c r="BM688" s="65"/>
      <c r="BN688" s="65"/>
      <c r="BO688" s="65"/>
      <c r="BP688" s="65"/>
      <c r="BQ688" s="65"/>
      <c r="BR688" s="65"/>
      <c r="BS688" s="65"/>
    </row>
    <row r="689" spans="1:71" s="64" customFormat="1" outlineLevel="1">
      <c r="A689" s="65"/>
      <c r="B689" s="160"/>
      <c r="C689" s="161"/>
      <c r="D689" s="150"/>
      <c r="E689" s="162"/>
      <c r="F689" s="152"/>
      <c r="G689"/>
      <c r="H689"/>
      <c r="I689"/>
      <c r="J689"/>
      <c r="K689"/>
      <c r="L689"/>
      <c r="M689"/>
      <c r="N689"/>
      <c r="O689"/>
      <c r="P689"/>
      <c r="Q689"/>
      <c r="R689"/>
      <c r="S689"/>
      <c r="T689"/>
      <c r="U689"/>
      <c r="V689"/>
      <c r="W689"/>
      <c r="BF689" s="65"/>
      <c r="BG689" s="65"/>
      <c r="BH689" s="65"/>
      <c r="BI689" s="65"/>
      <c r="BJ689" s="65"/>
      <c r="BK689" s="65"/>
      <c r="BL689" s="65"/>
      <c r="BM689" s="65"/>
      <c r="BN689" s="65"/>
      <c r="BO689" s="65"/>
      <c r="BP689" s="65"/>
      <c r="BQ689" s="65"/>
      <c r="BR689" s="65"/>
      <c r="BS689" s="65"/>
    </row>
    <row r="690" spans="1:71" s="64" customFormat="1" outlineLevel="1">
      <c r="A690" s="65"/>
      <c r="B690" s="148"/>
      <c r="C690" s="149"/>
      <c r="D690" s="150"/>
      <c r="E690" s="151"/>
      <c r="F690" s="152"/>
      <c r="G690"/>
      <c r="H690"/>
      <c r="I690"/>
      <c r="J690"/>
      <c r="K690"/>
      <c r="L690"/>
      <c r="M690"/>
      <c r="N690"/>
      <c r="O690"/>
      <c r="P690"/>
      <c r="Q690"/>
      <c r="R690"/>
      <c r="S690"/>
      <c r="T690"/>
      <c r="U690"/>
      <c r="V690"/>
      <c r="W690"/>
      <c r="BF690" s="65"/>
      <c r="BG690" s="65"/>
      <c r="BH690" s="65"/>
      <c r="BI690" s="65"/>
      <c r="BJ690" s="65"/>
      <c r="BK690" s="65"/>
      <c r="BL690" s="65"/>
      <c r="BM690" s="65"/>
      <c r="BN690" s="65"/>
      <c r="BO690" s="65"/>
      <c r="BP690" s="65"/>
      <c r="BQ690" s="65"/>
      <c r="BR690" s="65"/>
      <c r="BS690" s="65"/>
    </row>
    <row r="691" spans="1:71" s="64" customFormat="1" outlineLevel="1">
      <c r="A691" s="65"/>
      <c r="B691" s="160"/>
      <c r="C691" s="161"/>
      <c r="D691" s="150"/>
      <c r="E691" s="162"/>
      <c r="F691" s="152"/>
      <c r="G691"/>
      <c r="H691"/>
      <c r="I691"/>
      <c r="J691"/>
      <c r="K691"/>
      <c r="L691"/>
      <c r="M691"/>
      <c r="N691"/>
      <c r="O691"/>
      <c r="P691"/>
      <c r="Q691"/>
      <c r="R691"/>
      <c r="S691"/>
      <c r="T691"/>
      <c r="U691"/>
      <c r="V691"/>
      <c r="W691"/>
      <c r="BF691" s="65"/>
      <c r="BG691" s="65"/>
      <c r="BH691" s="65"/>
      <c r="BI691" s="65"/>
      <c r="BJ691" s="65"/>
      <c r="BK691" s="65"/>
      <c r="BL691" s="65"/>
      <c r="BM691" s="65"/>
      <c r="BN691" s="65"/>
      <c r="BO691" s="65"/>
      <c r="BP691" s="65"/>
      <c r="BQ691" s="65"/>
      <c r="BR691" s="65"/>
      <c r="BS691" s="65"/>
    </row>
    <row r="692" spans="1:71" s="64" customFormat="1" outlineLevel="1">
      <c r="A692" s="65"/>
      <c r="B692" s="148"/>
      <c r="C692" s="149"/>
      <c r="D692" s="150"/>
      <c r="E692" s="151"/>
      <c r="F692" s="152"/>
      <c r="G692"/>
      <c r="H692"/>
      <c r="I692"/>
      <c r="J692"/>
      <c r="K692"/>
      <c r="L692"/>
      <c r="M692"/>
      <c r="N692"/>
      <c r="O692"/>
      <c r="P692"/>
      <c r="Q692"/>
      <c r="R692"/>
      <c r="S692"/>
      <c r="T692"/>
      <c r="U692"/>
      <c r="V692"/>
      <c r="W692"/>
      <c r="BF692" s="65"/>
      <c r="BG692" s="65"/>
      <c r="BH692" s="65"/>
      <c r="BI692" s="65"/>
      <c r="BJ692" s="65"/>
      <c r="BK692" s="65"/>
      <c r="BL692" s="65"/>
      <c r="BM692" s="65"/>
      <c r="BN692" s="65"/>
      <c r="BO692" s="65"/>
      <c r="BP692" s="65"/>
      <c r="BQ692" s="65"/>
      <c r="BR692" s="65"/>
      <c r="BS692" s="65"/>
    </row>
    <row r="693" spans="1:71" s="64" customFormat="1" outlineLevel="1">
      <c r="A693" s="65"/>
      <c r="B693" s="160"/>
      <c r="C693" s="161"/>
      <c r="D693" s="150"/>
      <c r="E693" s="162"/>
      <c r="F693" s="152"/>
      <c r="G693"/>
      <c r="H693"/>
      <c r="I693"/>
      <c r="J693"/>
      <c r="K693"/>
      <c r="L693"/>
      <c r="M693"/>
      <c r="N693"/>
      <c r="O693"/>
      <c r="P693"/>
      <c r="Q693"/>
      <c r="R693"/>
      <c r="S693"/>
      <c r="T693"/>
      <c r="U693"/>
      <c r="V693"/>
      <c r="W693"/>
      <c r="BF693" s="65"/>
      <c r="BG693" s="65"/>
      <c r="BH693" s="65"/>
      <c r="BI693" s="65"/>
      <c r="BJ693" s="65"/>
      <c r="BK693" s="65"/>
      <c r="BL693" s="65"/>
      <c r="BM693" s="65"/>
      <c r="BN693" s="65"/>
      <c r="BO693" s="65"/>
      <c r="BP693" s="65"/>
      <c r="BQ693" s="65"/>
      <c r="BR693" s="65"/>
      <c r="BS693" s="65"/>
    </row>
    <row r="694" spans="1:71" s="64" customFormat="1" outlineLevel="1">
      <c r="A694" s="65"/>
      <c r="B694" s="148"/>
      <c r="C694" s="149"/>
      <c r="D694" s="150"/>
      <c r="E694" s="151"/>
      <c r="F694" s="152"/>
      <c r="G694"/>
      <c r="H694"/>
      <c r="I694"/>
      <c r="J694"/>
      <c r="K694"/>
      <c r="L694"/>
      <c r="M694"/>
      <c r="N694"/>
      <c r="O694"/>
      <c r="P694"/>
      <c r="Q694"/>
      <c r="R694"/>
      <c r="S694"/>
      <c r="T694"/>
      <c r="U694"/>
      <c r="V694"/>
      <c r="W694"/>
      <c r="BF694" s="65"/>
      <c r="BG694" s="65"/>
      <c r="BH694" s="65"/>
      <c r="BI694" s="65"/>
      <c r="BJ694" s="65"/>
      <c r="BK694" s="65"/>
      <c r="BL694" s="65"/>
      <c r="BM694" s="65"/>
      <c r="BN694" s="65"/>
      <c r="BO694" s="65"/>
      <c r="BP694" s="65"/>
      <c r="BQ694" s="65"/>
      <c r="BR694" s="65"/>
      <c r="BS694" s="65"/>
    </row>
    <row r="695" spans="1:71" s="64" customFormat="1" outlineLevel="1">
      <c r="A695" s="65"/>
      <c r="B695" s="160"/>
      <c r="C695" s="161"/>
      <c r="D695" s="150"/>
      <c r="E695" s="162"/>
      <c r="F695" s="152"/>
      <c r="G695"/>
      <c r="H695"/>
      <c r="I695"/>
      <c r="J695"/>
      <c r="K695"/>
      <c r="L695"/>
      <c r="M695"/>
      <c r="N695"/>
      <c r="O695"/>
      <c r="P695"/>
      <c r="Q695"/>
      <c r="R695"/>
      <c r="S695"/>
      <c r="T695"/>
      <c r="U695"/>
      <c r="V695"/>
      <c r="W695"/>
      <c r="BF695" s="65"/>
      <c r="BG695" s="65"/>
      <c r="BH695" s="65"/>
      <c r="BI695" s="65"/>
      <c r="BJ695" s="65"/>
      <c r="BK695" s="65"/>
      <c r="BL695" s="65"/>
      <c r="BM695" s="65"/>
      <c r="BN695" s="65"/>
      <c r="BO695" s="65"/>
      <c r="BP695" s="65"/>
      <c r="BQ695" s="65"/>
      <c r="BR695" s="65"/>
      <c r="BS695" s="65"/>
    </row>
    <row r="696" spans="1:71" s="64" customFormat="1" outlineLevel="1">
      <c r="A696" s="65"/>
      <c r="B696" s="148"/>
      <c r="C696" s="149"/>
      <c r="D696" s="150"/>
      <c r="E696" s="151"/>
      <c r="F696" s="152"/>
      <c r="G696"/>
      <c r="H696"/>
      <c r="I696"/>
      <c r="J696"/>
      <c r="K696"/>
      <c r="L696"/>
      <c r="M696"/>
      <c r="N696"/>
      <c r="O696"/>
      <c r="P696"/>
      <c r="Q696"/>
      <c r="R696"/>
      <c r="S696"/>
      <c r="T696"/>
      <c r="U696"/>
      <c r="V696"/>
      <c r="W696"/>
      <c r="BF696" s="65"/>
      <c r="BG696" s="65"/>
      <c r="BH696" s="65"/>
      <c r="BI696" s="65"/>
      <c r="BJ696" s="65"/>
      <c r="BK696" s="65"/>
      <c r="BL696" s="65"/>
      <c r="BM696" s="65"/>
      <c r="BN696" s="65"/>
      <c r="BO696" s="65"/>
      <c r="BP696" s="65"/>
      <c r="BQ696" s="65"/>
      <c r="BR696" s="65"/>
      <c r="BS696" s="65"/>
    </row>
    <row r="697" spans="1:71" s="64" customFormat="1" outlineLevel="1">
      <c r="A697" s="65"/>
      <c r="B697" s="160"/>
      <c r="C697" s="161"/>
      <c r="D697" s="150"/>
      <c r="E697" s="162"/>
      <c r="F697" s="152"/>
      <c r="G697"/>
      <c r="H697"/>
      <c r="I697"/>
      <c r="J697"/>
      <c r="K697"/>
      <c r="L697"/>
      <c r="M697"/>
      <c r="N697"/>
      <c r="O697"/>
      <c r="P697"/>
      <c r="Q697"/>
      <c r="R697"/>
      <c r="S697"/>
      <c r="T697"/>
      <c r="U697"/>
      <c r="V697"/>
      <c r="W697"/>
      <c r="BF697" s="65"/>
      <c r="BG697" s="65"/>
      <c r="BH697" s="65"/>
      <c r="BI697" s="65"/>
      <c r="BJ697" s="65"/>
      <c r="BK697" s="65"/>
      <c r="BL697" s="65"/>
      <c r="BM697" s="65"/>
      <c r="BN697" s="65"/>
      <c r="BO697" s="65"/>
      <c r="BP697" s="65"/>
      <c r="BQ697" s="65"/>
      <c r="BR697" s="65"/>
      <c r="BS697" s="65"/>
    </row>
    <row r="698" spans="1:71" s="64" customFormat="1" outlineLevel="1">
      <c r="A698" s="65"/>
      <c r="B698" s="148"/>
      <c r="C698" s="149"/>
      <c r="D698" s="150"/>
      <c r="E698" s="151"/>
      <c r="F698" s="152"/>
      <c r="G698"/>
      <c r="H698"/>
      <c r="I698"/>
      <c r="J698"/>
      <c r="K698"/>
      <c r="L698"/>
      <c r="M698"/>
      <c r="N698"/>
      <c r="O698"/>
      <c r="P698"/>
      <c r="Q698"/>
      <c r="R698"/>
      <c r="S698"/>
      <c r="T698"/>
      <c r="U698"/>
      <c r="V698"/>
      <c r="W698"/>
      <c r="BF698" s="65"/>
      <c r="BG698" s="65"/>
      <c r="BH698" s="65"/>
      <c r="BI698" s="65"/>
      <c r="BJ698" s="65"/>
      <c r="BK698" s="65"/>
      <c r="BL698" s="65"/>
      <c r="BM698" s="65"/>
      <c r="BN698" s="65"/>
      <c r="BO698" s="65"/>
      <c r="BP698" s="65"/>
      <c r="BQ698" s="65"/>
      <c r="BR698" s="65"/>
      <c r="BS698" s="65"/>
    </row>
    <row r="699" spans="1:71" s="64" customFormat="1" outlineLevel="1">
      <c r="A699" s="65"/>
      <c r="B699" s="160"/>
      <c r="C699" s="161"/>
      <c r="D699" s="150"/>
      <c r="E699" s="162"/>
      <c r="F699" s="152"/>
      <c r="G699"/>
      <c r="H699"/>
      <c r="I699"/>
      <c r="J699"/>
      <c r="K699"/>
      <c r="L699"/>
      <c r="M699"/>
      <c r="N699"/>
      <c r="O699"/>
      <c r="P699"/>
      <c r="Q699"/>
      <c r="R699"/>
      <c r="S699"/>
      <c r="T699"/>
      <c r="U699"/>
      <c r="V699"/>
      <c r="W699"/>
      <c r="BF699" s="65"/>
      <c r="BG699" s="65"/>
      <c r="BH699" s="65"/>
      <c r="BI699" s="65"/>
      <c r="BJ699" s="65"/>
      <c r="BK699" s="65"/>
      <c r="BL699" s="65"/>
      <c r="BM699" s="65"/>
      <c r="BN699" s="65"/>
      <c r="BO699" s="65"/>
      <c r="BP699" s="65"/>
      <c r="BQ699" s="65"/>
      <c r="BR699" s="65"/>
      <c r="BS699" s="65"/>
    </row>
    <row r="700" spans="1:71" s="64" customFormat="1" outlineLevel="1">
      <c r="A700" s="65"/>
      <c r="B700" s="148"/>
      <c r="C700" s="149"/>
      <c r="D700" s="150"/>
      <c r="E700" s="151"/>
      <c r="F700" s="152"/>
      <c r="G700"/>
      <c r="H700"/>
      <c r="I700"/>
      <c r="J700"/>
      <c r="K700"/>
      <c r="L700"/>
      <c r="M700"/>
      <c r="N700"/>
      <c r="O700"/>
      <c r="P700"/>
      <c r="Q700"/>
      <c r="R700"/>
      <c r="S700"/>
      <c r="T700"/>
      <c r="U700"/>
      <c r="V700"/>
      <c r="W700"/>
      <c r="BF700" s="65"/>
      <c r="BG700" s="65"/>
      <c r="BH700" s="65"/>
      <c r="BI700" s="65"/>
      <c r="BJ700" s="65"/>
      <c r="BK700" s="65"/>
      <c r="BL700" s="65"/>
      <c r="BM700" s="65"/>
      <c r="BN700" s="65"/>
      <c r="BO700" s="65"/>
      <c r="BP700" s="65"/>
      <c r="BQ700" s="65"/>
      <c r="BR700" s="65"/>
      <c r="BS700" s="65"/>
    </row>
    <row r="701" spans="1:71" s="64" customFormat="1" outlineLevel="1">
      <c r="A701" s="65"/>
      <c r="B701" s="160"/>
      <c r="C701" s="161"/>
      <c r="D701" s="150"/>
      <c r="E701" s="162"/>
      <c r="F701" s="152"/>
      <c r="G701"/>
      <c r="H701"/>
      <c r="I701"/>
      <c r="J701"/>
      <c r="K701"/>
      <c r="L701"/>
      <c r="M701"/>
      <c r="N701"/>
      <c r="O701"/>
      <c r="P701"/>
      <c r="Q701"/>
      <c r="R701"/>
      <c r="S701"/>
      <c r="T701"/>
      <c r="U701"/>
      <c r="V701"/>
      <c r="W701"/>
      <c r="BF701" s="65"/>
      <c r="BG701" s="65"/>
      <c r="BH701" s="65"/>
      <c r="BI701" s="65"/>
      <c r="BJ701" s="65"/>
      <c r="BK701" s="65"/>
      <c r="BL701" s="65"/>
      <c r="BM701" s="65"/>
      <c r="BN701" s="65"/>
      <c r="BO701" s="65"/>
      <c r="BP701" s="65"/>
      <c r="BQ701" s="65"/>
      <c r="BR701" s="65"/>
      <c r="BS701" s="65"/>
    </row>
    <row r="702" spans="1:71" s="64" customFormat="1" outlineLevel="1">
      <c r="A702" s="65"/>
      <c r="B702" s="148"/>
      <c r="C702" s="149"/>
      <c r="D702" s="150"/>
      <c r="E702" s="151"/>
      <c r="F702" s="152"/>
      <c r="G702"/>
      <c r="H702"/>
      <c r="I702"/>
      <c r="J702"/>
      <c r="K702"/>
      <c r="L702"/>
      <c r="M702"/>
      <c r="N702"/>
      <c r="O702"/>
      <c r="P702"/>
      <c r="Q702"/>
      <c r="R702"/>
      <c r="S702"/>
      <c r="T702"/>
      <c r="U702"/>
      <c r="V702"/>
      <c r="W702"/>
      <c r="BF702" s="65"/>
      <c r="BG702" s="65"/>
      <c r="BH702" s="65"/>
      <c r="BI702" s="65"/>
      <c r="BJ702" s="65"/>
      <c r="BK702" s="65"/>
      <c r="BL702" s="65"/>
      <c r="BM702" s="65"/>
      <c r="BN702" s="65"/>
      <c r="BO702" s="65"/>
      <c r="BP702" s="65"/>
      <c r="BQ702" s="65"/>
      <c r="BR702" s="65"/>
      <c r="BS702" s="65"/>
    </row>
    <row r="703" spans="1:71" s="64" customFormat="1" outlineLevel="1">
      <c r="A703" s="65"/>
      <c r="B703" s="160"/>
      <c r="C703" s="161"/>
      <c r="D703" s="150"/>
      <c r="E703" s="162"/>
      <c r="F703" s="152"/>
      <c r="G703"/>
      <c r="H703"/>
      <c r="I703"/>
      <c r="J703"/>
      <c r="K703"/>
      <c r="L703"/>
      <c r="M703"/>
      <c r="N703"/>
      <c r="O703"/>
      <c r="P703"/>
      <c r="Q703"/>
      <c r="R703"/>
      <c r="S703"/>
      <c r="T703"/>
      <c r="U703"/>
      <c r="V703"/>
      <c r="W703"/>
      <c r="BF703" s="65"/>
      <c r="BG703" s="65"/>
      <c r="BH703" s="65"/>
      <c r="BI703" s="65"/>
      <c r="BJ703" s="65"/>
      <c r="BK703" s="65"/>
      <c r="BL703" s="65"/>
      <c r="BM703" s="65"/>
      <c r="BN703" s="65"/>
      <c r="BO703" s="65"/>
      <c r="BP703" s="65"/>
      <c r="BQ703" s="65"/>
      <c r="BR703" s="65"/>
      <c r="BS703" s="65"/>
    </row>
    <row r="704" spans="1:71" s="64" customFormat="1" outlineLevel="1">
      <c r="A704" s="65"/>
      <c r="B704" s="148"/>
      <c r="C704" s="149"/>
      <c r="D704" s="150"/>
      <c r="E704" s="151"/>
      <c r="F704" s="152"/>
      <c r="G704"/>
      <c r="H704"/>
      <c r="I704"/>
      <c r="J704"/>
      <c r="K704"/>
      <c r="L704"/>
      <c r="M704"/>
      <c r="N704"/>
      <c r="O704"/>
      <c r="P704"/>
      <c r="Q704"/>
      <c r="R704"/>
      <c r="S704"/>
      <c r="T704"/>
      <c r="U704"/>
      <c r="V704"/>
      <c r="W704"/>
      <c r="BF704" s="65"/>
      <c r="BG704" s="65"/>
      <c r="BH704" s="65"/>
      <c r="BI704" s="65"/>
      <c r="BJ704" s="65"/>
      <c r="BK704" s="65"/>
      <c r="BL704" s="65"/>
      <c r="BM704" s="65"/>
      <c r="BN704" s="65"/>
      <c r="BO704" s="65"/>
      <c r="BP704" s="65"/>
      <c r="BQ704" s="65"/>
      <c r="BR704" s="65"/>
      <c r="BS704" s="65"/>
    </row>
    <row r="705" spans="1:71" s="64" customFormat="1" outlineLevel="1">
      <c r="A705" s="65"/>
      <c r="B705" s="160"/>
      <c r="C705" s="161"/>
      <c r="D705" s="150"/>
      <c r="E705" s="162"/>
      <c r="F705" s="152"/>
      <c r="G705"/>
      <c r="H705"/>
      <c r="I705"/>
      <c r="J705"/>
      <c r="K705"/>
      <c r="L705"/>
      <c r="M705"/>
      <c r="N705"/>
      <c r="O705"/>
      <c r="P705"/>
      <c r="Q705"/>
      <c r="R705"/>
      <c r="S705"/>
      <c r="T705"/>
      <c r="U705"/>
      <c r="V705"/>
      <c r="W705"/>
      <c r="BF705" s="65"/>
      <c r="BG705" s="65"/>
      <c r="BH705" s="65"/>
      <c r="BI705" s="65"/>
      <c r="BJ705" s="65"/>
      <c r="BK705" s="65"/>
      <c r="BL705" s="65"/>
      <c r="BM705" s="65"/>
      <c r="BN705" s="65"/>
      <c r="BO705" s="65"/>
      <c r="BP705" s="65"/>
      <c r="BQ705" s="65"/>
      <c r="BR705" s="65"/>
      <c r="BS705" s="65"/>
    </row>
    <row r="706" spans="1:71" s="64" customFormat="1" outlineLevel="1">
      <c r="A706" s="65"/>
      <c r="B706" s="148"/>
      <c r="C706" s="149"/>
      <c r="D706" s="150"/>
      <c r="E706" s="151"/>
      <c r="F706" s="152"/>
      <c r="G706"/>
      <c r="H706"/>
      <c r="I706"/>
      <c r="J706"/>
      <c r="K706"/>
      <c r="L706"/>
      <c r="M706"/>
      <c r="N706"/>
      <c r="O706"/>
      <c r="P706"/>
      <c r="Q706"/>
      <c r="R706"/>
      <c r="S706"/>
      <c r="T706"/>
      <c r="U706"/>
      <c r="V706"/>
      <c r="W706"/>
      <c r="BF706" s="65"/>
      <c r="BG706" s="65"/>
      <c r="BH706" s="65"/>
      <c r="BI706" s="65"/>
      <c r="BJ706" s="65"/>
      <c r="BK706" s="65"/>
      <c r="BL706" s="65"/>
      <c r="BM706" s="65"/>
      <c r="BN706" s="65"/>
      <c r="BO706" s="65"/>
      <c r="BP706" s="65"/>
      <c r="BQ706" s="65"/>
      <c r="BR706" s="65"/>
      <c r="BS706" s="65"/>
    </row>
    <row r="707" spans="1:71" s="64" customFormat="1" outlineLevel="1">
      <c r="A707" s="65"/>
      <c r="B707" s="160"/>
      <c r="C707" s="161"/>
      <c r="D707" s="150"/>
      <c r="E707" s="162"/>
      <c r="F707" s="152"/>
      <c r="G707"/>
      <c r="H707"/>
      <c r="I707"/>
      <c r="J707"/>
      <c r="K707"/>
      <c r="L707"/>
      <c r="M707"/>
      <c r="N707"/>
      <c r="O707"/>
      <c r="P707"/>
      <c r="Q707"/>
      <c r="R707"/>
      <c r="S707"/>
      <c r="T707"/>
      <c r="U707"/>
      <c r="V707"/>
      <c r="W707"/>
      <c r="BF707" s="65"/>
      <c r="BG707" s="65"/>
      <c r="BH707" s="65"/>
      <c r="BI707" s="65"/>
      <c r="BJ707" s="65"/>
      <c r="BK707" s="65"/>
      <c r="BL707" s="65"/>
      <c r="BM707" s="65"/>
      <c r="BN707" s="65"/>
      <c r="BO707" s="65"/>
      <c r="BP707" s="65"/>
      <c r="BQ707" s="65"/>
      <c r="BR707" s="65"/>
      <c r="BS707" s="65"/>
    </row>
    <row r="708" spans="1:71" s="64" customFormat="1" outlineLevel="1">
      <c r="A708" s="65"/>
      <c r="B708" s="148"/>
      <c r="C708" s="149"/>
      <c r="D708" s="150"/>
      <c r="E708" s="151"/>
      <c r="F708" s="152"/>
      <c r="G708"/>
      <c r="H708"/>
      <c r="I708"/>
      <c r="J708"/>
      <c r="K708"/>
      <c r="L708"/>
      <c r="M708"/>
      <c r="N708"/>
      <c r="O708"/>
      <c r="P708"/>
      <c r="Q708"/>
      <c r="R708"/>
      <c r="S708"/>
      <c r="T708"/>
      <c r="U708"/>
      <c r="V708"/>
      <c r="W708"/>
      <c r="BF708" s="65"/>
      <c r="BG708" s="65"/>
      <c r="BH708" s="65"/>
      <c r="BI708" s="65"/>
      <c r="BJ708" s="65"/>
      <c r="BK708" s="65"/>
      <c r="BL708" s="65"/>
      <c r="BM708" s="65"/>
      <c r="BN708" s="65"/>
      <c r="BO708" s="65"/>
      <c r="BP708" s="65"/>
      <c r="BQ708" s="65"/>
      <c r="BR708" s="65"/>
      <c r="BS708" s="65"/>
    </row>
    <row r="709" spans="1:71" s="64" customFormat="1" outlineLevel="1">
      <c r="A709" s="65"/>
      <c r="B709" s="160"/>
      <c r="C709" s="161"/>
      <c r="D709" s="150"/>
      <c r="E709" s="162"/>
      <c r="F709" s="152"/>
      <c r="G709"/>
      <c r="H709"/>
      <c r="I709"/>
      <c r="J709"/>
      <c r="K709"/>
      <c r="L709"/>
      <c r="M709"/>
      <c r="N709"/>
      <c r="O709"/>
      <c r="P709"/>
      <c r="Q709"/>
      <c r="R709"/>
      <c r="S709"/>
      <c r="T709"/>
      <c r="U709"/>
      <c r="V709"/>
      <c r="W709"/>
      <c r="BF709" s="65"/>
      <c r="BG709" s="65"/>
      <c r="BH709" s="65"/>
      <c r="BI709" s="65"/>
      <c r="BJ709" s="65"/>
      <c r="BK709" s="65"/>
      <c r="BL709" s="65"/>
      <c r="BM709" s="65"/>
      <c r="BN709" s="65"/>
      <c r="BO709" s="65"/>
      <c r="BP709" s="65"/>
      <c r="BQ709" s="65"/>
      <c r="BR709" s="65"/>
      <c r="BS709" s="65"/>
    </row>
    <row r="710" spans="1:71" s="64" customFormat="1" outlineLevel="1">
      <c r="A710" s="65"/>
      <c r="B710" s="148"/>
      <c r="C710" s="149"/>
      <c r="D710" s="150"/>
      <c r="E710" s="151"/>
      <c r="F710" s="152"/>
      <c r="G710"/>
      <c r="H710"/>
      <c r="I710"/>
      <c r="J710"/>
      <c r="K710"/>
      <c r="L710"/>
      <c r="M710"/>
      <c r="N710"/>
      <c r="O710"/>
      <c r="P710"/>
      <c r="Q710"/>
      <c r="R710"/>
      <c r="S710"/>
      <c r="T710"/>
      <c r="U710"/>
      <c r="V710"/>
      <c r="W710"/>
      <c r="BF710" s="65"/>
      <c r="BG710" s="65"/>
      <c r="BH710" s="65"/>
      <c r="BI710" s="65"/>
      <c r="BJ710" s="65"/>
      <c r="BK710" s="65"/>
      <c r="BL710" s="65"/>
      <c r="BM710" s="65"/>
      <c r="BN710" s="65"/>
      <c r="BO710" s="65"/>
      <c r="BP710" s="65"/>
      <c r="BQ710" s="65"/>
      <c r="BR710" s="65"/>
      <c r="BS710" s="65"/>
    </row>
    <row r="711" spans="1:71" s="64" customFormat="1" outlineLevel="1">
      <c r="A711" s="65"/>
      <c r="B711" s="160"/>
      <c r="C711" s="161"/>
      <c r="D711" s="150"/>
      <c r="E711" s="162"/>
      <c r="F711" s="152"/>
      <c r="G711"/>
      <c r="H711"/>
      <c r="I711"/>
      <c r="J711"/>
      <c r="K711"/>
      <c r="L711"/>
      <c r="M711"/>
      <c r="N711"/>
      <c r="O711"/>
      <c r="P711"/>
      <c r="Q711"/>
      <c r="R711"/>
      <c r="S711"/>
      <c r="T711"/>
      <c r="U711"/>
      <c r="V711"/>
      <c r="W711"/>
      <c r="BF711" s="65"/>
      <c r="BG711" s="65"/>
      <c r="BH711" s="65"/>
      <c r="BI711" s="65"/>
      <c r="BJ711" s="65"/>
      <c r="BK711" s="65"/>
      <c r="BL711" s="65"/>
      <c r="BM711" s="65"/>
      <c r="BN711" s="65"/>
      <c r="BO711" s="65"/>
      <c r="BP711" s="65"/>
      <c r="BQ711" s="65"/>
      <c r="BR711" s="65"/>
      <c r="BS711" s="65"/>
    </row>
    <row r="712" spans="1:71" s="64" customFormat="1" outlineLevel="1">
      <c r="A712" s="65"/>
      <c r="B712" s="148"/>
      <c r="C712" s="149"/>
      <c r="D712" s="150"/>
      <c r="E712" s="151"/>
      <c r="F712" s="152"/>
      <c r="G712"/>
      <c r="H712"/>
      <c r="I712"/>
      <c r="J712"/>
      <c r="K712"/>
      <c r="L712"/>
      <c r="M712"/>
      <c r="N712"/>
      <c r="O712"/>
      <c r="P712"/>
      <c r="Q712"/>
      <c r="R712"/>
      <c r="S712"/>
      <c r="T712"/>
      <c r="U712"/>
      <c r="V712"/>
      <c r="W712"/>
      <c r="BF712" s="65"/>
      <c r="BG712" s="65"/>
      <c r="BH712" s="65"/>
      <c r="BI712" s="65"/>
      <c r="BJ712" s="65"/>
      <c r="BK712" s="65"/>
      <c r="BL712" s="65"/>
      <c r="BM712" s="65"/>
      <c r="BN712" s="65"/>
      <c r="BO712" s="65"/>
      <c r="BP712" s="65"/>
      <c r="BQ712" s="65"/>
      <c r="BR712" s="65"/>
      <c r="BS712" s="65"/>
    </row>
    <row r="713" spans="1:71" s="64" customFormat="1" outlineLevel="1">
      <c r="A713" s="65"/>
      <c r="B713" s="160"/>
      <c r="C713" s="161"/>
      <c r="D713" s="150"/>
      <c r="E713" s="162"/>
      <c r="F713" s="152"/>
      <c r="G713"/>
      <c r="H713"/>
      <c r="I713"/>
      <c r="J713"/>
      <c r="K713"/>
      <c r="L713"/>
      <c r="M713"/>
      <c r="N713"/>
      <c r="O713"/>
      <c r="P713"/>
      <c r="Q713"/>
      <c r="R713"/>
      <c r="S713"/>
      <c r="T713"/>
      <c r="U713"/>
      <c r="V713"/>
      <c r="W713"/>
      <c r="BF713" s="65"/>
      <c r="BG713" s="65"/>
      <c r="BH713" s="65"/>
      <c r="BI713" s="65"/>
      <c r="BJ713" s="65"/>
      <c r="BK713" s="65"/>
      <c r="BL713" s="65"/>
      <c r="BM713" s="65"/>
      <c r="BN713" s="65"/>
      <c r="BO713" s="65"/>
      <c r="BP713" s="65"/>
      <c r="BQ713" s="65"/>
      <c r="BR713" s="65"/>
      <c r="BS713" s="65"/>
    </row>
    <row r="714" spans="1:71" s="64" customFormat="1" outlineLevel="1">
      <c r="A714" s="65"/>
      <c r="B714" s="148"/>
      <c r="C714" s="149"/>
      <c r="D714" s="150"/>
      <c r="E714" s="151"/>
      <c r="F714" s="152"/>
      <c r="G714"/>
      <c r="H714"/>
      <c r="I714"/>
      <c r="J714"/>
      <c r="K714"/>
      <c r="L714"/>
      <c r="M714"/>
      <c r="N714"/>
      <c r="O714"/>
      <c r="P714"/>
      <c r="Q714"/>
      <c r="R714"/>
      <c r="S714"/>
      <c r="T714"/>
      <c r="U714"/>
      <c r="V714"/>
      <c r="W714"/>
      <c r="BF714" s="65"/>
      <c r="BG714" s="65"/>
      <c r="BH714" s="65"/>
      <c r="BI714" s="65"/>
      <c r="BJ714" s="65"/>
      <c r="BK714" s="65"/>
      <c r="BL714" s="65"/>
      <c r="BM714" s="65"/>
      <c r="BN714" s="65"/>
      <c r="BO714" s="65"/>
      <c r="BP714" s="65"/>
      <c r="BQ714" s="65"/>
      <c r="BR714" s="65"/>
      <c r="BS714" s="65"/>
    </row>
    <row r="715" spans="1:71" s="64" customFormat="1" outlineLevel="1">
      <c r="A715" s="65"/>
      <c r="B715" s="160"/>
      <c r="C715" s="161"/>
      <c r="D715" s="150"/>
      <c r="E715" s="162"/>
      <c r="F715" s="152"/>
      <c r="G715"/>
      <c r="H715"/>
      <c r="I715"/>
      <c r="J715"/>
      <c r="K715"/>
      <c r="L715"/>
      <c r="M715"/>
      <c r="N715"/>
      <c r="O715"/>
      <c r="P715"/>
      <c r="Q715"/>
      <c r="R715"/>
      <c r="S715"/>
      <c r="T715"/>
      <c r="U715"/>
      <c r="V715"/>
      <c r="W715"/>
      <c r="BF715" s="65"/>
      <c r="BG715" s="65"/>
      <c r="BH715" s="65"/>
      <c r="BI715" s="65"/>
      <c r="BJ715" s="65"/>
      <c r="BK715" s="65"/>
      <c r="BL715" s="65"/>
      <c r="BM715" s="65"/>
      <c r="BN715" s="65"/>
      <c r="BO715" s="65"/>
      <c r="BP715" s="65"/>
      <c r="BQ715" s="65"/>
      <c r="BR715" s="65"/>
      <c r="BS715" s="65"/>
    </row>
    <row r="716" spans="1:71" s="64" customFormat="1" outlineLevel="1">
      <c r="A716" s="65"/>
      <c r="B716" s="148"/>
      <c r="C716" s="149"/>
      <c r="D716" s="150"/>
      <c r="E716" s="151"/>
      <c r="F716" s="152"/>
      <c r="G716"/>
      <c r="H716"/>
      <c r="I716"/>
      <c r="J716"/>
      <c r="K716"/>
      <c r="L716"/>
      <c r="M716"/>
      <c r="N716"/>
      <c r="O716"/>
      <c r="P716"/>
      <c r="Q716"/>
      <c r="R716"/>
      <c r="S716"/>
      <c r="T716"/>
      <c r="U716"/>
      <c r="V716"/>
      <c r="W716"/>
      <c r="BF716" s="65"/>
      <c r="BG716" s="65"/>
      <c r="BH716" s="65"/>
      <c r="BI716" s="65"/>
      <c r="BJ716" s="65"/>
      <c r="BK716" s="65"/>
      <c r="BL716" s="65"/>
      <c r="BM716" s="65"/>
      <c r="BN716" s="65"/>
      <c r="BO716" s="65"/>
      <c r="BP716" s="65"/>
      <c r="BQ716" s="65"/>
      <c r="BR716" s="65"/>
      <c r="BS716" s="65"/>
    </row>
    <row r="717" spans="1:71" s="64" customFormat="1" outlineLevel="1">
      <c r="A717" s="65"/>
      <c r="B717" s="160"/>
      <c r="C717" s="161"/>
      <c r="D717" s="150"/>
      <c r="E717" s="162"/>
      <c r="F717" s="152"/>
      <c r="G717"/>
      <c r="H717"/>
      <c r="I717"/>
      <c r="J717"/>
      <c r="K717"/>
      <c r="L717"/>
      <c r="M717"/>
      <c r="N717"/>
      <c r="O717"/>
      <c r="P717"/>
      <c r="Q717"/>
      <c r="R717"/>
      <c r="S717"/>
      <c r="T717"/>
      <c r="U717"/>
      <c r="V717"/>
      <c r="W717"/>
      <c r="BF717" s="65"/>
      <c r="BG717" s="65"/>
      <c r="BH717" s="65"/>
      <c r="BI717" s="65"/>
      <c r="BJ717" s="65"/>
      <c r="BK717" s="65"/>
      <c r="BL717" s="65"/>
      <c r="BM717" s="65"/>
      <c r="BN717" s="65"/>
      <c r="BO717" s="65"/>
      <c r="BP717" s="65"/>
      <c r="BQ717" s="65"/>
      <c r="BR717" s="65"/>
      <c r="BS717" s="65"/>
    </row>
    <row r="718" spans="1:71" s="64" customFormat="1" outlineLevel="1">
      <c r="A718" s="65"/>
      <c r="B718" s="148"/>
      <c r="C718" s="149"/>
      <c r="D718" s="150"/>
      <c r="E718" s="151"/>
      <c r="F718" s="152"/>
      <c r="G718"/>
      <c r="H718"/>
      <c r="I718"/>
      <c r="J718"/>
      <c r="K718"/>
      <c r="L718"/>
      <c r="M718"/>
      <c r="N718"/>
      <c r="O718"/>
      <c r="P718"/>
      <c r="Q718"/>
      <c r="R718"/>
      <c r="S718"/>
      <c r="T718"/>
      <c r="U718"/>
      <c r="V718"/>
      <c r="W718"/>
      <c r="BF718" s="65"/>
      <c r="BG718" s="65"/>
      <c r="BH718" s="65"/>
      <c r="BI718" s="65"/>
      <c r="BJ718" s="65"/>
      <c r="BK718" s="65"/>
      <c r="BL718" s="65"/>
      <c r="BM718" s="65"/>
      <c r="BN718" s="65"/>
      <c r="BO718" s="65"/>
      <c r="BP718" s="65"/>
      <c r="BQ718" s="65"/>
      <c r="BR718" s="65"/>
      <c r="BS718" s="65"/>
    </row>
    <row r="719" spans="1:71" s="64" customFormat="1" outlineLevel="1">
      <c r="A719" s="65"/>
      <c r="B719" s="160"/>
      <c r="C719" s="161"/>
      <c r="D719" s="150"/>
      <c r="E719" s="162"/>
      <c r="F719" s="152"/>
      <c r="G719"/>
      <c r="H719"/>
      <c r="I719"/>
      <c r="J719"/>
      <c r="K719"/>
      <c r="L719"/>
      <c r="M719"/>
      <c r="N719"/>
      <c r="O719"/>
      <c r="P719"/>
      <c r="Q719"/>
      <c r="R719"/>
      <c r="S719"/>
      <c r="T719"/>
      <c r="U719"/>
      <c r="V719"/>
      <c r="W719"/>
      <c r="BF719" s="65"/>
      <c r="BG719" s="65"/>
      <c r="BH719" s="65"/>
      <c r="BI719" s="65"/>
      <c r="BJ719" s="65"/>
      <c r="BK719" s="65"/>
      <c r="BL719" s="65"/>
      <c r="BM719" s="65"/>
      <c r="BN719" s="65"/>
      <c r="BO719" s="65"/>
      <c r="BP719" s="65"/>
      <c r="BQ719" s="65"/>
      <c r="BR719" s="65"/>
      <c r="BS719" s="65"/>
    </row>
    <row r="720" spans="1:71" s="64" customFormat="1" outlineLevel="1">
      <c r="A720" s="65"/>
      <c r="B720" s="148"/>
      <c r="C720" s="149"/>
      <c r="D720" s="150"/>
      <c r="E720" s="151"/>
      <c r="F720" s="152"/>
      <c r="G720"/>
      <c r="H720"/>
      <c r="I720"/>
      <c r="J720"/>
      <c r="K720"/>
      <c r="L720"/>
      <c r="M720"/>
      <c r="N720"/>
      <c r="O720"/>
      <c r="P720"/>
      <c r="Q720"/>
      <c r="R720"/>
      <c r="S720"/>
      <c r="T720"/>
      <c r="U720"/>
      <c r="V720"/>
      <c r="W720"/>
      <c r="BF720" s="65"/>
      <c r="BG720" s="65"/>
      <c r="BH720" s="65"/>
      <c r="BI720" s="65"/>
      <c r="BJ720" s="65"/>
      <c r="BK720" s="65"/>
      <c r="BL720" s="65"/>
      <c r="BM720" s="65"/>
      <c r="BN720" s="65"/>
      <c r="BO720" s="65"/>
      <c r="BP720" s="65"/>
      <c r="BQ720" s="65"/>
      <c r="BR720" s="65"/>
      <c r="BS720" s="65"/>
    </row>
    <row r="721" spans="1:71" s="64" customFormat="1" outlineLevel="1">
      <c r="A721" s="65"/>
      <c r="B721" s="160"/>
      <c r="C721" s="161"/>
      <c r="D721" s="150"/>
      <c r="E721" s="162"/>
      <c r="F721" s="152"/>
      <c r="G721"/>
      <c r="H721"/>
      <c r="I721"/>
      <c r="J721"/>
      <c r="K721"/>
      <c r="L721"/>
      <c r="M721"/>
      <c r="N721"/>
      <c r="O721"/>
      <c r="P721"/>
      <c r="Q721"/>
      <c r="R721"/>
      <c r="S721"/>
      <c r="T721"/>
      <c r="U721"/>
      <c r="V721"/>
      <c r="W721"/>
      <c r="BF721" s="65"/>
      <c r="BG721" s="65"/>
      <c r="BH721" s="65"/>
      <c r="BI721" s="65"/>
      <c r="BJ721" s="65"/>
      <c r="BK721" s="65"/>
      <c r="BL721" s="65"/>
      <c r="BM721" s="65"/>
      <c r="BN721" s="65"/>
      <c r="BO721" s="65"/>
      <c r="BP721" s="65"/>
      <c r="BQ721" s="65"/>
      <c r="BR721" s="65"/>
      <c r="BS721" s="65"/>
    </row>
    <row r="722" spans="1:71" s="64" customFormat="1" outlineLevel="1">
      <c r="A722" s="65"/>
      <c r="B722" s="148"/>
      <c r="C722" s="149"/>
      <c r="D722" s="150"/>
      <c r="E722" s="151"/>
      <c r="F722" s="152"/>
      <c r="G722"/>
      <c r="H722"/>
      <c r="I722"/>
      <c r="J722"/>
      <c r="K722"/>
      <c r="L722"/>
      <c r="M722"/>
      <c r="N722"/>
      <c r="O722"/>
      <c r="P722"/>
      <c r="Q722"/>
      <c r="R722"/>
      <c r="S722"/>
      <c r="T722"/>
      <c r="U722"/>
      <c r="V722"/>
      <c r="W722"/>
      <c r="BF722" s="65"/>
      <c r="BG722" s="65"/>
      <c r="BH722" s="65"/>
      <c r="BI722" s="65"/>
      <c r="BJ722" s="65"/>
      <c r="BK722" s="65"/>
      <c r="BL722" s="65"/>
      <c r="BM722" s="65"/>
      <c r="BN722" s="65"/>
      <c r="BO722" s="65"/>
      <c r="BP722" s="65"/>
      <c r="BQ722" s="65"/>
      <c r="BR722" s="65"/>
      <c r="BS722" s="65"/>
    </row>
    <row r="723" spans="1:71" s="64" customFormat="1" outlineLevel="1">
      <c r="A723" s="65"/>
      <c r="B723" s="160"/>
      <c r="C723" s="161"/>
      <c r="D723" s="150"/>
      <c r="E723" s="162"/>
      <c r="F723" s="152"/>
      <c r="G723"/>
      <c r="H723"/>
      <c r="I723"/>
      <c r="J723"/>
      <c r="K723"/>
      <c r="L723"/>
      <c r="M723"/>
      <c r="N723"/>
      <c r="O723"/>
      <c r="P723"/>
      <c r="Q723"/>
      <c r="R723"/>
      <c r="S723"/>
      <c r="T723"/>
      <c r="U723"/>
      <c r="V723"/>
      <c r="W723"/>
      <c r="BF723" s="65"/>
      <c r="BG723" s="65"/>
      <c r="BH723" s="65"/>
      <c r="BI723" s="65"/>
      <c r="BJ723" s="65"/>
      <c r="BK723" s="65"/>
      <c r="BL723" s="65"/>
      <c r="BM723" s="65"/>
      <c r="BN723" s="65"/>
      <c r="BO723" s="65"/>
      <c r="BP723" s="65"/>
      <c r="BQ723" s="65"/>
      <c r="BR723" s="65"/>
      <c r="BS723" s="65"/>
    </row>
    <row r="724" spans="1:71" s="64" customFormat="1" outlineLevel="1">
      <c r="A724" s="65"/>
      <c r="B724" s="148"/>
      <c r="C724" s="149"/>
      <c r="D724" s="150"/>
      <c r="E724" s="151"/>
      <c r="F724" s="152"/>
      <c r="G724"/>
      <c r="H724"/>
      <c r="I724"/>
      <c r="J724"/>
      <c r="K724"/>
      <c r="L724"/>
      <c r="M724"/>
      <c r="N724"/>
      <c r="O724"/>
      <c r="P724"/>
      <c r="Q724"/>
      <c r="R724"/>
      <c r="S724"/>
      <c r="T724"/>
      <c r="U724"/>
      <c r="V724"/>
      <c r="W724"/>
      <c r="BF724" s="65"/>
      <c r="BG724" s="65"/>
      <c r="BH724" s="65"/>
      <c r="BI724" s="65"/>
      <c r="BJ724" s="65"/>
      <c r="BK724" s="65"/>
      <c r="BL724" s="65"/>
      <c r="BM724" s="65"/>
      <c r="BN724" s="65"/>
      <c r="BO724" s="65"/>
      <c r="BP724" s="65"/>
      <c r="BQ724" s="65"/>
      <c r="BR724" s="65"/>
      <c r="BS724" s="65"/>
    </row>
    <row r="725" spans="1:71" s="64" customFormat="1" outlineLevel="1">
      <c r="A725" s="65"/>
      <c r="B725" s="160"/>
      <c r="C725" s="161"/>
      <c r="D725" s="150"/>
      <c r="E725" s="162"/>
      <c r="F725" s="152"/>
      <c r="G725"/>
      <c r="H725"/>
      <c r="I725"/>
      <c r="J725"/>
      <c r="K725"/>
      <c r="L725"/>
      <c r="M725"/>
      <c r="N725"/>
      <c r="O725"/>
      <c r="P725"/>
      <c r="Q725"/>
      <c r="R725"/>
      <c r="S725"/>
      <c r="T725"/>
      <c r="U725"/>
      <c r="V725"/>
      <c r="W725"/>
      <c r="BF725" s="65"/>
      <c r="BG725" s="65"/>
      <c r="BH725" s="65"/>
      <c r="BI725" s="65"/>
      <c r="BJ725" s="65"/>
      <c r="BK725" s="65"/>
      <c r="BL725" s="65"/>
      <c r="BM725" s="65"/>
      <c r="BN725" s="65"/>
      <c r="BO725" s="65"/>
      <c r="BP725" s="65"/>
      <c r="BQ725" s="65"/>
      <c r="BR725" s="65"/>
      <c r="BS725" s="65"/>
    </row>
    <row r="726" spans="1:71" s="64" customFormat="1" outlineLevel="1">
      <c r="A726" s="65"/>
      <c r="B726" s="148"/>
      <c r="C726" s="149"/>
      <c r="D726" s="150"/>
      <c r="E726" s="151"/>
      <c r="F726" s="152"/>
      <c r="G726"/>
      <c r="H726"/>
      <c r="I726"/>
      <c r="J726"/>
      <c r="K726"/>
      <c r="L726"/>
      <c r="M726"/>
      <c r="N726"/>
      <c r="O726"/>
      <c r="P726"/>
      <c r="Q726"/>
      <c r="R726"/>
      <c r="S726"/>
      <c r="T726"/>
      <c r="U726"/>
      <c r="V726"/>
      <c r="W726"/>
      <c r="BF726" s="65"/>
      <c r="BG726" s="65"/>
      <c r="BH726" s="65"/>
      <c r="BI726" s="65"/>
      <c r="BJ726" s="65"/>
      <c r="BK726" s="65"/>
      <c r="BL726" s="65"/>
      <c r="BM726" s="65"/>
      <c r="BN726" s="65"/>
      <c r="BO726" s="65"/>
      <c r="BP726" s="65"/>
      <c r="BQ726" s="65"/>
      <c r="BR726" s="65"/>
      <c r="BS726" s="65"/>
    </row>
    <row r="727" spans="1:71" s="64" customFormat="1" outlineLevel="1">
      <c r="A727" s="65"/>
      <c r="B727" s="160"/>
      <c r="C727" s="161"/>
      <c r="D727" s="150"/>
      <c r="E727" s="162"/>
      <c r="F727" s="152"/>
      <c r="G727"/>
      <c r="H727"/>
      <c r="I727"/>
      <c r="J727"/>
      <c r="K727"/>
      <c r="L727"/>
      <c r="M727"/>
      <c r="N727"/>
      <c r="O727"/>
      <c r="P727"/>
      <c r="Q727"/>
      <c r="R727"/>
      <c r="S727"/>
      <c r="T727"/>
      <c r="U727"/>
      <c r="V727"/>
      <c r="W727"/>
      <c r="BF727" s="65"/>
      <c r="BG727" s="65"/>
      <c r="BH727" s="65"/>
      <c r="BI727" s="65"/>
      <c r="BJ727" s="65"/>
      <c r="BK727" s="65"/>
      <c r="BL727" s="65"/>
      <c r="BM727" s="65"/>
      <c r="BN727" s="65"/>
      <c r="BO727" s="65"/>
      <c r="BP727" s="65"/>
      <c r="BQ727" s="65"/>
      <c r="BR727" s="65"/>
      <c r="BS727" s="65"/>
    </row>
    <row r="728" spans="1:71" s="64" customFormat="1" outlineLevel="1">
      <c r="A728" s="65"/>
      <c r="B728" s="148"/>
      <c r="C728" s="149"/>
      <c r="D728" s="150"/>
      <c r="E728" s="151"/>
      <c r="F728" s="152"/>
      <c r="G728"/>
      <c r="H728"/>
      <c r="I728"/>
      <c r="J728"/>
      <c r="K728"/>
      <c r="L728"/>
      <c r="M728"/>
      <c r="N728"/>
      <c r="O728"/>
      <c r="P728"/>
      <c r="Q728"/>
      <c r="R728"/>
      <c r="S728"/>
      <c r="T728"/>
      <c r="U728"/>
      <c r="V728"/>
      <c r="W728"/>
      <c r="BF728" s="65"/>
      <c r="BG728" s="65"/>
      <c r="BH728" s="65"/>
      <c r="BI728" s="65"/>
      <c r="BJ728" s="65"/>
      <c r="BK728" s="65"/>
      <c r="BL728" s="65"/>
      <c r="BM728" s="65"/>
      <c r="BN728" s="65"/>
      <c r="BO728" s="65"/>
      <c r="BP728" s="65"/>
      <c r="BQ728" s="65"/>
      <c r="BR728" s="65"/>
      <c r="BS728" s="65"/>
    </row>
    <row r="729" spans="1:71" s="64" customFormat="1" outlineLevel="1">
      <c r="A729" s="65"/>
      <c r="B729" s="160"/>
      <c r="C729" s="161"/>
      <c r="D729" s="150"/>
      <c r="E729" s="162"/>
      <c r="F729" s="152"/>
      <c r="G729"/>
      <c r="H729"/>
      <c r="I729"/>
      <c r="J729"/>
      <c r="K729"/>
      <c r="L729"/>
      <c r="M729"/>
      <c r="N729"/>
      <c r="O729"/>
      <c r="P729"/>
      <c r="Q729"/>
      <c r="R729"/>
      <c r="S729"/>
      <c r="T729"/>
      <c r="U729"/>
      <c r="V729"/>
      <c r="W729"/>
      <c r="BF729" s="65"/>
      <c r="BG729" s="65"/>
      <c r="BH729" s="65"/>
      <c r="BI729" s="65"/>
      <c r="BJ729" s="65"/>
      <c r="BK729" s="65"/>
      <c r="BL729" s="65"/>
      <c r="BM729" s="65"/>
      <c r="BN729" s="65"/>
      <c r="BO729" s="65"/>
      <c r="BP729" s="65"/>
      <c r="BQ729" s="65"/>
      <c r="BR729" s="65"/>
      <c r="BS729" s="65"/>
    </row>
    <row r="730" spans="1:71" s="64" customFormat="1" outlineLevel="1">
      <c r="A730" s="65"/>
      <c r="B730" s="148"/>
      <c r="C730" s="149"/>
      <c r="D730" s="150"/>
      <c r="E730" s="151"/>
      <c r="F730" s="152"/>
      <c r="G730"/>
      <c r="H730"/>
      <c r="I730"/>
      <c r="J730"/>
      <c r="K730"/>
      <c r="L730"/>
      <c r="M730"/>
      <c r="N730"/>
      <c r="O730"/>
      <c r="P730"/>
      <c r="Q730"/>
      <c r="R730"/>
      <c r="S730"/>
      <c r="T730"/>
      <c r="U730"/>
      <c r="V730"/>
      <c r="W730"/>
      <c r="BF730" s="65"/>
      <c r="BG730" s="65"/>
      <c r="BH730" s="65"/>
      <c r="BI730" s="65"/>
      <c r="BJ730" s="65"/>
      <c r="BK730" s="65"/>
      <c r="BL730" s="65"/>
      <c r="BM730" s="65"/>
      <c r="BN730" s="65"/>
      <c r="BO730" s="65"/>
      <c r="BP730" s="65"/>
      <c r="BQ730" s="65"/>
      <c r="BR730" s="65"/>
      <c r="BS730" s="65"/>
    </row>
    <row r="731" spans="1:71" s="64" customFormat="1" outlineLevel="1">
      <c r="A731" s="65"/>
      <c r="B731" s="160"/>
      <c r="C731" s="161"/>
      <c r="D731" s="150"/>
      <c r="E731" s="162"/>
      <c r="F731" s="152"/>
      <c r="G731"/>
      <c r="H731"/>
      <c r="I731"/>
      <c r="J731"/>
      <c r="K731"/>
      <c r="L731"/>
      <c r="M731"/>
      <c r="N731"/>
      <c r="O731"/>
      <c r="P731"/>
      <c r="Q731"/>
      <c r="R731"/>
      <c r="S731"/>
      <c r="T731"/>
      <c r="U731"/>
      <c r="V731"/>
      <c r="W731"/>
      <c r="BF731" s="65"/>
      <c r="BG731" s="65"/>
      <c r="BH731" s="65"/>
      <c r="BI731" s="65"/>
      <c r="BJ731" s="65"/>
      <c r="BK731" s="65"/>
      <c r="BL731" s="65"/>
      <c r="BM731" s="65"/>
      <c r="BN731" s="65"/>
      <c r="BO731" s="65"/>
      <c r="BP731" s="65"/>
      <c r="BQ731" s="65"/>
      <c r="BR731" s="65"/>
      <c r="BS731" s="65"/>
    </row>
    <row r="732" spans="1:71" s="64" customFormat="1" outlineLevel="1">
      <c r="A732" s="65"/>
      <c r="B732" s="148"/>
      <c r="C732" s="149"/>
      <c r="D732" s="150"/>
      <c r="E732" s="151"/>
      <c r="F732" s="152"/>
      <c r="G732"/>
      <c r="H732"/>
      <c r="I732"/>
      <c r="J732"/>
      <c r="K732"/>
      <c r="L732"/>
      <c r="M732"/>
      <c r="N732"/>
      <c r="O732"/>
      <c r="P732"/>
      <c r="Q732"/>
      <c r="R732"/>
      <c r="S732"/>
      <c r="T732"/>
      <c r="U732"/>
      <c r="V732"/>
      <c r="W732"/>
      <c r="BF732" s="65"/>
      <c r="BG732" s="65"/>
      <c r="BH732" s="65"/>
      <c r="BI732" s="65"/>
      <c r="BJ732" s="65"/>
      <c r="BK732" s="65"/>
      <c r="BL732" s="65"/>
      <c r="BM732" s="65"/>
      <c r="BN732" s="65"/>
      <c r="BO732" s="65"/>
      <c r="BP732" s="65"/>
      <c r="BQ732" s="65"/>
      <c r="BR732" s="65"/>
      <c r="BS732" s="65"/>
    </row>
    <row r="733" spans="1:71" s="64" customFormat="1" outlineLevel="1">
      <c r="A733" s="65"/>
      <c r="B733" s="160"/>
      <c r="C733" s="161"/>
      <c r="D733" s="150"/>
      <c r="E733" s="162"/>
      <c r="F733" s="152"/>
      <c r="G733"/>
      <c r="H733"/>
      <c r="I733"/>
      <c r="J733"/>
      <c r="K733"/>
      <c r="L733"/>
      <c r="M733"/>
      <c r="N733"/>
      <c r="O733"/>
      <c r="P733"/>
      <c r="Q733"/>
      <c r="R733"/>
      <c r="S733"/>
      <c r="T733"/>
      <c r="U733"/>
      <c r="V733"/>
      <c r="W733"/>
      <c r="BF733" s="65"/>
      <c r="BG733" s="65"/>
      <c r="BH733" s="65"/>
      <c r="BI733" s="65"/>
      <c r="BJ733" s="65"/>
      <c r="BK733" s="65"/>
      <c r="BL733" s="65"/>
      <c r="BM733" s="65"/>
      <c r="BN733" s="65"/>
      <c r="BO733" s="65"/>
      <c r="BP733" s="65"/>
      <c r="BQ733" s="65"/>
      <c r="BR733" s="65"/>
      <c r="BS733" s="65"/>
    </row>
    <row r="734" spans="1:71" s="64" customFormat="1" outlineLevel="1">
      <c r="A734" s="65"/>
      <c r="B734" s="148"/>
      <c r="C734" s="149"/>
      <c r="D734" s="150"/>
      <c r="E734" s="151"/>
      <c r="F734" s="152"/>
      <c r="G734"/>
      <c r="H734"/>
      <c r="I734"/>
      <c r="J734"/>
      <c r="K734"/>
      <c r="L734"/>
      <c r="M734"/>
      <c r="N734"/>
      <c r="O734"/>
      <c r="P734"/>
      <c r="Q734"/>
      <c r="R734"/>
      <c r="S734"/>
      <c r="T734"/>
      <c r="U734"/>
      <c r="V734"/>
      <c r="W734"/>
      <c r="BF734" s="65"/>
      <c r="BG734" s="65"/>
      <c r="BH734" s="65"/>
      <c r="BI734" s="65"/>
      <c r="BJ734" s="65"/>
      <c r="BK734" s="65"/>
      <c r="BL734" s="65"/>
      <c r="BM734" s="65"/>
      <c r="BN734" s="65"/>
      <c r="BO734" s="65"/>
      <c r="BP734" s="65"/>
      <c r="BQ734" s="65"/>
      <c r="BR734" s="65"/>
      <c r="BS734" s="65"/>
    </row>
    <row r="735" spans="1:71" s="64" customFormat="1" outlineLevel="1">
      <c r="A735" s="65"/>
      <c r="B735" s="160"/>
      <c r="C735" s="161"/>
      <c r="D735" s="150"/>
      <c r="E735" s="162"/>
      <c r="F735" s="152"/>
      <c r="G735"/>
      <c r="H735"/>
      <c r="I735"/>
      <c r="J735"/>
      <c r="K735"/>
      <c r="L735"/>
      <c r="M735"/>
      <c r="N735"/>
      <c r="O735"/>
      <c r="P735"/>
      <c r="Q735"/>
      <c r="R735"/>
      <c r="S735"/>
      <c r="T735"/>
      <c r="U735"/>
      <c r="V735"/>
      <c r="W735"/>
      <c r="BF735" s="65"/>
      <c r="BG735" s="65"/>
      <c r="BH735" s="65"/>
      <c r="BI735" s="65"/>
      <c r="BJ735" s="65"/>
      <c r="BK735" s="65"/>
      <c r="BL735" s="65"/>
      <c r="BM735" s="65"/>
      <c r="BN735" s="65"/>
      <c r="BO735" s="65"/>
      <c r="BP735" s="65"/>
      <c r="BQ735" s="65"/>
      <c r="BR735" s="65"/>
      <c r="BS735" s="65"/>
    </row>
    <row r="736" spans="1:71" s="64" customFormat="1" outlineLevel="1">
      <c r="A736" s="65"/>
      <c r="B736" s="148"/>
      <c r="C736" s="149"/>
      <c r="D736" s="150"/>
      <c r="E736" s="151"/>
      <c r="F736" s="152"/>
      <c r="G736"/>
      <c r="H736"/>
      <c r="I736"/>
      <c r="J736"/>
      <c r="K736"/>
      <c r="L736"/>
      <c r="M736"/>
      <c r="N736"/>
      <c r="O736"/>
      <c r="P736"/>
      <c r="Q736"/>
      <c r="R736"/>
      <c r="S736"/>
      <c r="T736"/>
      <c r="U736"/>
      <c r="V736"/>
      <c r="W736"/>
      <c r="BF736" s="65"/>
      <c r="BG736" s="65"/>
      <c r="BH736" s="65"/>
      <c r="BI736" s="65"/>
      <c r="BJ736" s="65"/>
      <c r="BK736" s="65"/>
      <c r="BL736" s="65"/>
      <c r="BM736" s="65"/>
      <c r="BN736" s="65"/>
      <c r="BO736" s="65"/>
      <c r="BP736" s="65"/>
      <c r="BQ736" s="65"/>
      <c r="BR736" s="65"/>
      <c r="BS736" s="65"/>
    </row>
    <row r="737" spans="1:71" s="64" customFormat="1" outlineLevel="1">
      <c r="A737" s="65"/>
      <c r="B737" s="160"/>
      <c r="C737" s="161"/>
      <c r="D737" s="150"/>
      <c r="E737" s="162"/>
      <c r="F737" s="152"/>
      <c r="G737"/>
      <c r="H737"/>
      <c r="I737"/>
      <c r="J737"/>
      <c r="K737"/>
      <c r="L737"/>
      <c r="M737"/>
      <c r="N737"/>
      <c r="O737"/>
      <c r="P737"/>
      <c r="Q737"/>
      <c r="R737"/>
      <c r="S737"/>
      <c r="T737"/>
      <c r="U737"/>
      <c r="V737"/>
      <c r="W737"/>
      <c r="BF737" s="65"/>
      <c r="BG737" s="65"/>
      <c r="BH737" s="65"/>
      <c r="BI737" s="65"/>
      <c r="BJ737" s="65"/>
      <c r="BK737" s="65"/>
      <c r="BL737" s="65"/>
      <c r="BM737" s="65"/>
      <c r="BN737" s="65"/>
      <c r="BO737" s="65"/>
      <c r="BP737" s="65"/>
      <c r="BQ737" s="65"/>
      <c r="BR737" s="65"/>
      <c r="BS737" s="65"/>
    </row>
    <row r="738" spans="1:71" s="64" customFormat="1" outlineLevel="1">
      <c r="A738" s="65"/>
      <c r="B738" s="148"/>
      <c r="C738" s="149"/>
      <c r="D738" s="150"/>
      <c r="E738" s="151"/>
      <c r="F738" s="152"/>
      <c r="G738"/>
      <c r="H738"/>
      <c r="I738"/>
      <c r="J738"/>
      <c r="K738"/>
      <c r="L738"/>
      <c r="M738"/>
      <c r="N738"/>
      <c r="O738"/>
      <c r="P738"/>
      <c r="Q738"/>
      <c r="R738"/>
      <c r="S738"/>
      <c r="T738"/>
      <c r="U738"/>
      <c r="V738"/>
      <c r="W738"/>
      <c r="BF738" s="65"/>
      <c r="BG738" s="65"/>
      <c r="BH738" s="65"/>
      <c r="BI738" s="65"/>
      <c r="BJ738" s="65"/>
      <c r="BK738" s="65"/>
      <c r="BL738" s="65"/>
      <c r="BM738" s="65"/>
      <c r="BN738" s="65"/>
      <c r="BO738" s="65"/>
      <c r="BP738" s="65"/>
      <c r="BQ738" s="65"/>
      <c r="BR738" s="65"/>
      <c r="BS738" s="65"/>
    </row>
    <row r="739" spans="1:71" s="64" customFormat="1" outlineLevel="1">
      <c r="A739" s="65"/>
      <c r="B739" s="160"/>
      <c r="C739" s="161"/>
      <c r="D739" s="150"/>
      <c r="E739" s="162"/>
      <c r="F739" s="152"/>
      <c r="G739"/>
      <c r="H739"/>
      <c r="I739"/>
      <c r="J739"/>
      <c r="K739"/>
      <c r="L739"/>
      <c r="M739"/>
      <c r="N739"/>
      <c r="O739"/>
      <c r="P739"/>
      <c r="Q739"/>
      <c r="R739"/>
      <c r="S739"/>
      <c r="T739"/>
      <c r="U739"/>
      <c r="V739"/>
      <c r="W739"/>
      <c r="BF739" s="65"/>
      <c r="BG739" s="65"/>
      <c r="BH739" s="65"/>
      <c r="BI739" s="65"/>
      <c r="BJ739" s="65"/>
      <c r="BK739" s="65"/>
      <c r="BL739" s="65"/>
      <c r="BM739" s="65"/>
      <c r="BN739" s="65"/>
      <c r="BO739" s="65"/>
      <c r="BP739" s="65"/>
      <c r="BQ739" s="65"/>
      <c r="BR739" s="65"/>
      <c r="BS739" s="65"/>
    </row>
    <row r="740" spans="1:71" s="64" customFormat="1" outlineLevel="1">
      <c r="A740" s="65"/>
      <c r="B740" s="148"/>
      <c r="C740" s="149"/>
      <c r="D740" s="150"/>
      <c r="E740" s="151"/>
      <c r="F740" s="152"/>
      <c r="G740"/>
      <c r="H740"/>
      <c r="I740"/>
      <c r="J740"/>
      <c r="K740"/>
      <c r="L740"/>
      <c r="M740"/>
      <c r="N740"/>
      <c r="O740"/>
      <c r="P740"/>
      <c r="Q740"/>
      <c r="R740"/>
      <c r="S740"/>
      <c r="T740"/>
      <c r="U740"/>
      <c r="V740"/>
      <c r="W740"/>
      <c r="BF740" s="65"/>
      <c r="BG740" s="65"/>
      <c r="BH740" s="65"/>
      <c r="BI740" s="65"/>
      <c r="BJ740" s="65"/>
      <c r="BK740" s="65"/>
      <c r="BL740" s="65"/>
      <c r="BM740" s="65"/>
      <c r="BN740" s="65"/>
      <c r="BO740" s="65"/>
      <c r="BP740" s="65"/>
      <c r="BQ740" s="65"/>
      <c r="BR740" s="65"/>
      <c r="BS740" s="65"/>
    </row>
    <row r="741" spans="1:71" s="64" customFormat="1" outlineLevel="1">
      <c r="A741" s="65"/>
      <c r="B741" s="160"/>
      <c r="C741" s="161"/>
      <c r="D741" s="150"/>
      <c r="E741" s="162"/>
      <c r="F741" s="152"/>
      <c r="G741"/>
      <c r="H741"/>
      <c r="I741"/>
      <c r="J741"/>
      <c r="K741"/>
      <c r="L741"/>
      <c r="M741"/>
      <c r="N741"/>
      <c r="O741"/>
      <c r="P741"/>
      <c r="Q741"/>
      <c r="R741"/>
      <c r="S741"/>
      <c r="T741"/>
      <c r="U741"/>
      <c r="V741"/>
      <c r="W741"/>
      <c r="BF741" s="65"/>
      <c r="BG741" s="65"/>
      <c r="BH741" s="65"/>
      <c r="BI741" s="65"/>
      <c r="BJ741" s="65"/>
      <c r="BK741" s="65"/>
      <c r="BL741" s="65"/>
      <c r="BM741" s="65"/>
      <c r="BN741" s="65"/>
      <c r="BO741" s="65"/>
      <c r="BP741" s="65"/>
      <c r="BQ741" s="65"/>
      <c r="BR741" s="65"/>
      <c r="BS741" s="65"/>
    </row>
    <row r="742" spans="1:71" s="64" customFormat="1" outlineLevel="1">
      <c r="A742" s="65"/>
      <c r="B742" s="148"/>
      <c r="C742" s="149"/>
      <c r="D742" s="150"/>
      <c r="E742" s="151"/>
      <c r="F742" s="152"/>
      <c r="G742"/>
      <c r="H742"/>
      <c r="I742"/>
      <c r="J742"/>
      <c r="K742"/>
      <c r="L742"/>
      <c r="M742"/>
      <c r="N742"/>
      <c r="O742"/>
      <c r="P742"/>
      <c r="Q742"/>
      <c r="R742"/>
      <c r="S742"/>
      <c r="T742"/>
      <c r="U742"/>
      <c r="V742"/>
      <c r="W742"/>
      <c r="BF742" s="65"/>
      <c r="BG742" s="65"/>
      <c r="BH742" s="65"/>
      <c r="BI742" s="65"/>
      <c r="BJ742" s="65"/>
      <c r="BK742" s="65"/>
      <c r="BL742" s="65"/>
      <c r="BM742" s="65"/>
      <c r="BN742" s="65"/>
      <c r="BO742" s="65"/>
      <c r="BP742" s="65"/>
      <c r="BQ742" s="65"/>
      <c r="BR742" s="65"/>
      <c r="BS742" s="65"/>
    </row>
    <row r="743" spans="1:71" s="64" customFormat="1" outlineLevel="1">
      <c r="A743" s="65"/>
      <c r="B743" s="160"/>
      <c r="C743" s="161"/>
      <c r="D743" s="150"/>
      <c r="E743" s="162"/>
      <c r="F743" s="152"/>
      <c r="G743"/>
      <c r="H743"/>
      <c r="I743"/>
      <c r="J743"/>
      <c r="K743"/>
      <c r="L743"/>
      <c r="M743"/>
      <c r="N743"/>
      <c r="O743"/>
      <c r="P743"/>
      <c r="Q743"/>
      <c r="R743"/>
      <c r="S743"/>
      <c r="T743"/>
      <c r="U743"/>
      <c r="V743"/>
      <c r="W743"/>
      <c r="BF743" s="65"/>
      <c r="BG743" s="65"/>
      <c r="BH743" s="65"/>
      <c r="BI743" s="65"/>
      <c r="BJ743" s="65"/>
      <c r="BK743" s="65"/>
      <c r="BL743" s="65"/>
      <c r="BM743" s="65"/>
      <c r="BN743" s="65"/>
      <c r="BO743" s="65"/>
      <c r="BP743" s="65"/>
      <c r="BQ743" s="65"/>
      <c r="BR743" s="65"/>
      <c r="BS743" s="65"/>
    </row>
    <row r="744" spans="1:71" s="64" customFormat="1" outlineLevel="1">
      <c r="A744" s="65"/>
      <c r="B744" s="148"/>
      <c r="C744" s="149"/>
      <c r="D744" s="150"/>
      <c r="E744" s="151"/>
      <c r="F744" s="152"/>
      <c r="G744"/>
      <c r="H744"/>
      <c r="I744"/>
      <c r="J744"/>
      <c r="K744"/>
      <c r="L744"/>
      <c r="M744"/>
      <c r="N744"/>
      <c r="O744"/>
      <c r="P744"/>
      <c r="Q744"/>
      <c r="R744"/>
      <c r="S744"/>
      <c r="T744"/>
      <c r="U744"/>
      <c r="V744"/>
      <c r="W744"/>
      <c r="BF744" s="65"/>
      <c r="BG744" s="65"/>
      <c r="BH744" s="65"/>
      <c r="BI744" s="65"/>
      <c r="BJ744" s="65"/>
      <c r="BK744" s="65"/>
      <c r="BL744" s="65"/>
      <c r="BM744" s="65"/>
      <c r="BN744" s="65"/>
      <c r="BO744" s="65"/>
      <c r="BP744" s="65"/>
      <c r="BQ744" s="65"/>
      <c r="BR744" s="65"/>
      <c r="BS744" s="65"/>
    </row>
    <row r="745" spans="1:71" s="64" customFormat="1" outlineLevel="1">
      <c r="A745" s="65"/>
      <c r="B745" s="160"/>
      <c r="C745" s="161"/>
      <c r="D745" s="150"/>
      <c r="E745" s="162"/>
      <c r="F745" s="152"/>
      <c r="G745"/>
      <c r="H745"/>
      <c r="I745"/>
      <c r="J745"/>
      <c r="K745"/>
      <c r="L745"/>
      <c r="M745"/>
      <c r="N745"/>
      <c r="O745"/>
      <c r="P745"/>
      <c r="Q745"/>
      <c r="R745"/>
      <c r="S745"/>
      <c r="T745"/>
      <c r="U745"/>
      <c r="V745"/>
      <c r="W745"/>
      <c r="BF745" s="65"/>
      <c r="BG745" s="65"/>
      <c r="BH745" s="65"/>
      <c r="BI745" s="65"/>
      <c r="BJ745" s="65"/>
      <c r="BK745" s="65"/>
      <c r="BL745" s="65"/>
      <c r="BM745" s="65"/>
      <c r="BN745" s="65"/>
      <c r="BO745" s="65"/>
      <c r="BP745" s="65"/>
      <c r="BQ745" s="65"/>
      <c r="BR745" s="65"/>
      <c r="BS745" s="65"/>
    </row>
    <row r="746" spans="1:71" s="64" customFormat="1" outlineLevel="1">
      <c r="A746" s="65"/>
      <c r="B746" s="148"/>
      <c r="C746" s="149"/>
      <c r="D746" s="150"/>
      <c r="E746" s="151"/>
      <c r="F746" s="152"/>
      <c r="G746"/>
      <c r="H746"/>
      <c r="I746"/>
      <c r="J746"/>
      <c r="K746"/>
      <c r="L746"/>
      <c r="M746"/>
      <c r="N746"/>
      <c r="O746"/>
      <c r="P746"/>
      <c r="Q746"/>
      <c r="R746"/>
      <c r="S746"/>
      <c r="T746"/>
      <c r="U746"/>
      <c r="V746"/>
      <c r="W746"/>
      <c r="BF746" s="65"/>
      <c r="BG746" s="65"/>
      <c r="BH746" s="65"/>
      <c r="BI746" s="65"/>
      <c r="BJ746" s="65"/>
      <c r="BK746" s="65"/>
      <c r="BL746" s="65"/>
      <c r="BM746" s="65"/>
      <c r="BN746" s="65"/>
      <c r="BO746" s="65"/>
      <c r="BP746" s="65"/>
      <c r="BQ746" s="65"/>
      <c r="BR746" s="65"/>
      <c r="BS746" s="65"/>
    </row>
    <row r="747" spans="1:71" s="64" customFormat="1" outlineLevel="1">
      <c r="A747" s="65"/>
      <c r="B747" s="160"/>
      <c r="C747" s="161"/>
      <c r="D747" s="150"/>
      <c r="E747" s="162"/>
      <c r="F747" s="152"/>
      <c r="G747"/>
      <c r="H747"/>
      <c r="I747"/>
      <c r="J747"/>
      <c r="K747"/>
      <c r="L747"/>
      <c r="M747"/>
      <c r="N747"/>
      <c r="O747"/>
      <c r="P747"/>
      <c r="Q747"/>
      <c r="R747"/>
      <c r="S747"/>
      <c r="T747"/>
      <c r="U747"/>
      <c r="V747"/>
      <c r="W747"/>
      <c r="BF747" s="65"/>
      <c r="BG747" s="65"/>
      <c r="BH747" s="65"/>
      <c r="BI747" s="65"/>
      <c r="BJ747" s="65"/>
      <c r="BK747" s="65"/>
      <c r="BL747" s="65"/>
      <c r="BM747" s="65"/>
      <c r="BN747" s="65"/>
      <c r="BO747" s="65"/>
      <c r="BP747" s="65"/>
      <c r="BQ747" s="65"/>
      <c r="BR747" s="65"/>
      <c r="BS747" s="65"/>
    </row>
    <row r="748" spans="1:71" s="64" customFormat="1" outlineLevel="1">
      <c r="A748" s="65"/>
      <c r="B748" s="148"/>
      <c r="C748" s="149"/>
      <c r="D748" s="150"/>
      <c r="E748" s="151"/>
      <c r="F748" s="152"/>
      <c r="G748"/>
      <c r="H748"/>
      <c r="I748"/>
      <c r="J748"/>
      <c r="K748"/>
      <c r="L748"/>
      <c r="M748"/>
      <c r="N748"/>
      <c r="O748"/>
      <c r="P748"/>
      <c r="Q748"/>
      <c r="R748"/>
      <c r="S748"/>
      <c r="T748"/>
      <c r="U748"/>
      <c r="V748"/>
      <c r="W748"/>
      <c r="BF748" s="65"/>
      <c r="BG748" s="65"/>
      <c r="BH748" s="65"/>
      <c r="BI748" s="65"/>
      <c r="BJ748" s="65"/>
      <c r="BK748" s="65"/>
      <c r="BL748" s="65"/>
      <c r="BM748" s="65"/>
      <c r="BN748" s="65"/>
      <c r="BO748" s="65"/>
      <c r="BP748" s="65"/>
      <c r="BQ748" s="65"/>
      <c r="BR748" s="65"/>
      <c r="BS748" s="65"/>
    </row>
    <row r="749" spans="1:71" s="64" customFormat="1" outlineLevel="1">
      <c r="A749" s="65"/>
      <c r="B749" s="160"/>
      <c r="C749" s="161"/>
      <c r="D749" s="150"/>
      <c r="E749" s="162"/>
      <c r="F749" s="152"/>
      <c r="G749"/>
      <c r="H749"/>
      <c r="I749"/>
      <c r="J749"/>
      <c r="K749"/>
      <c r="L749"/>
      <c r="M749"/>
      <c r="N749"/>
      <c r="O749"/>
      <c r="P749"/>
      <c r="Q749"/>
      <c r="R749"/>
      <c r="S749"/>
      <c r="T749"/>
      <c r="U749"/>
      <c r="V749"/>
      <c r="W749"/>
      <c r="BF749" s="65"/>
      <c r="BG749" s="65"/>
      <c r="BH749" s="65"/>
      <c r="BI749" s="65"/>
      <c r="BJ749" s="65"/>
      <c r="BK749" s="65"/>
      <c r="BL749" s="65"/>
      <c r="BM749" s="65"/>
      <c r="BN749" s="65"/>
      <c r="BO749" s="65"/>
      <c r="BP749" s="65"/>
      <c r="BQ749" s="65"/>
      <c r="BR749" s="65"/>
      <c r="BS749" s="65"/>
    </row>
    <row r="750" spans="1:71" s="64" customFormat="1" outlineLevel="1">
      <c r="A750" s="65"/>
      <c r="B750" s="148"/>
      <c r="C750" s="149"/>
      <c r="D750" s="150"/>
      <c r="E750" s="151"/>
      <c r="F750" s="152"/>
      <c r="G750"/>
      <c r="H750"/>
      <c r="I750"/>
      <c r="J750"/>
      <c r="K750"/>
      <c r="L750"/>
      <c r="M750"/>
      <c r="N750"/>
      <c r="O750"/>
      <c r="P750"/>
      <c r="Q750"/>
      <c r="R750"/>
      <c r="S750"/>
      <c r="T750"/>
      <c r="U750"/>
      <c r="V750"/>
      <c r="W750"/>
      <c r="BF750" s="65"/>
      <c r="BG750" s="65"/>
      <c r="BH750" s="65"/>
      <c r="BI750" s="65"/>
      <c r="BJ750" s="65"/>
      <c r="BK750" s="65"/>
      <c r="BL750" s="65"/>
      <c r="BM750" s="65"/>
      <c r="BN750" s="65"/>
      <c r="BO750" s="65"/>
      <c r="BP750" s="65"/>
      <c r="BQ750" s="65"/>
      <c r="BR750" s="65"/>
      <c r="BS750" s="65"/>
    </row>
    <row r="751" spans="1:71" s="64" customFormat="1">
      <c r="A751" s="65"/>
      <c r="B751" s="84" t="s">
        <v>1032</v>
      </c>
      <c r="C751" s="85" t="s">
        <v>2181</v>
      </c>
      <c r="D751" s="85"/>
      <c r="E751" s="86"/>
      <c r="F751" s="87"/>
      <c r="G751"/>
      <c r="H751"/>
      <c r="I751"/>
      <c r="J751"/>
      <c r="K751"/>
      <c r="L751"/>
      <c r="M751"/>
      <c r="N751"/>
      <c r="O751"/>
      <c r="P751"/>
      <c r="Q751"/>
      <c r="R751"/>
      <c r="S751"/>
      <c r="T751"/>
      <c r="U751"/>
      <c r="V751"/>
      <c r="W751"/>
      <c r="BF751" s="65"/>
      <c r="BG751" s="65"/>
      <c r="BH751" s="65"/>
      <c r="BI751" s="65"/>
      <c r="BJ751" s="65"/>
      <c r="BK751" s="65"/>
      <c r="BL751" s="65"/>
      <c r="BM751" s="65"/>
      <c r="BN751" s="65"/>
      <c r="BO751" s="65"/>
      <c r="BP751" s="65"/>
      <c r="BQ751" s="65"/>
      <c r="BR751" s="65"/>
      <c r="BS751" s="65"/>
    </row>
    <row r="752" spans="1:71" s="64" customFormat="1">
      <c r="A752" s="65"/>
      <c r="B752" s="88" t="s">
        <v>1622</v>
      </c>
      <c r="C752" s="94" t="s">
        <v>2182</v>
      </c>
      <c r="D752" s="515" t="s">
        <v>995</v>
      </c>
      <c r="E752" s="91" t="str">
        <f>Main_Parameters!$C$174</f>
        <v>0100</v>
      </c>
      <c r="F752" s="92"/>
      <c r="G752"/>
      <c r="H752"/>
      <c r="I752"/>
      <c r="J752"/>
      <c r="K752"/>
      <c r="L752"/>
      <c r="M752"/>
      <c r="N752"/>
      <c r="O752"/>
      <c r="P752"/>
      <c r="Q752"/>
      <c r="R752"/>
      <c r="S752"/>
      <c r="T752"/>
      <c r="U752"/>
      <c r="V752"/>
      <c r="W752"/>
      <c r="BF752" s="65"/>
      <c r="BG752" s="65"/>
      <c r="BH752" s="65"/>
      <c r="BI752" s="65"/>
      <c r="BJ752" s="65"/>
      <c r="BK752" s="65"/>
      <c r="BL752" s="65"/>
      <c r="BM752" s="65"/>
      <c r="BN752" s="65"/>
      <c r="BO752" s="65"/>
      <c r="BP752" s="65"/>
      <c r="BQ752" s="65"/>
      <c r="BR752" s="65"/>
      <c r="BS752" s="65"/>
    </row>
    <row r="753" spans="1:71" s="64" customFormat="1">
      <c r="A753" s="65"/>
      <c r="B753" s="101" t="str">
        <f>IF(Main_Parameters!$M$21="Progressive","REMnd","WR16")</f>
        <v>REMnd</v>
      </c>
      <c r="C753" s="94" t="s">
        <v>2183</v>
      </c>
      <c r="D753" s="515" t="s">
        <v>2184</v>
      </c>
      <c r="E753" s="91" t="str">
        <f>Main_Parameters!$C$175</f>
        <v>A010</v>
      </c>
      <c r="F753" s="97"/>
      <c r="G753"/>
      <c r="H753"/>
      <c r="I753"/>
      <c r="J753"/>
      <c r="K753"/>
      <c r="L753"/>
      <c r="M753"/>
      <c r="N753"/>
      <c r="O753"/>
      <c r="P753"/>
      <c r="Q753"/>
      <c r="R753"/>
      <c r="S753"/>
      <c r="T753"/>
      <c r="U753"/>
      <c r="V753"/>
      <c r="W753"/>
      <c r="BF753" s="65"/>
      <c r="BG753" s="65"/>
      <c r="BH753" s="65"/>
      <c r="BI753" s="65"/>
      <c r="BJ753" s="65"/>
      <c r="BK753" s="65"/>
      <c r="BL753" s="65"/>
      <c r="BM753" s="65"/>
      <c r="BN753" s="65"/>
      <c r="BO753" s="65"/>
      <c r="BP753" s="65"/>
      <c r="BQ753" s="65"/>
      <c r="BR753" s="65"/>
      <c r="BS753" s="65"/>
    </row>
    <row r="754" spans="1:71" s="64" customFormat="1">
      <c r="A754" s="65"/>
      <c r="B754" s="88" t="s">
        <v>1622</v>
      </c>
      <c r="C754" s="94" t="s">
        <v>2185</v>
      </c>
      <c r="D754" s="515" t="s">
        <v>997</v>
      </c>
      <c r="E754" s="91" t="str">
        <f>Main_Parameters!$C$177</f>
        <v>0000</v>
      </c>
      <c r="F754" s="97"/>
      <c r="G754"/>
      <c r="H754"/>
      <c r="I754"/>
      <c r="J754"/>
      <c r="K754"/>
      <c r="L754"/>
      <c r="M754"/>
      <c r="N754"/>
      <c r="O754"/>
      <c r="P754"/>
      <c r="Q754"/>
      <c r="R754"/>
      <c r="S754"/>
      <c r="T754"/>
      <c r="U754"/>
      <c r="V754"/>
      <c r="W754"/>
      <c r="BF754" s="65"/>
      <c r="BG754" s="65"/>
      <c r="BH754" s="65"/>
      <c r="BI754" s="65"/>
      <c r="BJ754" s="65"/>
      <c r="BK754" s="65"/>
      <c r="BL754" s="65"/>
      <c r="BM754" s="65"/>
      <c r="BN754" s="65"/>
      <c r="BO754" s="65"/>
      <c r="BP754" s="65"/>
      <c r="BQ754" s="65"/>
      <c r="BR754" s="65"/>
      <c r="BS754" s="65"/>
    </row>
    <row r="755" spans="1:71" s="64" customFormat="1">
      <c r="A755" s="65"/>
      <c r="B755" s="101" t="str">
        <f>IF(Main_Parameters!$C$42&lt;&gt;"Half(Auto)","WR16","REMnd")</f>
        <v>WR16</v>
      </c>
      <c r="C755" s="94" t="s">
        <v>2186</v>
      </c>
      <c r="D755" s="515" t="s">
        <v>998</v>
      </c>
      <c r="E755" s="91" t="str">
        <f>Main_Parameters!$C$178</f>
        <v>021B</v>
      </c>
      <c r="F755" s="97"/>
      <c r="G755"/>
      <c r="H755"/>
      <c r="I755"/>
      <c r="J755"/>
      <c r="K755"/>
      <c r="L755"/>
      <c r="M755"/>
      <c r="N755"/>
      <c r="O755"/>
      <c r="P755"/>
      <c r="Q755"/>
      <c r="R755"/>
      <c r="S755"/>
      <c r="T755"/>
      <c r="U755"/>
      <c r="V755"/>
      <c r="W755"/>
      <c r="BF755" s="65"/>
      <c r="BG755" s="65"/>
      <c r="BH755" s="65"/>
      <c r="BI755" s="65"/>
      <c r="BJ755" s="65"/>
      <c r="BK755" s="65"/>
      <c r="BL755" s="65"/>
      <c r="BM755" s="65"/>
      <c r="BN755" s="65"/>
      <c r="BO755" s="65"/>
      <c r="BP755" s="65"/>
      <c r="BQ755" s="65"/>
      <c r="BR755" s="65"/>
      <c r="BS755" s="65"/>
    </row>
    <row r="756" spans="1:71" s="64" customFormat="1">
      <c r="A756" s="65"/>
      <c r="B756" s="88" t="s">
        <v>1622</v>
      </c>
      <c r="C756" s="94" t="s">
        <v>2187</v>
      </c>
      <c r="D756" s="515" t="s">
        <v>999</v>
      </c>
      <c r="E756" s="91" t="str">
        <f>Main_Parameters!$C$181</f>
        <v>0100</v>
      </c>
      <c r="F756" s="92"/>
      <c r="G756"/>
      <c r="H756"/>
      <c r="I756"/>
      <c r="J756"/>
      <c r="K756"/>
      <c r="L756"/>
      <c r="M756"/>
      <c r="N756"/>
      <c r="O756"/>
      <c r="P756"/>
      <c r="Q756"/>
      <c r="R756"/>
      <c r="S756"/>
      <c r="T756"/>
      <c r="U756"/>
      <c r="V756"/>
      <c r="W756"/>
      <c r="BF756" s="65"/>
      <c r="BG756" s="65"/>
      <c r="BH756" s="65"/>
      <c r="BI756" s="65"/>
      <c r="BJ756" s="65"/>
      <c r="BK756" s="65"/>
      <c r="BL756" s="65"/>
      <c r="BM756" s="65"/>
      <c r="BN756" s="65"/>
      <c r="BO756" s="65"/>
      <c r="BP756" s="65"/>
      <c r="BQ756" s="65"/>
      <c r="BR756" s="65"/>
      <c r="BS756" s="65"/>
    </row>
    <row r="757" spans="1:71" s="64" customFormat="1">
      <c r="A757" s="65"/>
      <c r="B757" s="101" t="str">
        <f>IF(Main_Parameters!$M$21="Progressive","REMnd","WR16")</f>
        <v>REMnd</v>
      </c>
      <c r="C757" s="94" t="s">
        <v>2188</v>
      </c>
      <c r="D757" s="515" t="s">
        <v>2189</v>
      </c>
      <c r="E757" s="91" t="str">
        <f>Main_Parameters!$C$182</f>
        <v>A010</v>
      </c>
      <c r="F757" s="97"/>
      <c r="G757"/>
      <c r="H757"/>
      <c r="I757"/>
      <c r="J757"/>
      <c r="K757"/>
      <c r="L757"/>
      <c r="M757"/>
      <c r="N757"/>
      <c r="O757"/>
      <c r="P757"/>
      <c r="Q757"/>
      <c r="R757"/>
      <c r="S757"/>
      <c r="T757"/>
      <c r="U757"/>
      <c r="V757"/>
      <c r="W757"/>
      <c r="BF757" s="65"/>
      <c r="BG757" s="65"/>
      <c r="BH757" s="65"/>
      <c r="BI757" s="65"/>
      <c r="BJ757" s="65"/>
      <c r="BK757" s="65"/>
      <c r="BL757" s="65"/>
      <c r="BM757" s="65"/>
      <c r="BN757" s="65"/>
      <c r="BO757" s="65"/>
      <c r="BP757" s="65"/>
      <c r="BQ757" s="65"/>
      <c r="BR757" s="65"/>
      <c r="BS757" s="65"/>
    </row>
    <row r="758" spans="1:71" s="64" customFormat="1">
      <c r="A758" s="65"/>
      <c r="B758" s="101" t="str">
        <f>IF(Main_Parameters!$C$42&lt;&gt;"Half(Auto)","WR16","REMnd")</f>
        <v>WR16</v>
      </c>
      <c r="C758" s="94" t="s">
        <v>2190</v>
      </c>
      <c r="D758" s="515" t="s">
        <v>1001</v>
      </c>
      <c r="E758" s="91" t="str">
        <f>Main_Parameters!$C$184</f>
        <v>021C</v>
      </c>
      <c r="F758" s="97"/>
      <c r="G758"/>
      <c r="H758"/>
      <c r="I758"/>
      <c r="J758"/>
      <c r="K758"/>
      <c r="L758"/>
      <c r="M758"/>
      <c r="N758"/>
      <c r="O758"/>
      <c r="P758"/>
      <c r="Q758"/>
      <c r="R758"/>
      <c r="S758"/>
      <c r="T758"/>
      <c r="U758"/>
      <c r="V758"/>
      <c r="W758"/>
      <c r="BF758" s="65"/>
      <c r="BG758" s="65"/>
      <c r="BH758" s="65"/>
      <c r="BI758" s="65"/>
      <c r="BJ758" s="65"/>
      <c r="BK758" s="65"/>
      <c r="BL758" s="65"/>
      <c r="BM758" s="65"/>
      <c r="BN758" s="65"/>
      <c r="BO758" s="65"/>
      <c r="BP758" s="65"/>
      <c r="BQ758" s="65"/>
      <c r="BR758" s="65"/>
      <c r="BS758" s="65"/>
    </row>
    <row r="759" spans="1:71" s="64" customFormat="1">
      <c r="A759" s="65"/>
      <c r="B759" s="101" t="str">
        <f>IF(Main_Parameters!$C$42&lt;&gt;"Half(Auto)","WR16","REMnd")</f>
        <v>WR16</v>
      </c>
      <c r="C759" s="94" t="s">
        <v>2191</v>
      </c>
      <c r="D759" s="515" t="s">
        <v>1002</v>
      </c>
      <c r="E759" s="91" t="str">
        <f>Main_Parameters!$C$185</f>
        <v>0437</v>
      </c>
      <c r="F759" s="97"/>
      <c r="G759"/>
      <c r="H759"/>
      <c r="I759"/>
      <c r="J759"/>
      <c r="K759"/>
      <c r="L759"/>
      <c r="M759"/>
      <c r="N759"/>
      <c r="O759"/>
      <c r="P759"/>
      <c r="Q759"/>
      <c r="R759"/>
      <c r="S759"/>
      <c r="T759"/>
      <c r="U759"/>
      <c r="V759"/>
      <c r="W759"/>
      <c r="BF759" s="65"/>
      <c r="BG759" s="65"/>
      <c r="BH759" s="65"/>
      <c r="BI759" s="65"/>
      <c r="BJ759" s="65"/>
      <c r="BK759" s="65"/>
      <c r="BL759" s="65"/>
      <c r="BM759" s="65"/>
      <c r="BN759" s="65"/>
      <c r="BO759" s="65"/>
      <c r="BP759" s="65"/>
      <c r="BQ759" s="65"/>
      <c r="BR759" s="65"/>
      <c r="BS759" s="65"/>
    </row>
    <row r="760" spans="1:71" s="64" customFormat="1">
      <c r="A760" s="65"/>
      <c r="B760" s="101" t="str">
        <f>IF(AND(Main_Parameters!$F$42=0,Main_Parameters!$F$45=0),"REMnd","WR16")</f>
        <v>REMnd</v>
      </c>
      <c r="C760" s="94" t="s">
        <v>2192</v>
      </c>
      <c r="D760" s="515" t="s">
        <v>1019</v>
      </c>
      <c r="E760" s="91" t="str">
        <f>Main_Parameters!$C$207</f>
        <v>0000</v>
      </c>
      <c r="F760" s="97"/>
      <c r="G760"/>
      <c r="H760"/>
      <c r="I760"/>
      <c r="J760"/>
      <c r="K760"/>
      <c r="L760"/>
      <c r="M760"/>
      <c r="N760"/>
      <c r="O760"/>
      <c r="P760"/>
      <c r="Q760"/>
      <c r="R760"/>
      <c r="S760"/>
      <c r="T760"/>
      <c r="U760"/>
      <c r="V760"/>
      <c r="W760"/>
      <c r="BF760" s="65"/>
      <c r="BG760" s="65"/>
      <c r="BH760" s="65"/>
      <c r="BI760" s="65"/>
      <c r="BJ760" s="65"/>
      <c r="BK760" s="65"/>
      <c r="BL760" s="65"/>
      <c r="BM760" s="65"/>
      <c r="BN760" s="65"/>
      <c r="BO760" s="65"/>
      <c r="BP760" s="65"/>
      <c r="BQ760" s="65"/>
      <c r="BR760" s="65"/>
      <c r="BS760" s="65"/>
    </row>
    <row r="761" spans="1:71" s="64" customFormat="1">
      <c r="A761" s="65"/>
      <c r="B761" s="101" t="str">
        <f>IF(AND(Main_Parameters!$F$42=0,Main_Parameters!$F$45=0),"REMnd","WR16")</f>
        <v>REMnd</v>
      </c>
      <c r="C761" s="94" t="s">
        <v>2193</v>
      </c>
      <c r="D761" s="515" t="s">
        <v>1020</v>
      </c>
      <c r="E761" s="91" t="str">
        <f>Main_Parameters!$C$208</f>
        <v>FF00</v>
      </c>
      <c r="F761" s="97"/>
      <c r="G761"/>
      <c r="H761"/>
      <c r="I761"/>
      <c r="J761"/>
      <c r="K761"/>
      <c r="L761"/>
      <c r="M761"/>
      <c r="N761"/>
      <c r="O761"/>
      <c r="P761"/>
      <c r="Q761"/>
      <c r="R761"/>
      <c r="S761"/>
      <c r="T761"/>
      <c r="U761"/>
      <c r="V761"/>
      <c r="W761"/>
      <c r="BF761" s="65"/>
      <c r="BG761" s="65"/>
      <c r="BH761" s="65"/>
      <c r="BI761" s="65"/>
      <c r="BJ761" s="65"/>
      <c r="BK761" s="65"/>
      <c r="BL761" s="65"/>
      <c r="BM761" s="65"/>
      <c r="BN761" s="65"/>
      <c r="BO761" s="65"/>
      <c r="BP761" s="65"/>
      <c r="BQ761" s="65"/>
      <c r="BR761" s="65"/>
      <c r="BS761" s="65"/>
    </row>
    <row r="762" spans="1:71" s="64" customFormat="1">
      <c r="A762" s="65"/>
      <c r="B762" s="101" t="str">
        <f>IF(AND(Main_Parameters!$F$42=0,Main_Parameters!$F$45=0),"REMnd","WR16")</f>
        <v>REMnd</v>
      </c>
      <c r="C762" s="94" t="s">
        <v>2194</v>
      </c>
      <c r="D762" s="515" t="s">
        <v>1021</v>
      </c>
      <c r="E762" s="91" t="str">
        <f>Main_Parameters!$C$209</f>
        <v>0000</v>
      </c>
      <c r="F762" s="97"/>
      <c r="G762"/>
      <c r="H762"/>
      <c r="I762"/>
      <c r="J762"/>
      <c r="K762"/>
      <c r="L762"/>
      <c r="M762"/>
      <c r="N762"/>
      <c r="O762"/>
      <c r="P762"/>
      <c r="Q762"/>
      <c r="R762"/>
      <c r="S762"/>
      <c r="T762"/>
      <c r="U762"/>
      <c r="V762"/>
      <c r="W762"/>
      <c r="BF762" s="65"/>
      <c r="BG762" s="65"/>
      <c r="BH762" s="65"/>
      <c r="BI762" s="65"/>
      <c r="BJ762" s="65"/>
      <c r="BK762" s="65"/>
      <c r="BL762" s="65"/>
      <c r="BM762" s="65"/>
      <c r="BN762" s="65"/>
      <c r="BO762" s="65"/>
      <c r="BP762" s="65"/>
      <c r="BQ762" s="65"/>
      <c r="BR762" s="65"/>
      <c r="BS762" s="65"/>
    </row>
    <row r="763" spans="1:71" s="64" customFormat="1">
      <c r="A763" s="65"/>
      <c r="B763" s="101" t="str">
        <f>IF(AND(Main_Parameters!$F$42=0,Main_Parameters!$F$45=0),"REMnd","WR16")</f>
        <v>REMnd</v>
      </c>
      <c r="C763" s="94" t="s">
        <v>2195</v>
      </c>
      <c r="D763" s="515" t="s">
        <v>1022</v>
      </c>
      <c r="E763" s="91" t="str">
        <f>Main_Parameters!$C$210</f>
        <v>0000</v>
      </c>
      <c r="F763" s="97"/>
      <c r="G763"/>
      <c r="H763"/>
      <c r="I763"/>
      <c r="J763"/>
      <c r="K763"/>
      <c r="L763"/>
      <c r="M763"/>
      <c r="N763"/>
      <c r="O763"/>
      <c r="P763"/>
      <c r="Q763"/>
      <c r="R763"/>
      <c r="S763"/>
      <c r="T763"/>
      <c r="U763"/>
      <c r="V763"/>
      <c r="W763"/>
      <c r="BF763" s="65"/>
      <c r="BG763" s="65"/>
      <c r="BH763" s="65"/>
      <c r="BI763" s="65"/>
      <c r="BJ763" s="65"/>
      <c r="BK763" s="65"/>
      <c r="BL763" s="65"/>
      <c r="BM763" s="65"/>
      <c r="BN763" s="65"/>
      <c r="BO763" s="65"/>
      <c r="BP763" s="65"/>
      <c r="BQ763" s="65"/>
      <c r="BR763" s="65"/>
      <c r="BS763" s="65"/>
    </row>
    <row r="764" spans="1:71" s="64" customFormat="1">
      <c r="A764" s="65"/>
      <c r="B764" s="101" t="str">
        <f>IF(AND(Main_Parameters!$H$42=0,Main_Parameters!$H$45=0),"REMnd","WR16")</f>
        <v>REMnd</v>
      </c>
      <c r="C764" s="94" t="s">
        <v>2196</v>
      </c>
      <c r="D764" s="515" t="s">
        <v>1023</v>
      </c>
      <c r="E764" s="91" t="str">
        <f>Main_Parameters!$C$211</f>
        <v>0000</v>
      </c>
      <c r="F764" s="97"/>
      <c r="G764"/>
      <c r="H764"/>
      <c r="I764"/>
      <c r="J764"/>
      <c r="K764"/>
      <c r="L764"/>
      <c r="M764"/>
      <c r="N764"/>
      <c r="O764"/>
      <c r="P764"/>
      <c r="Q764"/>
      <c r="R764"/>
      <c r="S764"/>
      <c r="T764"/>
      <c r="U764"/>
      <c r="V764"/>
      <c r="W764"/>
      <c r="BF764" s="65"/>
      <c r="BG764" s="65"/>
      <c r="BH764" s="65"/>
      <c r="BI764" s="65"/>
      <c r="BJ764" s="65"/>
      <c r="BK764" s="65"/>
      <c r="BL764" s="65"/>
      <c r="BM764" s="65"/>
      <c r="BN764" s="65"/>
      <c r="BO764" s="65"/>
      <c r="BP764" s="65"/>
      <c r="BQ764" s="65"/>
      <c r="BR764" s="65"/>
      <c r="BS764" s="65"/>
    </row>
    <row r="765" spans="1:71" s="64" customFormat="1">
      <c r="A765" s="65"/>
      <c r="B765" s="101" t="str">
        <f>IF(AND(Main_Parameters!$H$42=0,Main_Parameters!$H$45=0),"REMnd","WR16")</f>
        <v>REMnd</v>
      </c>
      <c r="C765" s="94" t="s">
        <v>2197</v>
      </c>
      <c r="D765" s="515" t="s">
        <v>1024</v>
      </c>
      <c r="E765" s="91" t="str">
        <f>Main_Parameters!$C$212</f>
        <v>0000</v>
      </c>
      <c r="F765" s="97"/>
      <c r="G765"/>
      <c r="H765"/>
      <c r="I765"/>
      <c r="J765"/>
      <c r="K765"/>
      <c r="L765"/>
      <c r="M765"/>
      <c r="N765"/>
      <c r="O765"/>
      <c r="P765"/>
      <c r="Q765"/>
      <c r="R765"/>
      <c r="S765"/>
      <c r="T765"/>
      <c r="U765"/>
      <c r="V765"/>
      <c r="W765"/>
      <c r="BF765" s="65"/>
      <c r="BG765" s="65"/>
      <c r="BH765" s="65"/>
      <c r="BI765" s="65"/>
      <c r="BJ765" s="65"/>
      <c r="BK765" s="65"/>
      <c r="BL765" s="65"/>
      <c r="BM765" s="65"/>
      <c r="BN765" s="65"/>
      <c r="BO765" s="65"/>
      <c r="BP765" s="65"/>
      <c r="BQ765" s="65"/>
      <c r="BR765" s="65"/>
      <c r="BS765" s="65"/>
    </row>
    <row r="766" spans="1:71" s="64" customFormat="1">
      <c r="A766" s="65"/>
      <c r="B766" s="101" t="str">
        <f>IF(AND(Main_Parameters!$H$42=0,Main_Parameters!$H$45=0),"REMnd","WR16")</f>
        <v>REMnd</v>
      </c>
      <c r="C766" s="94" t="s">
        <v>2198</v>
      </c>
      <c r="D766" s="515" t="s">
        <v>1025</v>
      </c>
      <c r="E766" s="91" t="str">
        <f>Main_Parameters!$C$213</f>
        <v>0000</v>
      </c>
      <c r="F766" s="97"/>
      <c r="G766"/>
      <c r="H766"/>
      <c r="I766"/>
      <c r="J766"/>
      <c r="K766"/>
      <c r="L766"/>
      <c r="M766"/>
      <c r="N766"/>
      <c r="O766"/>
      <c r="P766"/>
      <c r="Q766"/>
      <c r="R766"/>
      <c r="S766"/>
      <c r="T766"/>
      <c r="U766"/>
      <c r="V766"/>
      <c r="W766"/>
      <c r="BF766" s="65"/>
      <c r="BG766" s="65"/>
      <c r="BH766" s="65"/>
      <c r="BI766" s="65"/>
      <c r="BJ766" s="65"/>
      <c r="BK766" s="65"/>
      <c r="BL766" s="65"/>
      <c r="BM766" s="65"/>
      <c r="BN766" s="65"/>
      <c r="BO766" s="65"/>
      <c r="BP766" s="65"/>
      <c r="BQ766" s="65"/>
      <c r="BR766" s="65"/>
      <c r="BS766" s="65"/>
    </row>
    <row r="767" spans="1:71" s="64" customFormat="1">
      <c r="A767" s="65"/>
      <c r="B767" s="101" t="str">
        <f>IF(AND(Main_Parameters!$H$42=0,Main_Parameters!$H$45=0),"REMnd","WR16")</f>
        <v>REMnd</v>
      </c>
      <c r="C767" s="94" t="s">
        <v>2199</v>
      </c>
      <c r="D767" s="515" t="s">
        <v>1026</v>
      </c>
      <c r="E767" s="91" t="str">
        <f>Main_Parameters!$C$214</f>
        <v>FF00</v>
      </c>
      <c r="F767" s="97"/>
      <c r="G767"/>
      <c r="H767"/>
      <c r="I767"/>
      <c r="J767"/>
      <c r="K767"/>
      <c r="L767"/>
      <c r="M767"/>
      <c r="N767"/>
      <c r="O767"/>
      <c r="P767"/>
      <c r="Q767"/>
      <c r="R767"/>
      <c r="S767"/>
      <c r="T767"/>
      <c r="U767"/>
      <c r="V767"/>
      <c r="W767"/>
      <c r="BF767" s="65"/>
      <c r="BG767" s="65"/>
      <c r="BH767" s="65"/>
      <c r="BI767" s="65"/>
      <c r="BJ767" s="65"/>
      <c r="BK767" s="65"/>
      <c r="BL767" s="65"/>
      <c r="BM767" s="65"/>
      <c r="BN767" s="65"/>
      <c r="BO767" s="65"/>
      <c r="BP767" s="65"/>
      <c r="BQ767" s="65"/>
      <c r="BR767" s="65"/>
      <c r="BS767" s="65"/>
    </row>
    <row r="768" spans="1:71" s="64" customFormat="1">
      <c r="A768" s="65"/>
      <c r="B768" s="101" t="str">
        <f>IF(Main_Parameters!$C$42="Half(Auto)","REMnd","WR16")</f>
        <v>WR16</v>
      </c>
      <c r="C768" s="94" t="s">
        <v>2200</v>
      </c>
      <c r="D768" s="515" t="s">
        <v>2201</v>
      </c>
      <c r="E768" s="511" t="s">
        <v>2202</v>
      </c>
      <c r="F768" s="97"/>
      <c r="G768"/>
      <c r="H768"/>
      <c r="I768"/>
      <c r="J768"/>
      <c r="K768"/>
      <c r="L768"/>
      <c r="M768"/>
      <c r="N768"/>
      <c r="O768"/>
      <c r="P768"/>
      <c r="Q768"/>
      <c r="R768"/>
      <c r="S768"/>
      <c r="T768"/>
      <c r="U768"/>
      <c r="V768"/>
      <c r="W768"/>
      <c r="BF768" s="65"/>
      <c r="BG768" s="65"/>
      <c r="BH768" s="65"/>
      <c r="BI768" s="65"/>
      <c r="BJ768" s="65"/>
      <c r="BK768" s="65"/>
      <c r="BL768" s="65"/>
      <c r="BM768" s="65"/>
      <c r="BN768" s="65"/>
      <c r="BO768" s="65"/>
      <c r="BP768" s="65"/>
      <c r="BQ768" s="65"/>
      <c r="BR768" s="65"/>
      <c r="BS768" s="65"/>
    </row>
    <row r="769" spans="1:71" s="64" customFormat="1">
      <c r="A769" s="65"/>
      <c r="B769" s="101" t="str">
        <f>IF(Main_Parameters!$C$42="Half(Auto)","REMnd","WR16")</f>
        <v>WR16</v>
      </c>
      <c r="C769" s="94" t="s">
        <v>2203</v>
      </c>
      <c r="D769" s="515" t="s">
        <v>996</v>
      </c>
      <c r="E769" s="91" t="str">
        <f>Main_Parameters!$C$176</f>
        <v>0CA8</v>
      </c>
      <c r="F769" s="97"/>
      <c r="G769"/>
      <c r="H769"/>
      <c r="I769"/>
      <c r="J769"/>
      <c r="K769"/>
      <c r="L769"/>
      <c r="M769"/>
      <c r="N769"/>
      <c r="O769"/>
      <c r="P769"/>
      <c r="Q769"/>
      <c r="R769"/>
      <c r="S769"/>
      <c r="T769"/>
      <c r="U769"/>
      <c r="V769"/>
      <c r="W769"/>
      <c r="BF769" s="65"/>
      <c r="BG769" s="65"/>
      <c r="BH769" s="65"/>
      <c r="BI769" s="65"/>
      <c r="BJ769" s="65"/>
      <c r="BK769" s="65"/>
      <c r="BL769" s="65"/>
      <c r="BM769" s="65"/>
      <c r="BN769" s="65"/>
      <c r="BO769" s="65"/>
      <c r="BP769" s="65"/>
      <c r="BQ769" s="65"/>
      <c r="BR769" s="65"/>
      <c r="BS769" s="65"/>
    </row>
    <row r="770" spans="1:71" s="64" customFormat="1">
      <c r="A770" s="65"/>
      <c r="B770" s="101" t="str">
        <f>IF(Main_Parameters!$C$42="Half(Auto)","REMnd","WR16")</f>
        <v>WR16</v>
      </c>
      <c r="C770" s="94" t="s">
        <v>2204</v>
      </c>
      <c r="D770" s="515" t="s">
        <v>1000</v>
      </c>
      <c r="E770" s="91" t="str">
        <f>Main_Parameters!$C$183</f>
        <v>0CA8</v>
      </c>
      <c r="F770" s="97"/>
      <c r="G770"/>
      <c r="H770"/>
      <c r="I770"/>
      <c r="J770"/>
      <c r="K770"/>
      <c r="L770"/>
      <c r="M770"/>
      <c r="N770"/>
      <c r="O770"/>
      <c r="P770"/>
      <c r="Q770"/>
      <c r="R770"/>
      <c r="S770"/>
      <c r="T770"/>
      <c r="U770"/>
      <c r="V770"/>
      <c r="W770"/>
      <c r="BF770" s="65"/>
      <c r="BG770" s="65"/>
      <c r="BH770" s="65"/>
      <c r="BI770" s="65"/>
      <c r="BJ770" s="65"/>
      <c r="BK770" s="65"/>
      <c r="BL770" s="65"/>
      <c r="BM770" s="65"/>
      <c r="BN770" s="65"/>
      <c r="BO770" s="65"/>
      <c r="BP770" s="65"/>
      <c r="BQ770" s="65"/>
      <c r="BR770" s="65"/>
      <c r="BS770" s="65"/>
    </row>
    <row r="771" spans="1:71" s="64" customFormat="1">
      <c r="A771" s="65"/>
      <c r="B771" s="84" t="s">
        <v>1032</v>
      </c>
      <c r="C771" s="163" t="s">
        <v>1846</v>
      </c>
      <c r="D771" s="164"/>
      <c r="E771" s="165"/>
      <c r="F771" s="87"/>
      <c r="G771"/>
      <c r="H771" s="65"/>
      <c r="I771" s="65"/>
      <c r="J771" s="65"/>
      <c r="K771" s="65"/>
      <c r="L771" s="65"/>
      <c r="M771" s="65"/>
      <c r="N771" s="65"/>
      <c r="O771" s="65"/>
      <c r="P771" s="65"/>
      <c r="Q771"/>
      <c r="R771"/>
      <c r="S771"/>
      <c r="T771"/>
      <c r="U771"/>
      <c r="V771"/>
      <c r="W771"/>
      <c r="X771" s="131"/>
      <c r="AH771" s="131"/>
      <c r="BF771" s="65"/>
      <c r="BG771" s="65"/>
      <c r="BH771" s="65"/>
      <c r="BI771" s="65"/>
      <c r="BJ771" s="65"/>
      <c r="BK771" s="65"/>
      <c r="BL771" s="65"/>
      <c r="BM771" s="65"/>
      <c r="BN771" s="65"/>
      <c r="BO771" s="65"/>
      <c r="BP771" s="65"/>
      <c r="BQ771" s="65"/>
      <c r="BR771" s="65"/>
      <c r="BS771" s="65"/>
    </row>
    <row r="772" spans="1:71" s="64" customFormat="1">
      <c r="A772" s="65"/>
      <c r="B772" s="88" t="s">
        <v>1035</v>
      </c>
      <c r="C772" s="188" t="s">
        <v>1635</v>
      </c>
      <c r="D772" s="514" t="s">
        <v>1636</v>
      </c>
      <c r="E772" s="514" t="s">
        <v>1042</v>
      </c>
      <c r="F772" s="92" t="s">
        <v>1637</v>
      </c>
      <c r="G772"/>
      <c r="H772" s="65"/>
      <c r="I772" s="65"/>
      <c r="J772" s="65"/>
      <c r="K772" s="65"/>
      <c r="L772" s="65"/>
      <c r="M772" s="65"/>
      <c r="N772" s="65"/>
      <c r="O772" s="65"/>
      <c r="P772" s="65"/>
      <c r="Q772"/>
      <c r="R772"/>
      <c r="S772"/>
      <c r="T772"/>
      <c r="U772"/>
      <c r="V772"/>
      <c r="W772"/>
      <c r="X772" s="131"/>
      <c r="AH772" s="131"/>
      <c r="BF772" s="65"/>
      <c r="BG772" s="65"/>
      <c r="BH772" s="65"/>
      <c r="BI772" s="65"/>
      <c r="BJ772" s="65"/>
      <c r="BK772" s="65"/>
      <c r="BL772" s="65"/>
      <c r="BM772" s="65"/>
      <c r="BN772" s="65"/>
      <c r="BO772" s="65"/>
      <c r="BP772" s="65"/>
      <c r="BQ772" s="65"/>
      <c r="BR772" s="65"/>
      <c r="BS772" s="65"/>
    </row>
    <row r="773" spans="1:71" s="64" customFormat="1">
      <c r="A773" s="65"/>
      <c r="B773" s="88" t="s">
        <v>1035</v>
      </c>
      <c r="C773" s="98" t="s">
        <v>1638</v>
      </c>
      <c r="D773" s="513" t="s">
        <v>1639</v>
      </c>
      <c r="E773" s="514" t="s">
        <v>1042</v>
      </c>
      <c r="F773" s="92" t="s">
        <v>1637</v>
      </c>
      <c r="G773"/>
      <c r="H773" s="65"/>
      <c r="I773" s="65"/>
      <c r="J773" s="65"/>
      <c r="K773" s="65"/>
      <c r="L773" s="65"/>
      <c r="M773" s="65"/>
      <c r="N773" s="65"/>
      <c r="O773" s="65"/>
      <c r="P773" s="65"/>
      <c r="Q773"/>
      <c r="R773"/>
      <c r="S773"/>
      <c r="T773"/>
      <c r="U773"/>
      <c r="V773"/>
      <c r="W773"/>
      <c r="X773" s="131"/>
      <c r="AH773" s="131"/>
      <c r="BF773" s="65"/>
      <c r="BG773" s="65"/>
      <c r="BH773" s="65"/>
      <c r="BI773" s="65"/>
      <c r="BJ773" s="65"/>
      <c r="BK773" s="65"/>
      <c r="BL773" s="65"/>
      <c r="BM773" s="65"/>
      <c r="BN773" s="65"/>
      <c r="BO773" s="65"/>
      <c r="BP773" s="65"/>
      <c r="BQ773" s="65"/>
      <c r="BR773" s="65"/>
      <c r="BS773" s="65"/>
    </row>
    <row r="774" spans="1:71" s="64" customFormat="1">
      <c r="A774" s="65"/>
      <c r="B774" s="88" t="s">
        <v>1035</v>
      </c>
      <c r="C774" s="98" t="s">
        <v>1640</v>
      </c>
      <c r="D774" s="513" t="s">
        <v>1641</v>
      </c>
      <c r="E774" s="514" t="s">
        <v>1042</v>
      </c>
      <c r="F774" s="92" t="s">
        <v>1637</v>
      </c>
      <c r="G774"/>
      <c r="H774" s="65"/>
      <c r="I774" s="65"/>
      <c r="J774" s="65"/>
      <c r="K774" s="65"/>
      <c r="L774" s="65"/>
      <c r="M774" s="65"/>
      <c r="N774" s="65"/>
      <c r="O774" s="65"/>
      <c r="P774" s="65"/>
      <c r="Q774"/>
      <c r="R774"/>
      <c r="S774"/>
      <c r="T774"/>
      <c r="U774"/>
      <c r="V774"/>
      <c r="W774"/>
      <c r="X774" s="131"/>
      <c r="AH774" s="131"/>
      <c r="BF774" s="65"/>
      <c r="BG774" s="65"/>
      <c r="BH774" s="65"/>
      <c r="BI774" s="65"/>
      <c r="BJ774" s="65"/>
      <c r="BK774" s="65"/>
      <c r="BL774" s="65"/>
      <c r="BM774" s="65"/>
      <c r="BN774" s="65"/>
      <c r="BO774" s="65"/>
      <c r="BP774" s="65"/>
      <c r="BQ774" s="65"/>
      <c r="BR774" s="65"/>
      <c r="BS774" s="65"/>
    </row>
    <row r="775" spans="1:71" s="64" customFormat="1">
      <c r="A775" s="65"/>
      <c r="B775" s="88" t="s">
        <v>1035</v>
      </c>
      <c r="C775" s="98" t="s">
        <v>1642</v>
      </c>
      <c r="D775" s="513" t="s">
        <v>1643</v>
      </c>
      <c r="E775" s="514" t="s">
        <v>1042</v>
      </c>
      <c r="F775" s="92" t="s">
        <v>1637</v>
      </c>
      <c r="G775"/>
      <c r="H775" s="65"/>
      <c r="I775" s="65"/>
      <c r="J775" s="65"/>
      <c r="K775" s="65"/>
      <c r="L775" s="65"/>
      <c r="M775" s="65"/>
      <c r="N775" s="65"/>
      <c r="O775" s="65"/>
      <c r="P775" s="65"/>
      <c r="Q775"/>
      <c r="R775"/>
      <c r="S775"/>
      <c r="T775"/>
      <c r="U775"/>
      <c r="V775"/>
      <c r="W775"/>
      <c r="X775" s="131"/>
      <c r="AH775" s="131"/>
      <c r="BF775" s="65"/>
      <c r="BG775" s="65"/>
      <c r="BH775" s="65"/>
      <c r="BI775" s="65"/>
      <c r="BJ775" s="65"/>
      <c r="BK775" s="65"/>
      <c r="BL775" s="65"/>
      <c r="BM775" s="65"/>
      <c r="BN775" s="65"/>
      <c r="BO775" s="65"/>
      <c r="BP775" s="65"/>
      <c r="BQ775" s="65"/>
      <c r="BR775" s="65"/>
      <c r="BS775" s="65"/>
    </row>
    <row r="776" spans="1:71" s="64" customFormat="1">
      <c r="A776" s="65"/>
      <c r="B776" s="88" t="s">
        <v>1035</v>
      </c>
      <c r="C776" s="98" t="s">
        <v>1644</v>
      </c>
      <c r="D776" s="513" t="s">
        <v>1645</v>
      </c>
      <c r="E776" s="514" t="s">
        <v>1042</v>
      </c>
      <c r="F776" s="92" t="s">
        <v>1637</v>
      </c>
      <c r="G776"/>
      <c r="H776" s="65"/>
      <c r="I776" s="65"/>
      <c r="J776" s="65"/>
      <c r="K776" s="65"/>
      <c r="L776" s="65"/>
      <c r="M776" s="65"/>
      <c r="N776" s="65"/>
      <c r="O776" s="65"/>
      <c r="P776" s="65"/>
      <c r="Q776"/>
      <c r="R776"/>
      <c r="S776"/>
      <c r="T776"/>
      <c r="U776"/>
      <c r="V776"/>
      <c r="W776"/>
      <c r="X776" s="131"/>
      <c r="AH776" s="131"/>
      <c r="BF776" s="65"/>
      <c r="BG776" s="65"/>
      <c r="BH776" s="65"/>
      <c r="BI776" s="65"/>
      <c r="BJ776" s="65"/>
      <c r="BK776" s="65"/>
      <c r="BL776" s="65"/>
      <c r="BM776" s="65"/>
      <c r="BN776" s="65"/>
      <c r="BO776" s="65"/>
      <c r="BP776" s="65"/>
      <c r="BQ776" s="65"/>
      <c r="BR776" s="65"/>
      <c r="BS776" s="65"/>
    </row>
    <row r="777" spans="1:71" s="64" customFormat="1">
      <c r="A777" s="65"/>
      <c r="B777" s="88" t="s">
        <v>1035</v>
      </c>
      <c r="C777" s="98" t="s">
        <v>1646</v>
      </c>
      <c r="D777" s="513" t="s">
        <v>1647</v>
      </c>
      <c r="E777" s="514" t="s">
        <v>1042</v>
      </c>
      <c r="F777" s="92" t="s">
        <v>1637</v>
      </c>
      <c r="G777"/>
      <c r="H777" s="65"/>
      <c r="I777" s="65"/>
      <c r="J777" s="65"/>
      <c r="K777" s="65"/>
      <c r="L777" s="65"/>
      <c r="M777" s="65"/>
      <c r="N777" s="65"/>
      <c r="O777" s="65"/>
      <c r="P777" s="65"/>
      <c r="Q777"/>
      <c r="R777"/>
      <c r="S777"/>
      <c r="T777"/>
      <c r="U777"/>
      <c r="V777"/>
      <c r="W777"/>
      <c r="X777" s="131"/>
      <c r="AH777" s="131"/>
      <c r="BF777" s="65"/>
      <c r="BG777" s="65"/>
      <c r="BH777" s="65"/>
      <c r="BI777" s="65"/>
      <c r="BJ777" s="65"/>
      <c r="BK777" s="65"/>
      <c r="BL777" s="65"/>
      <c r="BM777" s="65"/>
      <c r="BN777" s="65"/>
      <c r="BO777" s="65"/>
      <c r="BP777" s="65"/>
      <c r="BQ777" s="65"/>
      <c r="BR777" s="65"/>
      <c r="BS777" s="65"/>
    </row>
    <row r="778" spans="1:71" s="64" customFormat="1">
      <c r="A778" s="65"/>
      <c r="B778" s="88" t="s">
        <v>1622</v>
      </c>
      <c r="C778" s="98" t="s">
        <v>1648</v>
      </c>
      <c r="D778" s="513" t="s">
        <v>1649</v>
      </c>
      <c r="E778" s="514" t="s">
        <v>1633</v>
      </c>
      <c r="F778" s="92" t="s">
        <v>1637</v>
      </c>
      <c r="G778"/>
      <c r="H778" s="65"/>
      <c r="I778" s="65"/>
      <c r="J778" s="65"/>
      <c r="K778" s="65"/>
      <c r="L778" s="65"/>
      <c r="M778" s="65"/>
      <c r="N778" s="65"/>
      <c r="O778" s="65"/>
      <c r="P778" s="65"/>
      <c r="Q778"/>
      <c r="R778"/>
      <c r="S778"/>
      <c r="T778"/>
      <c r="U778"/>
      <c r="V778"/>
      <c r="W778"/>
      <c r="X778" s="131"/>
      <c r="AH778" s="131"/>
      <c r="BF778" s="65"/>
      <c r="BG778" s="65"/>
      <c r="BH778" s="65"/>
      <c r="BI778" s="65"/>
      <c r="BJ778" s="65"/>
      <c r="BK778" s="65"/>
      <c r="BL778" s="65"/>
      <c r="BM778" s="65"/>
      <c r="BN778" s="65"/>
      <c r="BO778" s="65"/>
      <c r="BP778" s="65"/>
      <c r="BQ778" s="65"/>
      <c r="BR778" s="65"/>
      <c r="BS778" s="65"/>
    </row>
    <row r="779" spans="1:71" s="64" customFormat="1">
      <c r="A779" s="65"/>
      <c r="B779" s="101" t="str">
        <f>IF(G779="Disable","REMnd","WR16")</f>
        <v>WR16</v>
      </c>
      <c r="C779" s="94" t="s">
        <v>1631</v>
      </c>
      <c r="D779" s="513" t="s">
        <v>1632</v>
      </c>
      <c r="E779" s="91" t="str">
        <f>DEC2HEX(Y779*2^31+Z779*2^30+AA779*2^29+AB779*2^28+AC779*2^27+AD779*2^26+AE779*2^25+AF779*2^24+AG779*2^23+AH779*2^22+AI779*2^21+AJ779*2^20+AK779*2^19+AL779*2^18+AM779*2^17+AN779*2^16+AO779*2^15+AP779*2^14+AQ779*2^13+AR779*2^12+AS779*2^11+AT779*2^10+AU779*2^9+AV779*2^8+AW779*2^7+AX779*2^6+AY779*2^5+AZ779*2^4+BA779*2^3+BB779*2^2+BC779*2^1+BD779*2^0,4)</f>
        <v>0D3F</v>
      </c>
      <c r="F779" s="97" t="s">
        <v>1890</v>
      </c>
      <c r="G779" s="104" t="s">
        <v>721</v>
      </c>
      <c r="H779" s="178" t="s">
        <v>1848</v>
      </c>
      <c r="I779" s="178" t="s">
        <v>1849</v>
      </c>
      <c r="J779" s="178" t="s">
        <v>1850</v>
      </c>
      <c r="K779" s="178" t="s">
        <v>1851</v>
      </c>
      <c r="L779" s="104" t="s">
        <v>1852</v>
      </c>
      <c r="M779" s="104" t="s">
        <v>1853</v>
      </c>
      <c r="N779" s="104" t="s">
        <v>1891</v>
      </c>
      <c r="O779" s="104" t="s">
        <v>1855</v>
      </c>
      <c r="P779" s="178" t="s">
        <v>1714</v>
      </c>
      <c r="Q779" s="178" t="s">
        <v>1715</v>
      </c>
      <c r="R779" s="104" t="s">
        <v>1892</v>
      </c>
      <c r="S779" s="104" t="s">
        <v>1857</v>
      </c>
      <c r="T779" s="104" t="s">
        <v>1858</v>
      </c>
      <c r="U779" s="104" t="s">
        <v>1859</v>
      </c>
      <c r="V779" s="104" t="s">
        <v>1860</v>
      </c>
      <c r="W779" s="104" t="s">
        <v>1861</v>
      </c>
      <c r="X779" s="131"/>
      <c r="Y779" s="64">
        <v>0</v>
      </c>
      <c r="Z779" s="64">
        <v>0</v>
      </c>
      <c r="AA779" s="64">
        <v>0</v>
      </c>
      <c r="AB779" s="64">
        <v>0</v>
      </c>
      <c r="AC779" s="64">
        <v>0</v>
      </c>
      <c r="AD779" s="64">
        <v>0</v>
      </c>
      <c r="AE779" s="64">
        <v>0</v>
      </c>
      <c r="AF779" s="64">
        <v>0</v>
      </c>
      <c r="AG779" s="64">
        <v>0</v>
      </c>
      <c r="AH779" s="131">
        <v>0</v>
      </c>
      <c r="AI779" s="64">
        <v>0</v>
      </c>
      <c r="AJ779" s="64">
        <v>0</v>
      </c>
      <c r="AK779" s="64">
        <v>0</v>
      </c>
      <c r="AL779" s="64">
        <v>0</v>
      </c>
      <c r="AM779" s="64">
        <v>0</v>
      </c>
      <c r="AN779" s="64">
        <v>0</v>
      </c>
      <c r="AO779" s="64">
        <v>0</v>
      </c>
      <c r="AP779" s="64">
        <v>0</v>
      </c>
      <c r="AQ779" s="64">
        <v>0</v>
      </c>
      <c r="AR779" s="64">
        <v>0</v>
      </c>
      <c r="AS779" s="64">
        <f>IF(L779="DSITX1 Enb",0,1)</f>
        <v>1</v>
      </c>
      <c r="AT779" s="64">
        <f>IF(M779="AMUTE Enb",0,1)</f>
        <v>1</v>
      </c>
      <c r="AU779" s="64">
        <f>IF(N779="HDMI Enb",0,1)</f>
        <v>0</v>
      </c>
      <c r="AV779" s="64">
        <f>IF(O779="DSITX0 Enb",0,1)</f>
        <v>1</v>
      </c>
      <c r="AW779" s="64">
        <v>0</v>
      </c>
      <c r="AX779" s="64">
        <v>0</v>
      </c>
      <c r="AY779" s="64">
        <f>IF(R779="SYS Enb",0,1)</f>
        <v>1</v>
      </c>
      <c r="AZ779" s="64">
        <f>IF(S779="CEC-Er Enb",0,1)</f>
        <v>1</v>
      </c>
      <c r="BA779" s="64">
        <f>IF(T779="CEC-TX Enb",0,1)</f>
        <v>1</v>
      </c>
      <c r="BB779" s="64">
        <f>IF(U779="CEC-RX Enb",0,1)</f>
        <v>1</v>
      </c>
      <c r="BC779" s="64">
        <f>IF(V779="IR_Er Enb",0,1)</f>
        <v>1</v>
      </c>
      <c r="BD779" s="64">
        <f>IF(W779="IR_Dat Enb",0,1)</f>
        <v>1</v>
      </c>
      <c r="BF779" s="65"/>
      <c r="BG779" s="65"/>
      <c r="BH779" s="65"/>
      <c r="BI779" s="65"/>
      <c r="BJ779" s="65"/>
      <c r="BK779" s="65"/>
      <c r="BL779" s="65"/>
      <c r="BM779" s="65"/>
      <c r="BN779" s="65"/>
      <c r="BO779" s="65"/>
      <c r="BP779" s="65"/>
      <c r="BQ779" s="65"/>
      <c r="BR779" s="65"/>
      <c r="BS779" s="65"/>
    </row>
    <row r="780" spans="1:71">
      <c r="B780" s="84" t="s">
        <v>1032</v>
      </c>
      <c r="C780" s="163" t="s">
        <v>2205</v>
      </c>
      <c r="D780" s="164"/>
      <c r="E780" s="165"/>
      <c r="F780" s="87"/>
      <c r="G780"/>
      <c r="H780"/>
      <c r="I780"/>
      <c r="J780"/>
      <c r="K780"/>
      <c r="L780"/>
      <c r="M780"/>
      <c r="N780"/>
      <c r="O780"/>
      <c r="P780"/>
      <c r="Q780"/>
      <c r="R780"/>
      <c r="S780"/>
      <c r="T780"/>
      <c r="U780"/>
      <c r="V780"/>
      <c r="W780"/>
    </row>
    <row r="781" spans="1:71">
      <c r="B781" s="93" t="s">
        <v>1622</v>
      </c>
      <c r="C781" s="89" t="s">
        <v>1623</v>
      </c>
      <c r="D781" s="510" t="s">
        <v>954</v>
      </c>
      <c r="E781" s="91" t="str">
        <f>Main_Parameters!$C$119</f>
        <v>0C37</v>
      </c>
      <c r="F781" s="97"/>
      <c r="G781"/>
      <c r="H781"/>
      <c r="I781"/>
      <c r="J781"/>
      <c r="K781"/>
      <c r="L781"/>
      <c r="M781"/>
      <c r="N781"/>
      <c r="O781"/>
      <c r="P781"/>
      <c r="Q781"/>
      <c r="R781"/>
      <c r="S781"/>
      <c r="T781"/>
      <c r="U781"/>
      <c r="V781"/>
      <c r="W781"/>
    </row>
    <row r="782" spans="1:71">
      <c r="B782" s="93" t="s">
        <v>1622</v>
      </c>
      <c r="C782" s="89" t="s">
        <v>1629</v>
      </c>
      <c r="D782" s="510" t="s">
        <v>955</v>
      </c>
      <c r="E782" s="512" t="str">
        <f>Main_Parameters!$C$121</f>
        <v>0000</v>
      </c>
      <c r="F782" s="97"/>
      <c r="G782"/>
      <c r="H782"/>
      <c r="I782" s="109"/>
    </row>
    <row r="783" spans="1:71">
      <c r="B783" s="141" t="s">
        <v>1032</v>
      </c>
      <c r="C783" s="142" t="s">
        <v>2206</v>
      </c>
      <c r="D783" s="143"/>
      <c r="E783" s="144"/>
      <c r="F783" s="145"/>
      <c r="G783"/>
      <c r="H783"/>
      <c r="I783"/>
      <c r="J783"/>
      <c r="K783"/>
      <c r="L783"/>
      <c r="M783"/>
      <c r="N783"/>
      <c r="O783"/>
      <c r="P783"/>
      <c r="Q783"/>
      <c r="R783"/>
      <c r="S783"/>
      <c r="T783"/>
      <c r="U783"/>
    </row>
    <row r="784" spans="1:71" ht="15">
      <c r="B784" s="93" t="s">
        <v>2207</v>
      </c>
      <c r="C784" s="102" t="s">
        <v>2134</v>
      </c>
      <c r="D784" s="515" t="s">
        <v>958</v>
      </c>
      <c r="E784" s="91" t="str">
        <f>DEC2HEX(Y784*2^31+Z784*2^30+AA784*2^29+AB784*2^28+AC784*2^27+AD784*2^26+AE784*2^25+AF784*2^24+AG784*2^23+AH784*2^22+AI784*2^21+AJ784*2^20+AK784*2^19+AL784*2^18+AM784*2^17+AN784*2^16+AO784*2^15+AP784*2^14+AQ784*2^13+AR784*2^12+AS784*2^11+AT784*2^10+AU784*2^9+AV784*2^8+AW784*2^7+AX784*2^6+AY784*2^5+AZ784*2^4+BA784*2^3+BB784*2^2+BC784*2^1+BD784*2^0,8)</f>
        <v>00000006</v>
      </c>
      <c r="F784" s="92"/>
      <c r="G784"/>
      <c r="H784" s="103"/>
      <c r="I784" s="110"/>
      <c r="J784" s="110"/>
      <c r="K784" s="110"/>
      <c r="L784" s="110"/>
      <c r="M784" s="111"/>
      <c r="N784" s="106" t="s">
        <v>2135</v>
      </c>
      <c r="O784" s="54" t="s">
        <v>828</v>
      </c>
      <c r="P784" s="106"/>
      <c r="Q784" s="153"/>
      <c r="R784" s="112" t="s">
        <v>2137</v>
      </c>
      <c r="S784" s="159" t="s">
        <v>1305</v>
      </c>
      <c r="T784" s="112" t="s">
        <v>2138</v>
      </c>
      <c r="U784" s="159" t="s">
        <v>1305</v>
      </c>
      <c r="V784" s="107"/>
      <c r="W784" s="112"/>
      <c r="X784" s="131"/>
      <c r="Y784" s="64">
        <v>0</v>
      </c>
      <c r="Z784" s="64">
        <v>0</v>
      </c>
      <c r="AA784" s="64">
        <v>0</v>
      </c>
      <c r="AB784" s="64">
        <v>0</v>
      </c>
      <c r="AC784" s="64">
        <v>0</v>
      </c>
      <c r="AD784" s="64">
        <v>0</v>
      </c>
      <c r="AE784" s="64">
        <v>0</v>
      </c>
      <c r="AF784" s="64">
        <v>0</v>
      </c>
      <c r="AG784" s="64">
        <v>0</v>
      </c>
      <c r="AH784" s="64">
        <v>0</v>
      </c>
      <c r="AI784" s="64">
        <v>0</v>
      </c>
      <c r="AJ784" s="64">
        <v>0</v>
      </c>
      <c r="AK784" s="64">
        <v>0</v>
      </c>
      <c r="AL784" s="64">
        <v>0</v>
      </c>
      <c r="AM784" s="64">
        <v>0</v>
      </c>
      <c r="AN784" s="64">
        <v>0</v>
      </c>
      <c r="AO784" s="64">
        <v>0</v>
      </c>
      <c r="AP784" s="64">
        <v>0</v>
      </c>
      <c r="AQ784" s="64">
        <v>0</v>
      </c>
      <c r="AR784" s="64">
        <v>0</v>
      </c>
      <c r="AS784" s="64">
        <v>0</v>
      </c>
      <c r="AT784" s="64">
        <v>0</v>
      </c>
      <c r="AU784" s="64">
        <v>0</v>
      </c>
      <c r="AV784" s="64">
        <v>0</v>
      </c>
      <c r="AW784" s="64">
        <v>0</v>
      </c>
      <c r="AX784" s="64">
        <v>0</v>
      </c>
      <c r="AY784" s="64">
        <v>0</v>
      </c>
      <c r="AZ784" s="64">
        <f>IF(O784="LP",1,0)</f>
        <v>0</v>
      </c>
      <c r="BA784" s="64">
        <v>0</v>
      </c>
      <c r="BB784" s="64">
        <f>IF(S784="H Active",0,1)</f>
        <v>1</v>
      </c>
      <c r="BC784" s="64">
        <f>IF(U784="H Active",0,1)</f>
        <v>1</v>
      </c>
      <c r="BD784" s="64">
        <v>0</v>
      </c>
      <c r="BE784" s="131"/>
    </row>
    <row r="785" spans="1:71" ht="15">
      <c r="B785" s="93" t="s">
        <v>2207</v>
      </c>
      <c r="C785" s="102" t="s">
        <v>2134</v>
      </c>
      <c r="D785" s="515" t="s">
        <v>977</v>
      </c>
      <c r="E785" s="91" t="str">
        <f>DEC2HEX(Y785*2^31+Z785*2^30+AA785*2^29+AB785*2^28+AC785*2^27+AD785*2^26+AE785*2^25+AF785*2^24+AG785*2^23+AH785*2^22+AI785*2^21+AJ785*2^20+AK785*2^19+AL785*2^18+AM785*2^17+AN785*2^16+AO785*2^15+AP785*2^14+AQ785*2^13+AR785*2^12+AS785*2^11+AT785*2^10+AU785*2^9+AV785*2^8+AW785*2^7+AX785*2^6+AY785*2^5+AZ785*2^4+BA785*2^3+BB785*2^2+BC785*2^1+BD785*2^0,8)</f>
        <v>00000006</v>
      </c>
      <c r="F785" s="92"/>
      <c r="G785"/>
      <c r="H785" s="103"/>
      <c r="I785" s="110"/>
      <c r="J785" s="110"/>
      <c r="K785" s="110"/>
      <c r="L785" s="110"/>
      <c r="M785" s="111"/>
      <c r="N785" s="112" t="s">
        <v>2135</v>
      </c>
      <c r="O785" s="154" t="s">
        <v>828</v>
      </c>
      <c r="P785" s="106"/>
      <c r="Q785" s="114"/>
      <c r="R785" s="112" t="s">
        <v>2137</v>
      </c>
      <c r="S785" s="159" t="s">
        <v>1305</v>
      </c>
      <c r="T785" s="112" t="s">
        <v>2138</v>
      </c>
      <c r="U785" s="159" t="s">
        <v>1305</v>
      </c>
      <c r="V785" s="107"/>
      <c r="W785" s="112"/>
      <c r="X785" s="131"/>
      <c r="Y785" s="64">
        <v>0</v>
      </c>
      <c r="Z785" s="64">
        <v>0</v>
      </c>
      <c r="AA785" s="64">
        <v>0</v>
      </c>
      <c r="AB785" s="64">
        <v>0</v>
      </c>
      <c r="AC785" s="64">
        <v>0</v>
      </c>
      <c r="AD785" s="64">
        <v>0</v>
      </c>
      <c r="AE785" s="64">
        <v>0</v>
      </c>
      <c r="AF785" s="64">
        <v>0</v>
      </c>
      <c r="AG785" s="64">
        <v>0</v>
      </c>
      <c r="AH785" s="64">
        <v>0</v>
      </c>
      <c r="AI785" s="64">
        <v>0</v>
      </c>
      <c r="AJ785" s="64">
        <v>0</v>
      </c>
      <c r="AK785" s="64">
        <v>0</v>
      </c>
      <c r="AL785" s="64">
        <v>0</v>
      </c>
      <c r="AM785" s="64">
        <v>0</v>
      </c>
      <c r="AN785" s="64">
        <v>0</v>
      </c>
      <c r="AO785" s="64">
        <v>0</v>
      </c>
      <c r="AP785" s="64">
        <v>0</v>
      </c>
      <c r="AQ785" s="64">
        <v>0</v>
      </c>
      <c r="AR785" s="64">
        <v>0</v>
      </c>
      <c r="AS785" s="64">
        <v>0</v>
      </c>
      <c r="AT785" s="64">
        <v>0</v>
      </c>
      <c r="AU785" s="64">
        <v>0</v>
      </c>
      <c r="AV785" s="64">
        <v>0</v>
      </c>
      <c r="AW785" s="64">
        <v>0</v>
      </c>
      <c r="AX785" s="64">
        <v>0</v>
      </c>
      <c r="AY785" s="64">
        <v>0</v>
      </c>
      <c r="AZ785" s="64">
        <f>IF(O785="LP",1,0)</f>
        <v>0</v>
      </c>
      <c r="BA785" s="64">
        <v>0</v>
      </c>
      <c r="BB785" s="64">
        <f>IF(S785="H Active",0,1)</f>
        <v>1</v>
      </c>
      <c r="BC785" s="64">
        <f>IF(U785="H Active",0,1)</f>
        <v>1</v>
      </c>
      <c r="BD785" s="64">
        <v>0</v>
      </c>
      <c r="BE785" s="131"/>
    </row>
    <row r="786" spans="1:71" outlineLevel="1">
      <c r="B786" s="148" t="s">
        <v>1872</v>
      </c>
      <c r="C786" s="149"/>
      <c r="D786" s="151">
        <v>32000</v>
      </c>
      <c r="E786" s="151"/>
      <c r="F786" s="152"/>
      <c r="G786"/>
      <c r="H786"/>
      <c r="I786"/>
      <c r="J786"/>
      <c r="K786"/>
      <c r="L786"/>
      <c r="M786"/>
      <c r="N786"/>
      <c r="O786"/>
      <c r="P786"/>
      <c r="Q786"/>
      <c r="R786"/>
      <c r="S786"/>
      <c r="T786"/>
      <c r="U786"/>
      <c r="V786"/>
      <c r="W786"/>
    </row>
    <row r="787" spans="1:71" outlineLevel="1">
      <c r="B787" s="148" t="s">
        <v>1032</v>
      </c>
      <c r="C787" s="149" t="s">
        <v>2167</v>
      </c>
      <c r="D787" s="150"/>
      <c r="E787" s="151"/>
      <c r="F787" s="152"/>
      <c r="G787"/>
      <c r="H787"/>
      <c r="I787"/>
      <c r="J787"/>
      <c r="K787"/>
      <c r="L787"/>
      <c r="M787"/>
      <c r="N787"/>
      <c r="O787"/>
      <c r="P787"/>
      <c r="Q787"/>
      <c r="R787"/>
      <c r="S787"/>
      <c r="T787"/>
      <c r="U787"/>
      <c r="V787"/>
      <c r="W787"/>
    </row>
    <row r="788" spans="1:71" outlineLevel="1">
      <c r="B788" s="148" t="s">
        <v>1622</v>
      </c>
      <c r="C788" s="149" t="s">
        <v>2141</v>
      </c>
      <c r="D788" s="517" t="s">
        <v>2142</v>
      </c>
      <c r="E788" s="518" t="s">
        <v>2168</v>
      </c>
      <c r="F788" s="152"/>
      <c r="G788"/>
      <c r="H788"/>
      <c r="I788"/>
      <c r="J788"/>
      <c r="K788"/>
      <c r="L788"/>
      <c r="M788"/>
      <c r="N788"/>
      <c r="O788"/>
      <c r="P788"/>
      <c r="Q788"/>
      <c r="R788"/>
      <c r="S788"/>
      <c r="T788"/>
      <c r="U788"/>
      <c r="V788"/>
      <c r="W788"/>
    </row>
    <row r="789" spans="1:71" outlineLevel="1">
      <c r="B789" s="148" t="s">
        <v>1622</v>
      </c>
      <c r="C789" s="149" t="s">
        <v>2141</v>
      </c>
      <c r="D789" s="517" t="s">
        <v>2142</v>
      </c>
      <c r="E789" s="518" t="s">
        <v>2169</v>
      </c>
      <c r="F789" s="152"/>
      <c r="G789"/>
      <c r="H789"/>
      <c r="I789"/>
      <c r="J789"/>
      <c r="K789"/>
      <c r="L789"/>
      <c r="M789"/>
      <c r="N789"/>
      <c r="O789"/>
      <c r="P789"/>
      <c r="Q789"/>
      <c r="R789"/>
      <c r="S789"/>
      <c r="T789"/>
      <c r="U789"/>
      <c r="V789"/>
      <c r="W789"/>
    </row>
    <row r="790" spans="1:71" s="64" customFormat="1" outlineLevel="1">
      <c r="A790" s="65"/>
      <c r="B790" s="148" t="s">
        <v>1872</v>
      </c>
      <c r="C790" s="149"/>
      <c r="D790" s="151">
        <v>32000</v>
      </c>
      <c r="E790" s="151"/>
      <c r="F790" s="152"/>
      <c r="G790"/>
      <c r="H790"/>
      <c r="I790"/>
      <c r="J790"/>
      <c r="K790"/>
      <c r="L790"/>
      <c r="M790"/>
      <c r="N790"/>
      <c r="O790"/>
      <c r="P790"/>
      <c r="Q790"/>
      <c r="R790"/>
      <c r="S790"/>
      <c r="T790"/>
      <c r="U790"/>
      <c r="V790"/>
      <c r="W790"/>
      <c r="BF790" s="65"/>
      <c r="BG790" s="65"/>
      <c r="BH790" s="65"/>
      <c r="BI790" s="65"/>
      <c r="BJ790" s="65"/>
      <c r="BK790" s="65"/>
      <c r="BL790" s="65"/>
      <c r="BM790" s="65"/>
      <c r="BN790" s="65"/>
      <c r="BO790" s="65"/>
      <c r="BP790" s="65"/>
      <c r="BQ790" s="65"/>
      <c r="BR790" s="65"/>
      <c r="BS790" s="65"/>
    </row>
    <row r="791" spans="1:71" s="64" customFormat="1" outlineLevel="1">
      <c r="A791" s="65"/>
      <c r="B791" s="148" t="s">
        <v>1032</v>
      </c>
      <c r="C791" s="149" t="s">
        <v>2208</v>
      </c>
      <c r="D791" s="150"/>
      <c r="E791" s="151"/>
      <c r="F791" s="152"/>
      <c r="G791"/>
      <c r="H791"/>
      <c r="I791"/>
      <c r="J791"/>
      <c r="K791"/>
      <c r="L791"/>
      <c r="M791"/>
      <c r="N791"/>
      <c r="O791"/>
      <c r="P791"/>
      <c r="Q791"/>
      <c r="R791"/>
      <c r="S791"/>
      <c r="T791"/>
      <c r="U791"/>
      <c r="V791"/>
      <c r="W791"/>
      <c r="BF791" s="65"/>
      <c r="BG791" s="65"/>
      <c r="BH791" s="65"/>
      <c r="BI791" s="65"/>
      <c r="BJ791" s="65"/>
      <c r="BK791" s="65"/>
      <c r="BL791" s="65"/>
      <c r="BM791" s="65"/>
      <c r="BN791" s="65"/>
      <c r="BO791" s="65"/>
      <c r="BP791" s="65"/>
      <c r="BQ791" s="65"/>
      <c r="BR791" s="65"/>
      <c r="BS791" s="65"/>
    </row>
    <row r="792" spans="1:71" s="64" customFormat="1" outlineLevel="1">
      <c r="A792" s="65"/>
      <c r="B792" s="148" t="s">
        <v>1622</v>
      </c>
      <c r="C792" s="149" t="s">
        <v>2141</v>
      </c>
      <c r="D792" s="517" t="s">
        <v>2142</v>
      </c>
      <c r="E792" s="518" t="s">
        <v>2168</v>
      </c>
      <c r="F792" s="152"/>
      <c r="G792"/>
      <c r="H792"/>
      <c r="I792"/>
      <c r="J792"/>
      <c r="K792"/>
      <c r="L792"/>
      <c r="M792"/>
      <c r="N792"/>
      <c r="O792"/>
      <c r="P792"/>
      <c r="Q792"/>
      <c r="R792"/>
      <c r="S792"/>
      <c r="T792"/>
      <c r="U792"/>
      <c r="V792"/>
      <c r="W792"/>
      <c r="BF792" s="65"/>
      <c r="BG792" s="65"/>
      <c r="BH792" s="65"/>
      <c r="BI792" s="65"/>
      <c r="BJ792" s="65"/>
      <c r="BK792" s="65"/>
      <c r="BL792" s="65"/>
      <c r="BM792" s="65"/>
      <c r="BN792" s="65"/>
      <c r="BO792" s="65"/>
      <c r="BP792" s="65"/>
      <c r="BQ792" s="65"/>
      <c r="BR792" s="65"/>
      <c r="BS792" s="65"/>
    </row>
    <row r="793" spans="1:71" s="64" customFormat="1" outlineLevel="1">
      <c r="A793" s="65"/>
      <c r="B793" s="148" t="s">
        <v>1622</v>
      </c>
      <c r="C793" s="149" t="s">
        <v>2141</v>
      </c>
      <c r="D793" s="517" t="s">
        <v>2142</v>
      </c>
      <c r="E793" s="518" t="s">
        <v>2209</v>
      </c>
      <c r="F793" s="152"/>
      <c r="G793"/>
      <c r="H793"/>
      <c r="I793"/>
      <c r="J793"/>
      <c r="K793"/>
      <c r="L793"/>
      <c r="M793"/>
      <c r="N793"/>
      <c r="O793"/>
      <c r="P793"/>
      <c r="Q793"/>
      <c r="R793"/>
      <c r="S793"/>
      <c r="T793"/>
      <c r="U793"/>
      <c r="V793"/>
      <c r="W793"/>
      <c r="BF793" s="65"/>
      <c r="BG793" s="65"/>
      <c r="BH793" s="65"/>
      <c r="BI793" s="65"/>
      <c r="BJ793" s="65"/>
      <c r="BK793" s="65"/>
      <c r="BL793" s="65"/>
      <c r="BM793" s="65"/>
      <c r="BN793" s="65"/>
      <c r="BO793" s="65"/>
      <c r="BP793" s="65"/>
      <c r="BQ793" s="65"/>
      <c r="BR793" s="65"/>
      <c r="BS793" s="65"/>
    </row>
    <row r="794" spans="1:71" s="64" customFormat="1" outlineLevel="1">
      <c r="A794" s="65"/>
      <c r="B794" s="148" t="s">
        <v>1872</v>
      </c>
      <c r="C794" s="149"/>
      <c r="D794" s="151">
        <v>32000</v>
      </c>
      <c r="E794" s="151"/>
      <c r="F794" s="152"/>
      <c r="G794"/>
      <c r="H794"/>
      <c r="I794"/>
      <c r="J794"/>
      <c r="K794"/>
      <c r="L794"/>
      <c r="M794"/>
      <c r="N794"/>
      <c r="O794"/>
      <c r="P794"/>
      <c r="Q794"/>
      <c r="R794"/>
      <c r="S794"/>
      <c r="T794"/>
      <c r="U794"/>
      <c r="V794"/>
      <c r="W794"/>
      <c r="BF794" s="65"/>
      <c r="BG794" s="65"/>
      <c r="BH794" s="65"/>
      <c r="BI794" s="65"/>
      <c r="BJ794" s="65"/>
      <c r="BK794" s="65"/>
      <c r="BL794" s="65"/>
      <c r="BM794" s="65"/>
      <c r="BN794" s="65"/>
      <c r="BO794" s="65"/>
      <c r="BP794" s="65"/>
      <c r="BQ794" s="65"/>
      <c r="BR794" s="65"/>
      <c r="BS794" s="65"/>
    </row>
    <row r="795" spans="1:71" s="64" customFormat="1" outlineLevel="1">
      <c r="A795" s="65"/>
      <c r="B795" s="148" t="s">
        <v>1032</v>
      </c>
      <c r="C795" s="149" t="s">
        <v>2167</v>
      </c>
      <c r="D795" s="150"/>
      <c r="E795" s="151"/>
      <c r="F795" s="152"/>
      <c r="G795"/>
      <c r="H795"/>
      <c r="I795"/>
      <c r="J795"/>
      <c r="K795"/>
      <c r="L795"/>
      <c r="M795"/>
      <c r="N795"/>
      <c r="O795"/>
      <c r="P795"/>
      <c r="Q795"/>
      <c r="R795"/>
      <c r="S795"/>
      <c r="T795"/>
      <c r="U795"/>
      <c r="V795"/>
      <c r="W795"/>
      <c r="BF795" s="65"/>
      <c r="BG795" s="65"/>
      <c r="BH795" s="65"/>
      <c r="BI795" s="65"/>
      <c r="BJ795" s="65"/>
      <c r="BK795" s="65"/>
      <c r="BL795" s="65"/>
      <c r="BM795" s="65"/>
      <c r="BN795" s="65"/>
      <c r="BO795" s="65"/>
      <c r="BP795" s="65"/>
      <c r="BQ795" s="65"/>
      <c r="BR795" s="65"/>
      <c r="BS795" s="65"/>
    </row>
    <row r="796" spans="1:71" s="64" customFormat="1" outlineLevel="1">
      <c r="A796" s="65"/>
      <c r="B796" s="148" t="s">
        <v>1622</v>
      </c>
      <c r="C796" s="149" t="s">
        <v>2141</v>
      </c>
      <c r="D796" s="517" t="s">
        <v>2142</v>
      </c>
      <c r="E796" s="518" t="s">
        <v>2168</v>
      </c>
      <c r="F796" s="152"/>
      <c r="G796"/>
      <c r="H796"/>
      <c r="I796"/>
      <c r="J796"/>
      <c r="K796"/>
      <c r="L796"/>
      <c r="M796"/>
      <c r="N796"/>
      <c r="O796"/>
      <c r="P796"/>
      <c r="Q796"/>
      <c r="R796"/>
      <c r="S796"/>
      <c r="T796"/>
      <c r="U796"/>
      <c r="V796"/>
      <c r="W796"/>
      <c r="BF796" s="65"/>
      <c r="BG796" s="65"/>
      <c r="BH796" s="65"/>
      <c r="BI796" s="65"/>
      <c r="BJ796" s="65"/>
      <c r="BK796" s="65"/>
      <c r="BL796" s="65"/>
      <c r="BM796" s="65"/>
      <c r="BN796" s="65"/>
      <c r="BO796" s="65"/>
      <c r="BP796" s="65"/>
      <c r="BQ796" s="65"/>
      <c r="BR796" s="65"/>
      <c r="BS796" s="65"/>
    </row>
    <row r="797" spans="1:71" s="64" customFormat="1" outlineLevel="1">
      <c r="A797" s="65"/>
      <c r="B797" s="148" t="s">
        <v>1622</v>
      </c>
      <c r="C797" s="149" t="s">
        <v>2141</v>
      </c>
      <c r="D797" s="517" t="s">
        <v>2142</v>
      </c>
      <c r="E797" s="518" t="s">
        <v>2210</v>
      </c>
      <c r="F797" s="152"/>
      <c r="G797"/>
      <c r="H797"/>
      <c r="I797"/>
      <c r="J797"/>
      <c r="K797"/>
      <c r="L797"/>
      <c r="M797"/>
      <c r="N797"/>
      <c r="O797"/>
      <c r="P797"/>
      <c r="Q797"/>
      <c r="R797"/>
      <c r="S797"/>
      <c r="T797"/>
      <c r="U797"/>
      <c r="V797"/>
      <c r="W797"/>
      <c r="BF797" s="65"/>
      <c r="BG797" s="65"/>
      <c r="BH797" s="65"/>
      <c r="BI797" s="65"/>
      <c r="BJ797" s="65"/>
      <c r="BK797" s="65"/>
      <c r="BL797" s="65"/>
      <c r="BM797" s="65"/>
      <c r="BN797" s="65"/>
      <c r="BO797" s="65"/>
      <c r="BP797" s="65"/>
      <c r="BQ797" s="65"/>
      <c r="BR797" s="65"/>
      <c r="BS797" s="65"/>
    </row>
    <row r="798" spans="1:71" s="64" customFormat="1" outlineLevel="1">
      <c r="A798" s="65"/>
      <c r="B798" s="148" t="s">
        <v>1872</v>
      </c>
      <c r="C798" s="149"/>
      <c r="D798" s="151">
        <v>32000</v>
      </c>
      <c r="E798" s="151"/>
      <c r="F798" s="152"/>
      <c r="G798"/>
      <c r="H798"/>
      <c r="I798"/>
      <c r="J798"/>
      <c r="K798"/>
      <c r="L798"/>
      <c r="M798"/>
      <c r="N798"/>
      <c r="O798"/>
      <c r="P798"/>
      <c r="Q798"/>
      <c r="R798"/>
      <c r="S798"/>
      <c r="T798"/>
      <c r="U798"/>
      <c r="V798"/>
      <c r="W798"/>
      <c r="BF798" s="65"/>
      <c r="BG798" s="65"/>
      <c r="BH798" s="65"/>
      <c r="BI798" s="65"/>
      <c r="BJ798" s="65"/>
      <c r="BK798" s="65"/>
      <c r="BL798" s="65"/>
      <c r="BM798" s="65"/>
      <c r="BN798" s="65"/>
      <c r="BO798" s="65"/>
      <c r="BP798" s="65"/>
      <c r="BQ798" s="65"/>
      <c r="BR798" s="65"/>
      <c r="BS798" s="65"/>
    </row>
    <row r="799" spans="1:71" s="64" customFormat="1" outlineLevel="1">
      <c r="A799" s="65"/>
      <c r="B799" s="148" t="s">
        <v>1032</v>
      </c>
      <c r="C799" s="149" t="s">
        <v>2211</v>
      </c>
      <c r="D799" s="150"/>
      <c r="E799" s="151"/>
      <c r="F799" s="152"/>
      <c r="G799"/>
      <c r="H799"/>
      <c r="I799"/>
      <c r="J799"/>
      <c r="K799"/>
      <c r="L799"/>
      <c r="M799"/>
      <c r="N799"/>
      <c r="O799"/>
      <c r="P799"/>
      <c r="Q799"/>
      <c r="R799"/>
      <c r="S799"/>
      <c r="T799"/>
      <c r="U799"/>
      <c r="V799"/>
      <c r="W799"/>
      <c r="BF799" s="65"/>
      <c r="BG799" s="65"/>
      <c r="BH799" s="65"/>
      <c r="BI799" s="65"/>
      <c r="BJ799" s="65"/>
      <c r="BK799" s="65"/>
      <c r="BL799" s="65"/>
      <c r="BM799" s="65"/>
      <c r="BN799" s="65"/>
      <c r="BO799" s="65"/>
      <c r="BP799" s="65"/>
      <c r="BQ799" s="65"/>
      <c r="BR799" s="65"/>
      <c r="BS799" s="65"/>
    </row>
    <row r="800" spans="1:71" s="64" customFormat="1" outlineLevel="1">
      <c r="A800" s="65"/>
      <c r="B800" s="148" t="s">
        <v>1622</v>
      </c>
      <c r="C800" s="149" t="s">
        <v>2141</v>
      </c>
      <c r="D800" s="517" t="s">
        <v>2142</v>
      </c>
      <c r="E800" s="518" t="s">
        <v>2143</v>
      </c>
      <c r="F800" s="152"/>
      <c r="G800"/>
      <c r="H800"/>
      <c r="I800"/>
      <c r="J800"/>
      <c r="K800"/>
      <c r="L800"/>
      <c r="M800"/>
      <c r="N800"/>
      <c r="O800"/>
      <c r="P800"/>
      <c r="Q800"/>
      <c r="R800"/>
      <c r="S800"/>
      <c r="T800"/>
      <c r="U800"/>
      <c r="V800"/>
      <c r="W800"/>
      <c r="BF800" s="65"/>
      <c r="BG800" s="65"/>
      <c r="BH800" s="65"/>
      <c r="BI800" s="65"/>
      <c r="BJ800" s="65"/>
      <c r="BK800" s="65"/>
      <c r="BL800" s="65"/>
      <c r="BM800" s="65"/>
      <c r="BN800" s="65"/>
      <c r="BO800" s="65"/>
      <c r="BP800" s="65"/>
      <c r="BQ800" s="65"/>
      <c r="BR800" s="65"/>
      <c r="BS800" s="65"/>
    </row>
    <row r="801" spans="1:71" s="64" customFormat="1" outlineLevel="1">
      <c r="A801" s="65"/>
      <c r="B801" s="148" t="s">
        <v>1622</v>
      </c>
      <c r="C801" s="149" t="s">
        <v>2141</v>
      </c>
      <c r="D801" s="517" t="s">
        <v>2142</v>
      </c>
      <c r="E801" s="518" t="s">
        <v>2212</v>
      </c>
      <c r="F801" s="152"/>
      <c r="G801"/>
      <c r="H801"/>
      <c r="I801"/>
      <c r="J801"/>
      <c r="K801"/>
      <c r="L801"/>
      <c r="M801"/>
      <c r="N801"/>
      <c r="O801"/>
      <c r="P801"/>
      <c r="Q801"/>
      <c r="R801"/>
      <c r="S801"/>
      <c r="T801"/>
      <c r="U801"/>
      <c r="V801"/>
      <c r="W801"/>
      <c r="BF801" s="65"/>
      <c r="BG801" s="65"/>
      <c r="BH801" s="65"/>
      <c r="BI801" s="65"/>
      <c r="BJ801" s="65"/>
      <c r="BK801" s="65"/>
      <c r="BL801" s="65"/>
      <c r="BM801" s="65"/>
      <c r="BN801" s="65"/>
      <c r="BO801" s="65"/>
      <c r="BP801" s="65"/>
      <c r="BQ801" s="65"/>
      <c r="BR801" s="65"/>
      <c r="BS801" s="65"/>
    </row>
    <row r="802" spans="1:71" s="64" customFormat="1" outlineLevel="1">
      <c r="A802" s="65"/>
      <c r="B802" s="148" t="s">
        <v>1872</v>
      </c>
      <c r="C802" s="149"/>
      <c r="D802" s="151">
        <v>32000</v>
      </c>
      <c r="E802" s="151"/>
      <c r="F802" s="152"/>
      <c r="G802"/>
      <c r="H802"/>
      <c r="I802"/>
      <c r="J802"/>
      <c r="K802"/>
      <c r="L802"/>
      <c r="M802"/>
      <c r="N802"/>
      <c r="O802"/>
      <c r="P802"/>
      <c r="Q802"/>
      <c r="R802"/>
      <c r="S802"/>
      <c r="T802"/>
      <c r="U802"/>
      <c r="V802"/>
      <c r="W802"/>
      <c r="BF802" s="65"/>
      <c r="BG802" s="65"/>
      <c r="BH802" s="65"/>
      <c r="BI802" s="65"/>
      <c r="BJ802" s="65"/>
      <c r="BK802" s="65"/>
      <c r="BL802" s="65"/>
      <c r="BM802" s="65"/>
      <c r="BN802" s="65"/>
      <c r="BO802" s="65"/>
      <c r="BP802" s="65"/>
      <c r="BQ802" s="65"/>
      <c r="BR802" s="65"/>
      <c r="BS802" s="65"/>
    </row>
    <row r="803" spans="1:71" s="64" customFormat="1" outlineLevel="1">
      <c r="A803" s="65"/>
      <c r="B803" s="148"/>
      <c r="C803" s="149"/>
      <c r="D803" s="150"/>
      <c r="E803" s="151"/>
      <c r="F803" s="152"/>
      <c r="G803"/>
      <c r="H803"/>
      <c r="I803"/>
      <c r="J803"/>
      <c r="K803"/>
      <c r="L803"/>
      <c r="M803"/>
      <c r="N803"/>
      <c r="O803"/>
      <c r="P803"/>
      <c r="Q803"/>
      <c r="R803"/>
      <c r="S803"/>
      <c r="T803"/>
      <c r="U803"/>
      <c r="V803"/>
      <c r="W803"/>
      <c r="BF803" s="65"/>
      <c r="BG803" s="65"/>
      <c r="BH803" s="65"/>
      <c r="BI803" s="65"/>
      <c r="BJ803" s="65"/>
      <c r="BK803" s="65"/>
      <c r="BL803" s="65"/>
      <c r="BM803" s="65"/>
      <c r="BN803" s="65"/>
      <c r="BO803" s="65"/>
      <c r="BP803" s="65"/>
      <c r="BQ803" s="65"/>
      <c r="BR803" s="65"/>
      <c r="BS803" s="65"/>
    </row>
    <row r="804" spans="1:71" s="64" customFormat="1" outlineLevel="1">
      <c r="A804" s="65"/>
      <c r="B804" s="160"/>
      <c r="C804" s="161"/>
      <c r="D804" s="150"/>
      <c r="E804" s="162"/>
      <c r="F804" s="152"/>
      <c r="G804"/>
      <c r="H804"/>
      <c r="I804"/>
      <c r="J804"/>
      <c r="K804"/>
      <c r="L804"/>
      <c r="M804"/>
      <c r="N804"/>
      <c r="O804"/>
      <c r="P804"/>
      <c r="Q804"/>
      <c r="R804"/>
      <c r="S804"/>
      <c r="T804"/>
      <c r="U804"/>
      <c r="V804"/>
      <c r="W804"/>
      <c r="BF804" s="65"/>
      <c r="BG804" s="65"/>
      <c r="BH804" s="65"/>
      <c r="BI804" s="65"/>
      <c r="BJ804" s="65"/>
      <c r="BK804" s="65"/>
      <c r="BL804" s="65"/>
      <c r="BM804" s="65"/>
      <c r="BN804" s="65"/>
      <c r="BO804" s="65"/>
      <c r="BP804" s="65"/>
      <c r="BQ804" s="65"/>
      <c r="BR804" s="65"/>
      <c r="BS804" s="65"/>
    </row>
    <row r="805" spans="1:71" s="64" customFormat="1" outlineLevel="1">
      <c r="A805" s="65"/>
      <c r="B805" s="148"/>
      <c r="C805" s="149"/>
      <c r="D805" s="150"/>
      <c r="E805" s="151"/>
      <c r="F805" s="152"/>
      <c r="G805"/>
      <c r="H805"/>
      <c r="I805"/>
      <c r="J805"/>
      <c r="K805"/>
      <c r="L805"/>
      <c r="M805"/>
      <c r="N805"/>
      <c r="O805"/>
      <c r="P805"/>
      <c r="Q805"/>
      <c r="R805"/>
      <c r="S805"/>
      <c r="T805"/>
      <c r="U805"/>
      <c r="V805"/>
      <c r="W805"/>
      <c r="BF805" s="65"/>
      <c r="BG805" s="65"/>
      <c r="BH805" s="65"/>
      <c r="BI805" s="65"/>
      <c r="BJ805" s="65"/>
      <c r="BK805" s="65"/>
      <c r="BL805" s="65"/>
      <c r="BM805" s="65"/>
      <c r="BN805" s="65"/>
      <c r="BO805" s="65"/>
      <c r="BP805" s="65"/>
      <c r="BQ805" s="65"/>
      <c r="BR805" s="65"/>
      <c r="BS805" s="65"/>
    </row>
    <row r="806" spans="1:71" s="64" customFormat="1" outlineLevel="1">
      <c r="A806" s="65"/>
      <c r="B806" s="160"/>
      <c r="C806" s="161"/>
      <c r="D806" s="150"/>
      <c r="E806" s="162"/>
      <c r="F806" s="152"/>
      <c r="G806"/>
      <c r="H806"/>
      <c r="I806"/>
      <c r="J806"/>
      <c r="K806"/>
      <c r="L806"/>
      <c r="M806"/>
      <c r="N806"/>
      <c r="O806"/>
      <c r="P806"/>
      <c r="Q806"/>
      <c r="R806"/>
      <c r="S806"/>
      <c r="T806"/>
      <c r="U806"/>
      <c r="V806"/>
      <c r="W806"/>
      <c r="BF806" s="65"/>
      <c r="BG806" s="65"/>
      <c r="BH806" s="65"/>
      <c r="BI806" s="65"/>
      <c r="BJ806" s="65"/>
      <c r="BK806" s="65"/>
      <c r="BL806" s="65"/>
      <c r="BM806" s="65"/>
      <c r="BN806" s="65"/>
      <c r="BO806" s="65"/>
      <c r="BP806" s="65"/>
      <c r="BQ806" s="65"/>
      <c r="BR806" s="65"/>
      <c r="BS806" s="65"/>
    </row>
    <row r="807" spans="1:71" s="64" customFormat="1" outlineLevel="1">
      <c r="A807" s="65"/>
      <c r="B807" s="148"/>
      <c r="C807" s="149"/>
      <c r="D807" s="150"/>
      <c r="E807" s="151"/>
      <c r="F807" s="152"/>
      <c r="G807"/>
      <c r="H807"/>
      <c r="I807"/>
      <c r="J807"/>
      <c r="K807"/>
      <c r="L807"/>
      <c r="M807"/>
      <c r="N807"/>
      <c r="O807"/>
      <c r="P807"/>
      <c r="Q807"/>
      <c r="R807"/>
      <c r="S807"/>
      <c r="T807"/>
      <c r="U807"/>
      <c r="V807"/>
      <c r="W807"/>
      <c r="BF807" s="65"/>
      <c r="BG807" s="65"/>
      <c r="BH807" s="65"/>
      <c r="BI807" s="65"/>
      <c r="BJ807" s="65"/>
      <c r="BK807" s="65"/>
      <c r="BL807" s="65"/>
      <c r="BM807" s="65"/>
      <c r="BN807" s="65"/>
      <c r="BO807" s="65"/>
      <c r="BP807" s="65"/>
      <c r="BQ807" s="65"/>
      <c r="BR807" s="65"/>
      <c r="BS807" s="65"/>
    </row>
    <row r="808" spans="1:71" s="64" customFormat="1" outlineLevel="1">
      <c r="A808" s="65"/>
      <c r="B808" s="160"/>
      <c r="C808" s="161"/>
      <c r="D808" s="150"/>
      <c r="E808" s="162"/>
      <c r="F808" s="152"/>
      <c r="G808"/>
      <c r="H808"/>
      <c r="I808"/>
      <c r="J808"/>
      <c r="K808"/>
      <c r="L808"/>
      <c r="M808"/>
      <c r="N808"/>
      <c r="O808"/>
      <c r="P808"/>
      <c r="Q808"/>
      <c r="R808"/>
      <c r="S808"/>
      <c r="T808"/>
      <c r="U808"/>
      <c r="V808"/>
      <c r="W808"/>
      <c r="BF808" s="65"/>
      <c r="BG808" s="65"/>
      <c r="BH808" s="65"/>
      <c r="BI808" s="65"/>
      <c r="BJ808" s="65"/>
      <c r="BK808" s="65"/>
      <c r="BL808" s="65"/>
      <c r="BM808" s="65"/>
      <c r="BN808" s="65"/>
      <c r="BO808" s="65"/>
      <c r="BP808" s="65"/>
      <c r="BQ808" s="65"/>
      <c r="BR808" s="65"/>
      <c r="BS808" s="65"/>
    </row>
    <row r="809" spans="1:71" s="64" customFormat="1" outlineLevel="1">
      <c r="A809" s="65"/>
      <c r="B809" s="148"/>
      <c r="C809" s="149"/>
      <c r="D809" s="150"/>
      <c r="E809" s="151"/>
      <c r="F809" s="152"/>
      <c r="G809"/>
      <c r="H809"/>
      <c r="I809"/>
      <c r="J809"/>
      <c r="K809"/>
      <c r="L809"/>
      <c r="M809"/>
      <c r="N809"/>
      <c r="O809"/>
      <c r="P809"/>
      <c r="Q809"/>
      <c r="R809"/>
      <c r="S809"/>
      <c r="T809"/>
      <c r="U809"/>
      <c r="V809"/>
      <c r="W809"/>
      <c r="BF809" s="65"/>
      <c r="BG809" s="65"/>
      <c r="BH809" s="65"/>
      <c r="BI809" s="65"/>
      <c r="BJ809" s="65"/>
      <c r="BK809" s="65"/>
      <c r="BL809" s="65"/>
      <c r="BM809" s="65"/>
      <c r="BN809" s="65"/>
      <c r="BO809" s="65"/>
      <c r="BP809" s="65"/>
      <c r="BQ809" s="65"/>
      <c r="BR809" s="65"/>
      <c r="BS809" s="65"/>
    </row>
    <row r="810" spans="1:71" s="64" customFormat="1" outlineLevel="1">
      <c r="A810" s="65"/>
      <c r="B810" s="160"/>
      <c r="C810" s="161"/>
      <c r="D810" s="150"/>
      <c r="E810" s="162"/>
      <c r="F810" s="152"/>
      <c r="G810"/>
      <c r="H810"/>
      <c r="I810"/>
      <c r="J810"/>
      <c r="K810"/>
      <c r="L810"/>
      <c r="M810"/>
      <c r="N810"/>
      <c r="O810"/>
      <c r="P810"/>
      <c r="Q810"/>
      <c r="R810"/>
      <c r="S810"/>
      <c r="T810"/>
      <c r="U810"/>
      <c r="V810"/>
      <c r="W810"/>
      <c r="BF810" s="65"/>
      <c r="BG810" s="65"/>
      <c r="BH810" s="65"/>
      <c r="BI810" s="65"/>
      <c r="BJ810" s="65"/>
      <c r="BK810" s="65"/>
      <c r="BL810" s="65"/>
      <c r="BM810" s="65"/>
      <c r="BN810" s="65"/>
      <c r="BO810" s="65"/>
      <c r="BP810" s="65"/>
      <c r="BQ810" s="65"/>
      <c r="BR810" s="65"/>
      <c r="BS810" s="65"/>
    </row>
    <row r="811" spans="1:71" s="64" customFormat="1" outlineLevel="1">
      <c r="A811" s="65"/>
      <c r="B811" s="148"/>
      <c r="C811" s="149"/>
      <c r="D811" s="150"/>
      <c r="E811" s="151"/>
      <c r="F811" s="152"/>
      <c r="G811"/>
      <c r="H811"/>
      <c r="I811"/>
      <c r="J811"/>
      <c r="K811"/>
      <c r="L811"/>
      <c r="M811"/>
      <c r="N811"/>
      <c r="O811"/>
      <c r="P811"/>
      <c r="Q811"/>
      <c r="R811"/>
      <c r="S811"/>
      <c r="T811"/>
      <c r="U811"/>
      <c r="V811"/>
      <c r="W811"/>
      <c r="BF811" s="65"/>
      <c r="BG811" s="65"/>
      <c r="BH811" s="65"/>
      <c r="BI811" s="65"/>
      <c r="BJ811" s="65"/>
      <c r="BK811" s="65"/>
      <c r="BL811" s="65"/>
      <c r="BM811" s="65"/>
      <c r="BN811" s="65"/>
      <c r="BO811" s="65"/>
      <c r="BP811" s="65"/>
      <c r="BQ811" s="65"/>
      <c r="BR811" s="65"/>
      <c r="BS811" s="65"/>
    </row>
    <row r="812" spans="1:71" s="64" customFormat="1" outlineLevel="1">
      <c r="A812" s="65"/>
      <c r="B812" s="160"/>
      <c r="C812" s="161"/>
      <c r="D812" s="150"/>
      <c r="E812" s="162"/>
      <c r="F812" s="152"/>
      <c r="G812"/>
      <c r="H812"/>
      <c r="I812"/>
      <c r="J812"/>
      <c r="K812"/>
      <c r="L812"/>
      <c r="M812"/>
      <c r="N812"/>
      <c r="O812"/>
      <c r="P812"/>
      <c r="Q812"/>
      <c r="R812"/>
      <c r="S812"/>
      <c r="T812"/>
      <c r="U812"/>
      <c r="V812"/>
      <c r="W812"/>
      <c r="BF812" s="65"/>
      <c r="BG812" s="65"/>
      <c r="BH812" s="65"/>
      <c r="BI812" s="65"/>
      <c r="BJ812" s="65"/>
      <c r="BK812" s="65"/>
      <c r="BL812" s="65"/>
      <c r="BM812" s="65"/>
      <c r="BN812" s="65"/>
      <c r="BO812" s="65"/>
      <c r="BP812" s="65"/>
      <c r="BQ812" s="65"/>
      <c r="BR812" s="65"/>
      <c r="BS812" s="65"/>
    </row>
    <row r="813" spans="1:71" s="64" customFormat="1" outlineLevel="1">
      <c r="A813" s="65"/>
      <c r="B813" s="148"/>
      <c r="C813" s="149"/>
      <c r="D813" s="150"/>
      <c r="E813" s="151"/>
      <c r="F813" s="152"/>
      <c r="G813"/>
      <c r="H813"/>
      <c r="I813"/>
      <c r="J813"/>
      <c r="K813"/>
      <c r="L813"/>
      <c r="M813"/>
      <c r="N813"/>
      <c r="O813"/>
      <c r="P813"/>
      <c r="Q813"/>
      <c r="R813"/>
      <c r="S813"/>
      <c r="T813"/>
      <c r="U813"/>
      <c r="V813"/>
      <c r="W813"/>
      <c r="BF813" s="65"/>
      <c r="BG813" s="65"/>
      <c r="BH813" s="65"/>
      <c r="BI813" s="65"/>
      <c r="BJ813" s="65"/>
      <c r="BK813" s="65"/>
      <c r="BL813" s="65"/>
      <c r="BM813" s="65"/>
      <c r="BN813" s="65"/>
      <c r="BO813" s="65"/>
      <c r="BP813" s="65"/>
      <c r="BQ813" s="65"/>
      <c r="BR813" s="65"/>
      <c r="BS813" s="65"/>
    </row>
    <row r="814" spans="1:71" s="64" customFormat="1" outlineLevel="1">
      <c r="A814" s="65"/>
      <c r="B814" s="160"/>
      <c r="C814" s="161"/>
      <c r="D814" s="150"/>
      <c r="E814" s="162"/>
      <c r="F814" s="152"/>
      <c r="G814"/>
      <c r="H814"/>
      <c r="I814"/>
      <c r="J814"/>
      <c r="K814"/>
      <c r="L814"/>
      <c r="M814"/>
      <c r="N814"/>
      <c r="O814"/>
      <c r="P814"/>
      <c r="Q814"/>
      <c r="R814"/>
      <c r="S814"/>
      <c r="T814"/>
      <c r="U814"/>
      <c r="V814"/>
      <c r="W814"/>
      <c r="BF814" s="65"/>
      <c r="BG814" s="65"/>
      <c r="BH814" s="65"/>
      <c r="BI814" s="65"/>
      <c r="BJ814" s="65"/>
      <c r="BK814" s="65"/>
      <c r="BL814" s="65"/>
      <c r="BM814" s="65"/>
      <c r="BN814" s="65"/>
      <c r="BO814" s="65"/>
      <c r="BP814" s="65"/>
      <c r="BQ814" s="65"/>
      <c r="BR814" s="65"/>
      <c r="BS814" s="65"/>
    </row>
    <row r="815" spans="1:71" s="64" customFormat="1" outlineLevel="1">
      <c r="A815" s="65"/>
      <c r="B815" s="148"/>
      <c r="C815" s="149"/>
      <c r="D815" s="150"/>
      <c r="E815" s="151"/>
      <c r="F815" s="152"/>
      <c r="G815"/>
      <c r="H815"/>
      <c r="I815"/>
      <c r="J815"/>
      <c r="K815"/>
      <c r="L815"/>
      <c r="M815"/>
      <c r="N815"/>
      <c r="O815"/>
      <c r="P815"/>
      <c r="Q815"/>
      <c r="R815"/>
      <c r="S815"/>
      <c r="T815"/>
      <c r="U815"/>
      <c r="V815"/>
      <c r="W815"/>
      <c r="BF815" s="65"/>
      <c r="BG815" s="65"/>
      <c r="BH815" s="65"/>
      <c r="BI815" s="65"/>
      <c r="BJ815" s="65"/>
      <c r="BK815" s="65"/>
      <c r="BL815" s="65"/>
      <c r="BM815" s="65"/>
      <c r="BN815" s="65"/>
      <c r="BO815" s="65"/>
      <c r="BP815" s="65"/>
      <c r="BQ815" s="65"/>
      <c r="BR815" s="65"/>
      <c r="BS815" s="65"/>
    </row>
    <row r="816" spans="1:71" s="64" customFormat="1" outlineLevel="1">
      <c r="A816" s="65"/>
      <c r="B816" s="160"/>
      <c r="C816" s="161"/>
      <c r="D816" s="150"/>
      <c r="E816" s="162"/>
      <c r="F816" s="152"/>
      <c r="G816"/>
      <c r="H816"/>
      <c r="I816"/>
      <c r="J816"/>
      <c r="K816"/>
      <c r="L816"/>
      <c r="M816"/>
      <c r="N816"/>
      <c r="O816"/>
      <c r="P816"/>
      <c r="Q816"/>
      <c r="R816"/>
      <c r="S816"/>
      <c r="T816"/>
      <c r="U816"/>
      <c r="V816"/>
      <c r="W816"/>
      <c r="BF816" s="65"/>
      <c r="BG816" s="65"/>
      <c r="BH816" s="65"/>
      <c r="BI816" s="65"/>
      <c r="BJ816" s="65"/>
      <c r="BK816" s="65"/>
      <c r="BL816" s="65"/>
      <c r="BM816" s="65"/>
      <c r="BN816" s="65"/>
      <c r="BO816" s="65"/>
      <c r="BP816" s="65"/>
      <c r="BQ816" s="65"/>
      <c r="BR816" s="65"/>
      <c r="BS816" s="65"/>
    </row>
    <row r="817" spans="1:71" s="64" customFormat="1" outlineLevel="1">
      <c r="A817" s="65"/>
      <c r="B817" s="148"/>
      <c r="C817" s="149"/>
      <c r="D817" s="150"/>
      <c r="E817" s="151"/>
      <c r="F817" s="152"/>
      <c r="G817"/>
      <c r="H817"/>
      <c r="I817"/>
      <c r="J817"/>
      <c r="K817"/>
      <c r="L817"/>
      <c r="M817"/>
      <c r="N817"/>
      <c r="O817"/>
      <c r="P817"/>
      <c r="Q817"/>
      <c r="R817"/>
      <c r="S817"/>
      <c r="T817"/>
      <c r="U817"/>
      <c r="V817"/>
      <c r="W817"/>
      <c r="BF817" s="65"/>
      <c r="BG817" s="65"/>
      <c r="BH817" s="65"/>
      <c r="BI817" s="65"/>
      <c r="BJ817" s="65"/>
      <c r="BK817" s="65"/>
      <c r="BL817" s="65"/>
      <c r="BM817" s="65"/>
      <c r="BN817" s="65"/>
      <c r="BO817" s="65"/>
      <c r="BP817" s="65"/>
      <c r="BQ817" s="65"/>
      <c r="BR817" s="65"/>
      <c r="BS817" s="65"/>
    </row>
    <row r="818" spans="1:71" s="64" customFormat="1" outlineLevel="1">
      <c r="A818" s="65"/>
      <c r="B818" s="160"/>
      <c r="C818" s="161"/>
      <c r="D818" s="150"/>
      <c r="E818" s="162"/>
      <c r="F818" s="152"/>
      <c r="G818"/>
      <c r="H818"/>
      <c r="I818"/>
      <c r="J818"/>
      <c r="K818"/>
      <c r="L818"/>
      <c r="M818"/>
      <c r="N818"/>
      <c r="O818"/>
      <c r="P818"/>
      <c r="Q818"/>
      <c r="R818"/>
      <c r="S818"/>
      <c r="T818"/>
      <c r="U818"/>
      <c r="V818"/>
      <c r="W818"/>
      <c r="BF818" s="65"/>
      <c r="BG818" s="65"/>
      <c r="BH818" s="65"/>
      <c r="BI818" s="65"/>
      <c r="BJ818" s="65"/>
      <c r="BK818" s="65"/>
      <c r="BL818" s="65"/>
      <c r="BM818" s="65"/>
      <c r="BN818" s="65"/>
      <c r="BO818" s="65"/>
      <c r="BP818" s="65"/>
      <c r="BQ818" s="65"/>
      <c r="BR818" s="65"/>
      <c r="BS818" s="65"/>
    </row>
    <row r="819" spans="1:71" s="64" customFormat="1" outlineLevel="1">
      <c r="A819" s="65"/>
      <c r="B819" s="148"/>
      <c r="C819" s="149"/>
      <c r="D819" s="150"/>
      <c r="E819" s="151"/>
      <c r="F819" s="152"/>
      <c r="G819"/>
      <c r="H819"/>
      <c r="I819"/>
      <c r="J819"/>
      <c r="K819"/>
      <c r="L819"/>
      <c r="M819"/>
      <c r="N819"/>
      <c r="O819"/>
      <c r="P819"/>
      <c r="Q819"/>
      <c r="R819"/>
      <c r="S819"/>
      <c r="T819"/>
      <c r="U819"/>
      <c r="V819"/>
      <c r="W819"/>
      <c r="BF819" s="65"/>
      <c r="BG819" s="65"/>
      <c r="BH819" s="65"/>
      <c r="BI819" s="65"/>
      <c r="BJ819" s="65"/>
      <c r="BK819" s="65"/>
      <c r="BL819" s="65"/>
      <c r="BM819" s="65"/>
      <c r="BN819" s="65"/>
      <c r="BO819" s="65"/>
      <c r="BP819" s="65"/>
      <c r="BQ819" s="65"/>
      <c r="BR819" s="65"/>
      <c r="BS819" s="65"/>
    </row>
    <row r="820" spans="1:71" s="64" customFormat="1" outlineLevel="1">
      <c r="A820" s="65"/>
      <c r="B820" s="160"/>
      <c r="C820" s="161"/>
      <c r="D820" s="150"/>
      <c r="E820" s="162"/>
      <c r="F820" s="152"/>
      <c r="G820"/>
      <c r="H820"/>
      <c r="I820"/>
      <c r="J820"/>
      <c r="K820"/>
      <c r="L820"/>
      <c r="M820"/>
      <c r="N820"/>
      <c r="O820"/>
      <c r="P820"/>
      <c r="Q820"/>
      <c r="R820"/>
      <c r="S820"/>
      <c r="T820"/>
      <c r="U820"/>
      <c r="V820"/>
      <c r="W820"/>
      <c r="BF820" s="65"/>
      <c r="BG820" s="65"/>
      <c r="BH820" s="65"/>
      <c r="BI820" s="65"/>
      <c r="BJ820" s="65"/>
      <c r="BK820" s="65"/>
      <c r="BL820" s="65"/>
      <c r="BM820" s="65"/>
      <c r="BN820" s="65"/>
      <c r="BO820" s="65"/>
      <c r="BP820" s="65"/>
      <c r="BQ820" s="65"/>
      <c r="BR820" s="65"/>
      <c r="BS820" s="65"/>
    </row>
    <row r="821" spans="1:71" s="64" customFormat="1" outlineLevel="1">
      <c r="A821" s="65"/>
      <c r="B821" s="148"/>
      <c r="C821" s="149"/>
      <c r="D821" s="150"/>
      <c r="E821" s="151"/>
      <c r="F821" s="152"/>
      <c r="G821"/>
      <c r="H821"/>
      <c r="I821"/>
      <c r="J821"/>
      <c r="K821"/>
      <c r="L821"/>
      <c r="M821"/>
      <c r="N821"/>
      <c r="O821"/>
      <c r="P821"/>
      <c r="Q821"/>
      <c r="R821"/>
      <c r="S821"/>
      <c r="T821"/>
      <c r="U821"/>
      <c r="V821"/>
      <c r="W821"/>
      <c r="BF821" s="65"/>
      <c r="BG821" s="65"/>
      <c r="BH821" s="65"/>
      <c r="BI821" s="65"/>
      <c r="BJ821" s="65"/>
      <c r="BK821" s="65"/>
      <c r="BL821" s="65"/>
      <c r="BM821" s="65"/>
      <c r="BN821" s="65"/>
      <c r="BO821" s="65"/>
      <c r="BP821" s="65"/>
      <c r="BQ821" s="65"/>
      <c r="BR821" s="65"/>
      <c r="BS821" s="65"/>
    </row>
    <row r="822" spans="1:71" s="64" customFormat="1" outlineLevel="1">
      <c r="A822" s="65"/>
      <c r="B822" s="160"/>
      <c r="C822" s="161"/>
      <c r="D822" s="150"/>
      <c r="E822" s="162"/>
      <c r="F822" s="152"/>
      <c r="G822"/>
      <c r="H822"/>
      <c r="I822"/>
      <c r="J822"/>
      <c r="K822"/>
      <c r="L822"/>
      <c r="M822"/>
      <c r="N822"/>
      <c r="O822"/>
      <c r="P822"/>
      <c r="Q822"/>
      <c r="R822"/>
      <c r="S822"/>
      <c r="T822"/>
      <c r="U822"/>
      <c r="V822"/>
      <c r="W822"/>
      <c r="BF822" s="65"/>
      <c r="BG822" s="65"/>
      <c r="BH822" s="65"/>
      <c r="BI822" s="65"/>
      <c r="BJ822" s="65"/>
      <c r="BK822" s="65"/>
      <c r="BL822" s="65"/>
      <c r="BM822" s="65"/>
      <c r="BN822" s="65"/>
      <c r="BO822" s="65"/>
      <c r="BP822" s="65"/>
      <c r="BQ822" s="65"/>
      <c r="BR822" s="65"/>
      <c r="BS822" s="65"/>
    </row>
    <row r="823" spans="1:71" s="64" customFormat="1" outlineLevel="1">
      <c r="A823" s="65"/>
      <c r="B823" s="148"/>
      <c r="C823" s="149"/>
      <c r="D823" s="150"/>
      <c r="E823" s="151"/>
      <c r="F823" s="152"/>
      <c r="G823"/>
      <c r="H823"/>
      <c r="I823"/>
      <c r="J823"/>
      <c r="K823"/>
      <c r="L823"/>
      <c r="M823"/>
      <c r="N823"/>
      <c r="O823"/>
      <c r="P823"/>
      <c r="Q823"/>
      <c r="R823"/>
      <c r="S823"/>
      <c r="T823"/>
      <c r="U823"/>
      <c r="V823"/>
      <c r="W823"/>
      <c r="BF823" s="65"/>
      <c r="BG823" s="65"/>
      <c r="BH823" s="65"/>
      <c r="BI823" s="65"/>
      <c r="BJ823" s="65"/>
      <c r="BK823" s="65"/>
      <c r="BL823" s="65"/>
      <c r="BM823" s="65"/>
      <c r="BN823" s="65"/>
      <c r="BO823" s="65"/>
      <c r="BP823" s="65"/>
      <c r="BQ823" s="65"/>
      <c r="BR823" s="65"/>
      <c r="BS823" s="65"/>
    </row>
    <row r="824" spans="1:71" s="64" customFormat="1" outlineLevel="1">
      <c r="A824" s="65"/>
      <c r="B824" s="160"/>
      <c r="C824" s="161"/>
      <c r="D824" s="150"/>
      <c r="E824" s="162"/>
      <c r="F824" s="152"/>
      <c r="G824"/>
      <c r="H824"/>
      <c r="I824"/>
      <c r="J824"/>
      <c r="K824"/>
      <c r="L824"/>
      <c r="M824"/>
      <c r="N824"/>
      <c r="O824"/>
      <c r="P824"/>
      <c r="Q824"/>
      <c r="R824"/>
      <c r="S824"/>
      <c r="T824"/>
      <c r="U824"/>
      <c r="V824"/>
      <c r="W824"/>
      <c r="BF824" s="65"/>
      <c r="BG824" s="65"/>
      <c r="BH824" s="65"/>
      <c r="BI824" s="65"/>
      <c r="BJ824" s="65"/>
      <c r="BK824" s="65"/>
      <c r="BL824" s="65"/>
      <c r="BM824" s="65"/>
      <c r="BN824" s="65"/>
      <c r="BO824" s="65"/>
      <c r="BP824" s="65"/>
      <c r="BQ824" s="65"/>
      <c r="BR824" s="65"/>
      <c r="BS824" s="65"/>
    </row>
    <row r="825" spans="1:71" s="64" customFormat="1" outlineLevel="1">
      <c r="A825" s="65"/>
      <c r="B825" s="148"/>
      <c r="C825" s="149"/>
      <c r="D825" s="150"/>
      <c r="E825" s="151"/>
      <c r="F825" s="152"/>
      <c r="G825"/>
      <c r="H825"/>
      <c r="I825"/>
      <c r="J825"/>
      <c r="K825"/>
      <c r="L825"/>
      <c r="M825"/>
      <c r="N825"/>
      <c r="O825"/>
      <c r="P825"/>
      <c r="Q825"/>
      <c r="R825"/>
      <c r="S825"/>
      <c r="T825"/>
      <c r="U825"/>
      <c r="V825"/>
      <c r="W825"/>
      <c r="BF825" s="65"/>
      <c r="BG825" s="65"/>
      <c r="BH825" s="65"/>
      <c r="BI825" s="65"/>
      <c r="BJ825" s="65"/>
      <c r="BK825" s="65"/>
      <c r="BL825" s="65"/>
      <c r="BM825" s="65"/>
      <c r="BN825" s="65"/>
      <c r="BO825" s="65"/>
      <c r="BP825" s="65"/>
      <c r="BQ825" s="65"/>
      <c r="BR825" s="65"/>
      <c r="BS825" s="65"/>
    </row>
    <row r="826" spans="1:71" s="64" customFormat="1" outlineLevel="1">
      <c r="A826" s="65"/>
      <c r="B826" s="160"/>
      <c r="C826" s="161"/>
      <c r="D826" s="150"/>
      <c r="E826" s="162"/>
      <c r="F826" s="152"/>
      <c r="G826"/>
      <c r="H826"/>
      <c r="I826"/>
      <c r="J826"/>
      <c r="K826"/>
      <c r="L826"/>
      <c r="M826"/>
      <c r="N826"/>
      <c r="O826"/>
      <c r="P826"/>
      <c r="Q826"/>
      <c r="R826"/>
      <c r="S826"/>
      <c r="T826"/>
      <c r="U826"/>
      <c r="V826"/>
      <c r="W826"/>
      <c r="BF826" s="65"/>
      <c r="BG826" s="65"/>
      <c r="BH826" s="65"/>
      <c r="BI826" s="65"/>
      <c r="BJ826" s="65"/>
      <c r="BK826" s="65"/>
      <c r="BL826" s="65"/>
      <c r="BM826" s="65"/>
      <c r="BN826" s="65"/>
      <c r="BO826" s="65"/>
      <c r="BP826" s="65"/>
      <c r="BQ826" s="65"/>
      <c r="BR826" s="65"/>
      <c r="BS826" s="65"/>
    </row>
    <row r="827" spans="1:71" s="64" customFormat="1" outlineLevel="1">
      <c r="A827" s="65"/>
      <c r="B827" s="148"/>
      <c r="C827" s="149"/>
      <c r="D827" s="150"/>
      <c r="E827" s="151"/>
      <c r="F827" s="152"/>
      <c r="G827"/>
      <c r="H827"/>
      <c r="I827"/>
      <c r="J827"/>
      <c r="K827"/>
      <c r="L827"/>
      <c r="M827"/>
      <c r="N827"/>
      <c r="O827"/>
      <c r="P827"/>
      <c r="Q827"/>
      <c r="R827"/>
      <c r="S827"/>
      <c r="T827"/>
      <c r="U827"/>
      <c r="V827"/>
      <c r="W827"/>
      <c r="BF827" s="65"/>
      <c r="BG827" s="65"/>
      <c r="BH827" s="65"/>
      <c r="BI827" s="65"/>
      <c r="BJ827" s="65"/>
      <c r="BK827" s="65"/>
      <c r="BL827" s="65"/>
      <c r="BM827" s="65"/>
      <c r="BN827" s="65"/>
      <c r="BO827" s="65"/>
      <c r="BP827" s="65"/>
      <c r="BQ827" s="65"/>
      <c r="BR827" s="65"/>
      <c r="BS827" s="65"/>
    </row>
    <row r="828" spans="1:71" s="64" customFormat="1" outlineLevel="1">
      <c r="A828" s="65"/>
      <c r="B828" s="160"/>
      <c r="C828" s="161"/>
      <c r="D828" s="150"/>
      <c r="E828" s="162"/>
      <c r="F828" s="152"/>
      <c r="G828"/>
      <c r="H828"/>
      <c r="I828"/>
      <c r="J828"/>
      <c r="K828"/>
      <c r="L828"/>
      <c r="M828"/>
      <c r="N828"/>
      <c r="O828"/>
      <c r="P828"/>
      <c r="Q828"/>
      <c r="R828"/>
      <c r="S828"/>
      <c r="T828"/>
      <c r="U828"/>
      <c r="V828"/>
      <c r="W828"/>
      <c r="BF828" s="65"/>
      <c r="BG828" s="65"/>
      <c r="BH828" s="65"/>
      <c r="BI828" s="65"/>
      <c r="BJ828" s="65"/>
      <c r="BK828" s="65"/>
      <c r="BL828" s="65"/>
      <c r="BM828" s="65"/>
      <c r="BN828" s="65"/>
      <c r="BO828" s="65"/>
      <c r="BP828" s="65"/>
      <c r="BQ828" s="65"/>
      <c r="BR828" s="65"/>
      <c r="BS828" s="65"/>
    </row>
    <row r="829" spans="1:71" s="64" customFormat="1" outlineLevel="1">
      <c r="A829" s="65"/>
      <c r="B829" s="148"/>
      <c r="C829" s="149"/>
      <c r="D829" s="150"/>
      <c r="E829" s="151"/>
      <c r="F829" s="152"/>
      <c r="G829"/>
      <c r="H829"/>
      <c r="I829"/>
      <c r="J829"/>
      <c r="K829"/>
      <c r="L829"/>
      <c r="M829"/>
      <c r="N829"/>
      <c r="O829"/>
      <c r="P829"/>
      <c r="Q829"/>
      <c r="R829"/>
      <c r="S829"/>
      <c r="T829"/>
      <c r="U829"/>
      <c r="V829"/>
      <c r="W829"/>
      <c r="BF829" s="65"/>
      <c r="BG829" s="65"/>
      <c r="BH829" s="65"/>
      <c r="BI829" s="65"/>
      <c r="BJ829" s="65"/>
      <c r="BK829" s="65"/>
      <c r="BL829" s="65"/>
      <c r="BM829" s="65"/>
      <c r="BN829" s="65"/>
      <c r="BO829" s="65"/>
      <c r="BP829" s="65"/>
      <c r="BQ829" s="65"/>
      <c r="BR829" s="65"/>
      <c r="BS829" s="65"/>
    </row>
    <row r="830" spans="1:71" s="64" customFormat="1" outlineLevel="1">
      <c r="A830" s="65"/>
      <c r="B830" s="160"/>
      <c r="C830" s="161"/>
      <c r="D830" s="150"/>
      <c r="E830" s="162"/>
      <c r="F830" s="152"/>
      <c r="G830"/>
      <c r="H830"/>
      <c r="I830"/>
      <c r="J830"/>
      <c r="K830"/>
      <c r="L830"/>
      <c r="M830"/>
      <c r="N830"/>
      <c r="O830"/>
      <c r="P830"/>
      <c r="Q830"/>
      <c r="R830"/>
      <c r="S830"/>
      <c r="T830"/>
      <c r="U830"/>
      <c r="V830"/>
      <c r="W830"/>
      <c r="BF830" s="65"/>
      <c r="BG830" s="65"/>
      <c r="BH830" s="65"/>
      <c r="BI830" s="65"/>
      <c r="BJ830" s="65"/>
      <c r="BK830" s="65"/>
      <c r="BL830" s="65"/>
      <c r="BM830" s="65"/>
      <c r="BN830" s="65"/>
      <c r="BO830" s="65"/>
      <c r="BP830" s="65"/>
      <c r="BQ830" s="65"/>
      <c r="BR830" s="65"/>
      <c r="BS830" s="65"/>
    </row>
    <row r="831" spans="1:71" s="64" customFormat="1" outlineLevel="1">
      <c r="A831" s="65"/>
      <c r="B831" s="148"/>
      <c r="C831" s="149"/>
      <c r="D831" s="150"/>
      <c r="E831" s="151"/>
      <c r="F831" s="152"/>
      <c r="G831"/>
      <c r="H831"/>
      <c r="I831"/>
      <c r="J831"/>
      <c r="K831"/>
      <c r="L831"/>
      <c r="M831"/>
      <c r="N831"/>
      <c r="O831"/>
      <c r="P831"/>
      <c r="Q831"/>
      <c r="R831"/>
      <c r="S831"/>
      <c r="T831"/>
      <c r="U831"/>
      <c r="V831"/>
      <c r="W831"/>
      <c r="BF831" s="65"/>
      <c r="BG831" s="65"/>
      <c r="BH831" s="65"/>
      <c r="BI831" s="65"/>
      <c r="BJ831" s="65"/>
      <c r="BK831" s="65"/>
      <c r="BL831" s="65"/>
      <c r="BM831" s="65"/>
      <c r="BN831" s="65"/>
      <c r="BO831" s="65"/>
      <c r="BP831" s="65"/>
      <c r="BQ831" s="65"/>
      <c r="BR831" s="65"/>
      <c r="BS831" s="65"/>
    </row>
    <row r="832" spans="1:71" s="64" customFormat="1" outlineLevel="1">
      <c r="A832" s="65"/>
      <c r="B832" s="160"/>
      <c r="C832" s="161"/>
      <c r="D832" s="150"/>
      <c r="E832" s="162"/>
      <c r="F832" s="152"/>
      <c r="G832"/>
      <c r="H832"/>
      <c r="I832"/>
      <c r="J832"/>
      <c r="K832"/>
      <c r="L832"/>
      <c r="M832"/>
      <c r="N832"/>
      <c r="O832"/>
      <c r="P832"/>
      <c r="Q832"/>
      <c r="R832"/>
      <c r="S832"/>
      <c r="T832"/>
      <c r="U832"/>
      <c r="V832"/>
      <c r="W832"/>
      <c r="BF832" s="65"/>
      <c r="BG832" s="65"/>
      <c r="BH832" s="65"/>
      <c r="BI832" s="65"/>
      <c r="BJ832" s="65"/>
      <c r="BK832" s="65"/>
      <c r="BL832" s="65"/>
      <c r="BM832" s="65"/>
      <c r="BN832" s="65"/>
      <c r="BO832" s="65"/>
      <c r="BP832" s="65"/>
      <c r="BQ832" s="65"/>
      <c r="BR832" s="65"/>
      <c r="BS832" s="65"/>
    </row>
    <row r="833" spans="1:71" s="64" customFormat="1" outlineLevel="1">
      <c r="A833" s="65"/>
      <c r="B833" s="148"/>
      <c r="C833" s="149"/>
      <c r="D833" s="150"/>
      <c r="E833" s="151"/>
      <c r="F833" s="152"/>
      <c r="G833"/>
      <c r="H833"/>
      <c r="I833"/>
      <c r="J833"/>
      <c r="K833"/>
      <c r="L833"/>
      <c r="M833"/>
      <c r="N833"/>
      <c r="O833"/>
      <c r="P833"/>
      <c r="Q833"/>
      <c r="R833"/>
      <c r="S833"/>
      <c r="T833"/>
      <c r="U833"/>
      <c r="V833"/>
      <c r="W833"/>
      <c r="BF833" s="65"/>
      <c r="BG833" s="65"/>
      <c r="BH833" s="65"/>
      <c r="BI833" s="65"/>
      <c r="BJ833" s="65"/>
      <c r="BK833" s="65"/>
      <c r="BL833" s="65"/>
      <c r="BM833" s="65"/>
      <c r="BN833" s="65"/>
      <c r="BO833" s="65"/>
      <c r="BP833" s="65"/>
      <c r="BQ833" s="65"/>
      <c r="BR833" s="65"/>
      <c r="BS833" s="65"/>
    </row>
    <row r="834" spans="1:71" s="64" customFormat="1" outlineLevel="1">
      <c r="A834" s="65"/>
      <c r="B834" s="160"/>
      <c r="C834" s="161"/>
      <c r="D834" s="150"/>
      <c r="E834" s="162"/>
      <c r="F834" s="152"/>
      <c r="G834"/>
      <c r="H834"/>
      <c r="I834"/>
      <c r="J834"/>
      <c r="K834"/>
      <c r="L834"/>
      <c r="M834"/>
      <c r="N834"/>
      <c r="O834"/>
      <c r="P834"/>
      <c r="Q834"/>
      <c r="R834"/>
      <c r="S834"/>
      <c r="T834"/>
      <c r="U834"/>
      <c r="V834"/>
      <c r="W834"/>
      <c r="BF834" s="65"/>
      <c r="BG834" s="65"/>
      <c r="BH834" s="65"/>
      <c r="BI834" s="65"/>
      <c r="BJ834" s="65"/>
      <c r="BK834" s="65"/>
      <c r="BL834" s="65"/>
      <c r="BM834" s="65"/>
      <c r="BN834" s="65"/>
      <c r="BO834" s="65"/>
      <c r="BP834" s="65"/>
      <c r="BQ834" s="65"/>
      <c r="BR834" s="65"/>
      <c r="BS834" s="65"/>
    </row>
    <row r="835" spans="1:71" s="64" customFormat="1" outlineLevel="1">
      <c r="A835" s="65"/>
      <c r="B835" s="148"/>
      <c r="C835" s="149"/>
      <c r="D835" s="150"/>
      <c r="E835" s="151"/>
      <c r="F835" s="152"/>
      <c r="G835"/>
      <c r="H835"/>
      <c r="I835"/>
      <c r="J835"/>
      <c r="K835"/>
      <c r="L835"/>
      <c r="M835"/>
      <c r="N835"/>
      <c r="O835"/>
      <c r="P835"/>
      <c r="Q835"/>
      <c r="R835"/>
      <c r="S835"/>
      <c r="T835"/>
      <c r="U835"/>
      <c r="V835"/>
      <c r="W835"/>
      <c r="BF835" s="65"/>
      <c r="BG835" s="65"/>
      <c r="BH835" s="65"/>
      <c r="BI835" s="65"/>
      <c r="BJ835" s="65"/>
      <c r="BK835" s="65"/>
      <c r="BL835" s="65"/>
      <c r="BM835" s="65"/>
      <c r="BN835" s="65"/>
      <c r="BO835" s="65"/>
      <c r="BP835" s="65"/>
      <c r="BQ835" s="65"/>
      <c r="BR835" s="65"/>
      <c r="BS835" s="65"/>
    </row>
    <row r="836" spans="1:71" s="64" customFormat="1" outlineLevel="1">
      <c r="A836" s="65"/>
      <c r="B836" s="160"/>
      <c r="C836" s="161"/>
      <c r="D836" s="150"/>
      <c r="E836" s="162"/>
      <c r="F836" s="152"/>
      <c r="G836"/>
      <c r="H836"/>
      <c r="I836"/>
      <c r="J836"/>
      <c r="K836"/>
      <c r="L836"/>
      <c r="M836"/>
      <c r="N836"/>
      <c r="O836"/>
      <c r="P836"/>
      <c r="Q836"/>
      <c r="R836"/>
      <c r="S836"/>
      <c r="T836"/>
      <c r="U836"/>
      <c r="V836"/>
      <c r="W836"/>
      <c r="BF836" s="65"/>
      <c r="BG836" s="65"/>
      <c r="BH836" s="65"/>
      <c r="BI836" s="65"/>
      <c r="BJ836" s="65"/>
      <c r="BK836" s="65"/>
      <c r="BL836" s="65"/>
      <c r="BM836" s="65"/>
      <c r="BN836" s="65"/>
      <c r="BO836" s="65"/>
      <c r="BP836" s="65"/>
      <c r="BQ836" s="65"/>
      <c r="BR836" s="65"/>
      <c r="BS836" s="65"/>
    </row>
    <row r="837" spans="1:71" s="64" customFormat="1" outlineLevel="1">
      <c r="A837" s="65"/>
      <c r="B837" s="148"/>
      <c r="C837" s="149"/>
      <c r="D837" s="150"/>
      <c r="E837" s="151"/>
      <c r="F837" s="152"/>
      <c r="G837"/>
      <c r="H837"/>
      <c r="I837"/>
      <c r="J837"/>
      <c r="K837"/>
      <c r="L837"/>
      <c r="M837"/>
      <c r="N837"/>
      <c r="O837"/>
      <c r="P837"/>
      <c r="Q837"/>
      <c r="R837"/>
      <c r="S837"/>
      <c r="T837"/>
      <c r="U837"/>
      <c r="V837"/>
      <c r="W837"/>
      <c r="BF837" s="65"/>
      <c r="BG837" s="65"/>
      <c r="BH837" s="65"/>
      <c r="BI837" s="65"/>
      <c r="BJ837" s="65"/>
      <c r="BK837" s="65"/>
      <c r="BL837" s="65"/>
      <c r="BM837" s="65"/>
      <c r="BN837" s="65"/>
      <c r="BO837" s="65"/>
      <c r="BP837" s="65"/>
      <c r="BQ837" s="65"/>
      <c r="BR837" s="65"/>
      <c r="BS837" s="65"/>
    </row>
    <row r="838" spans="1:71" s="64" customFormat="1" outlineLevel="1">
      <c r="A838" s="65"/>
      <c r="B838" s="160"/>
      <c r="C838" s="161"/>
      <c r="D838" s="150"/>
      <c r="E838" s="162"/>
      <c r="F838" s="152"/>
      <c r="G838"/>
      <c r="H838"/>
      <c r="I838"/>
      <c r="J838"/>
      <c r="K838"/>
      <c r="L838"/>
      <c r="M838"/>
      <c r="N838"/>
      <c r="O838"/>
      <c r="P838"/>
      <c r="Q838"/>
      <c r="R838"/>
      <c r="S838"/>
      <c r="T838"/>
      <c r="U838"/>
      <c r="V838"/>
      <c r="W838"/>
      <c r="BF838" s="65"/>
      <c r="BG838" s="65"/>
      <c r="BH838" s="65"/>
      <c r="BI838" s="65"/>
      <c r="BJ838" s="65"/>
      <c r="BK838" s="65"/>
      <c r="BL838" s="65"/>
      <c r="BM838" s="65"/>
      <c r="BN838" s="65"/>
      <c r="BO838" s="65"/>
      <c r="BP838" s="65"/>
      <c r="BQ838" s="65"/>
      <c r="BR838" s="65"/>
      <c r="BS838" s="65"/>
    </row>
    <row r="839" spans="1:71" s="64" customFormat="1" outlineLevel="1">
      <c r="A839" s="65"/>
      <c r="B839" s="148"/>
      <c r="C839" s="149"/>
      <c r="D839" s="150"/>
      <c r="E839" s="151"/>
      <c r="F839" s="152"/>
      <c r="G839"/>
      <c r="H839"/>
      <c r="I839"/>
      <c r="J839"/>
      <c r="K839"/>
      <c r="L839"/>
      <c r="M839"/>
      <c r="N839"/>
      <c r="O839"/>
      <c r="P839"/>
      <c r="Q839"/>
      <c r="R839"/>
      <c r="S839"/>
      <c r="T839"/>
      <c r="U839"/>
      <c r="V839"/>
      <c r="W839"/>
      <c r="BF839" s="65"/>
      <c r="BG839" s="65"/>
      <c r="BH839" s="65"/>
      <c r="BI839" s="65"/>
      <c r="BJ839" s="65"/>
      <c r="BK839" s="65"/>
      <c r="BL839" s="65"/>
      <c r="BM839" s="65"/>
      <c r="BN839" s="65"/>
      <c r="BO839" s="65"/>
      <c r="BP839" s="65"/>
      <c r="BQ839" s="65"/>
      <c r="BR839" s="65"/>
      <c r="BS839" s="65"/>
    </row>
    <row r="840" spans="1:71" s="64" customFormat="1" outlineLevel="1">
      <c r="A840" s="65"/>
      <c r="B840" s="160"/>
      <c r="C840" s="161"/>
      <c r="D840" s="150"/>
      <c r="E840" s="162"/>
      <c r="F840" s="152"/>
      <c r="G840"/>
      <c r="H840"/>
      <c r="I840"/>
      <c r="J840"/>
      <c r="K840"/>
      <c r="L840"/>
      <c r="M840"/>
      <c r="N840"/>
      <c r="O840"/>
      <c r="P840"/>
      <c r="Q840"/>
      <c r="R840"/>
      <c r="S840"/>
      <c r="T840"/>
      <c r="U840"/>
      <c r="V840"/>
      <c r="W840"/>
      <c r="BF840" s="65"/>
      <c r="BG840" s="65"/>
      <c r="BH840" s="65"/>
      <c r="BI840" s="65"/>
      <c r="BJ840" s="65"/>
      <c r="BK840" s="65"/>
      <c r="BL840" s="65"/>
      <c r="BM840" s="65"/>
      <c r="BN840" s="65"/>
      <c r="BO840" s="65"/>
      <c r="BP840" s="65"/>
      <c r="BQ840" s="65"/>
      <c r="BR840" s="65"/>
      <c r="BS840" s="65"/>
    </row>
    <row r="841" spans="1:71" s="64" customFormat="1" outlineLevel="1">
      <c r="A841" s="65"/>
      <c r="B841" s="148"/>
      <c r="C841" s="149"/>
      <c r="D841" s="150"/>
      <c r="E841" s="151"/>
      <c r="F841" s="152"/>
      <c r="G841"/>
      <c r="H841"/>
      <c r="I841"/>
      <c r="J841"/>
      <c r="K841"/>
      <c r="L841"/>
      <c r="M841"/>
      <c r="N841"/>
      <c r="O841"/>
      <c r="P841"/>
      <c r="Q841"/>
      <c r="R841"/>
      <c r="S841"/>
      <c r="T841"/>
      <c r="U841"/>
      <c r="V841"/>
      <c r="W841"/>
      <c r="BF841" s="65"/>
      <c r="BG841" s="65"/>
      <c r="BH841" s="65"/>
      <c r="BI841" s="65"/>
      <c r="BJ841" s="65"/>
      <c r="BK841" s="65"/>
      <c r="BL841" s="65"/>
      <c r="BM841" s="65"/>
      <c r="BN841" s="65"/>
      <c r="BO841" s="65"/>
      <c r="BP841" s="65"/>
      <c r="BQ841" s="65"/>
      <c r="BR841" s="65"/>
      <c r="BS841" s="65"/>
    </row>
    <row r="842" spans="1:71" s="64" customFormat="1" outlineLevel="1">
      <c r="A842" s="65"/>
      <c r="B842" s="160"/>
      <c r="C842" s="161"/>
      <c r="D842" s="150"/>
      <c r="E842" s="162"/>
      <c r="F842" s="152"/>
      <c r="G842"/>
      <c r="H842"/>
      <c r="I842"/>
      <c r="J842"/>
      <c r="K842"/>
      <c r="L842"/>
      <c r="M842"/>
      <c r="N842"/>
      <c r="O842"/>
      <c r="P842"/>
      <c r="Q842"/>
      <c r="R842"/>
      <c r="S842"/>
      <c r="T842"/>
      <c r="U842"/>
      <c r="V842"/>
      <c r="W842"/>
      <c r="BF842" s="65"/>
      <c r="BG842" s="65"/>
      <c r="BH842" s="65"/>
      <c r="BI842" s="65"/>
      <c r="BJ842" s="65"/>
      <c r="BK842" s="65"/>
      <c r="BL842" s="65"/>
      <c r="BM842" s="65"/>
      <c r="BN842" s="65"/>
      <c r="BO842" s="65"/>
      <c r="BP842" s="65"/>
      <c r="BQ842" s="65"/>
      <c r="BR842" s="65"/>
      <c r="BS842" s="65"/>
    </row>
    <row r="843" spans="1:71" s="64" customFormat="1" outlineLevel="1">
      <c r="A843" s="65"/>
      <c r="B843" s="148"/>
      <c r="C843" s="149"/>
      <c r="D843" s="150"/>
      <c r="E843" s="151"/>
      <c r="F843" s="152"/>
      <c r="G843"/>
      <c r="H843"/>
      <c r="I843"/>
      <c r="J843"/>
      <c r="K843"/>
      <c r="L843"/>
      <c r="M843"/>
      <c r="N843"/>
      <c r="O843"/>
      <c r="P843"/>
      <c r="Q843"/>
      <c r="R843"/>
      <c r="S843"/>
      <c r="T843"/>
      <c r="U843"/>
      <c r="V843"/>
      <c r="W843"/>
      <c r="BF843" s="65"/>
      <c r="BG843" s="65"/>
      <c r="BH843" s="65"/>
      <c r="BI843" s="65"/>
      <c r="BJ843" s="65"/>
      <c r="BK843" s="65"/>
      <c r="BL843" s="65"/>
      <c r="BM843" s="65"/>
      <c r="BN843" s="65"/>
      <c r="BO843" s="65"/>
      <c r="BP843" s="65"/>
      <c r="BQ843" s="65"/>
      <c r="BR843" s="65"/>
      <c r="BS843" s="65"/>
    </row>
    <row r="844" spans="1:71" s="64" customFormat="1" outlineLevel="1">
      <c r="A844" s="65"/>
      <c r="B844" s="160"/>
      <c r="C844" s="161"/>
      <c r="D844" s="150"/>
      <c r="E844" s="162"/>
      <c r="F844" s="152"/>
      <c r="G844"/>
      <c r="H844"/>
      <c r="I844"/>
      <c r="J844"/>
      <c r="K844"/>
      <c r="L844"/>
      <c r="M844"/>
      <c r="N844"/>
      <c r="O844"/>
      <c r="P844"/>
      <c r="Q844"/>
      <c r="R844"/>
      <c r="S844"/>
      <c r="T844"/>
      <c r="U844"/>
      <c r="V844"/>
      <c r="W844"/>
      <c r="BF844" s="65"/>
      <c r="BG844" s="65"/>
      <c r="BH844" s="65"/>
      <c r="BI844" s="65"/>
      <c r="BJ844" s="65"/>
      <c r="BK844" s="65"/>
      <c r="BL844" s="65"/>
      <c r="BM844" s="65"/>
      <c r="BN844" s="65"/>
      <c r="BO844" s="65"/>
      <c r="BP844" s="65"/>
      <c r="BQ844" s="65"/>
      <c r="BR844" s="65"/>
      <c r="BS844" s="65"/>
    </row>
    <row r="845" spans="1:71" s="64" customFormat="1" outlineLevel="1">
      <c r="A845" s="65"/>
      <c r="B845" s="148"/>
      <c r="C845" s="149"/>
      <c r="D845" s="150"/>
      <c r="E845" s="151"/>
      <c r="F845" s="152"/>
      <c r="G845"/>
      <c r="H845"/>
      <c r="I845"/>
      <c r="J845"/>
      <c r="K845"/>
      <c r="L845"/>
      <c r="M845"/>
      <c r="N845"/>
      <c r="O845"/>
      <c r="P845"/>
      <c r="Q845"/>
      <c r="R845"/>
      <c r="S845"/>
      <c r="T845"/>
      <c r="U845"/>
      <c r="V845"/>
      <c r="W845"/>
      <c r="BF845" s="65"/>
      <c r="BG845" s="65"/>
      <c r="BH845" s="65"/>
      <c r="BI845" s="65"/>
      <c r="BJ845" s="65"/>
      <c r="BK845" s="65"/>
      <c r="BL845" s="65"/>
      <c r="BM845" s="65"/>
      <c r="BN845" s="65"/>
      <c r="BO845" s="65"/>
      <c r="BP845" s="65"/>
      <c r="BQ845" s="65"/>
      <c r="BR845" s="65"/>
      <c r="BS845" s="65"/>
    </row>
    <row r="846" spans="1:71" s="64" customFormat="1" outlineLevel="1">
      <c r="A846" s="65"/>
      <c r="B846" s="160"/>
      <c r="C846" s="161"/>
      <c r="D846" s="150"/>
      <c r="E846" s="162"/>
      <c r="F846" s="152"/>
      <c r="G846"/>
      <c r="H846"/>
      <c r="I846"/>
      <c r="J846"/>
      <c r="K846"/>
      <c r="L846"/>
      <c r="M846"/>
      <c r="N846"/>
      <c r="O846"/>
      <c r="P846"/>
      <c r="Q846"/>
      <c r="R846"/>
      <c r="S846"/>
      <c r="T846"/>
      <c r="U846"/>
      <c r="V846"/>
      <c r="W846"/>
      <c r="BF846" s="65"/>
      <c r="BG846" s="65"/>
      <c r="BH846" s="65"/>
      <c r="BI846" s="65"/>
      <c r="BJ846" s="65"/>
      <c r="BK846" s="65"/>
      <c r="BL846" s="65"/>
      <c r="BM846" s="65"/>
      <c r="BN846" s="65"/>
      <c r="BO846" s="65"/>
      <c r="BP846" s="65"/>
      <c r="BQ846" s="65"/>
      <c r="BR846" s="65"/>
      <c r="BS846" s="65"/>
    </row>
    <row r="847" spans="1:71" s="64" customFormat="1" outlineLevel="1">
      <c r="A847" s="65"/>
      <c r="B847" s="148"/>
      <c r="C847" s="149"/>
      <c r="D847" s="150"/>
      <c r="E847" s="151"/>
      <c r="F847" s="152"/>
      <c r="G847"/>
      <c r="H847"/>
      <c r="I847"/>
      <c r="J847"/>
      <c r="K847"/>
      <c r="L847"/>
      <c r="M847"/>
      <c r="N847"/>
      <c r="O847"/>
      <c r="P847"/>
      <c r="Q847"/>
      <c r="R847"/>
      <c r="S847"/>
      <c r="T847"/>
      <c r="U847"/>
      <c r="V847"/>
      <c r="W847"/>
      <c r="BF847" s="65"/>
      <c r="BG847" s="65"/>
      <c r="BH847" s="65"/>
      <c r="BI847" s="65"/>
      <c r="BJ847" s="65"/>
      <c r="BK847" s="65"/>
      <c r="BL847" s="65"/>
      <c r="BM847" s="65"/>
      <c r="BN847" s="65"/>
      <c r="BO847" s="65"/>
      <c r="BP847" s="65"/>
      <c r="BQ847" s="65"/>
      <c r="BR847" s="65"/>
      <c r="BS847" s="65"/>
    </row>
    <row r="848" spans="1:71" s="64" customFormat="1" outlineLevel="1">
      <c r="A848" s="65"/>
      <c r="B848" s="160"/>
      <c r="C848" s="161"/>
      <c r="D848" s="150"/>
      <c r="E848" s="162"/>
      <c r="F848" s="152"/>
      <c r="G848"/>
      <c r="H848"/>
      <c r="I848"/>
      <c r="J848"/>
      <c r="K848"/>
      <c r="L848"/>
      <c r="M848"/>
      <c r="N848"/>
      <c r="O848"/>
      <c r="P848"/>
      <c r="Q848"/>
      <c r="R848"/>
      <c r="S848"/>
      <c r="T848"/>
      <c r="U848"/>
      <c r="V848"/>
      <c r="W848"/>
      <c r="BF848" s="65"/>
      <c r="BG848" s="65"/>
      <c r="BH848" s="65"/>
      <c r="BI848" s="65"/>
      <c r="BJ848" s="65"/>
      <c r="BK848" s="65"/>
      <c r="BL848" s="65"/>
      <c r="BM848" s="65"/>
      <c r="BN848" s="65"/>
      <c r="BO848" s="65"/>
      <c r="BP848" s="65"/>
      <c r="BQ848" s="65"/>
      <c r="BR848" s="65"/>
      <c r="BS848" s="65"/>
    </row>
    <row r="849" spans="1:71" s="64" customFormat="1" outlineLevel="1">
      <c r="A849" s="65"/>
      <c r="B849" s="148"/>
      <c r="C849" s="149"/>
      <c r="D849" s="150"/>
      <c r="E849" s="151"/>
      <c r="F849" s="152"/>
      <c r="G849"/>
      <c r="H849"/>
      <c r="I849"/>
      <c r="J849"/>
      <c r="K849"/>
      <c r="L849"/>
      <c r="M849"/>
      <c r="N849"/>
      <c r="O849"/>
      <c r="P849"/>
      <c r="Q849"/>
      <c r="R849"/>
      <c r="S849"/>
      <c r="T849"/>
      <c r="U849"/>
      <c r="V849"/>
      <c r="W849"/>
      <c r="BF849" s="65"/>
      <c r="BG849" s="65"/>
      <c r="BH849" s="65"/>
      <c r="BI849" s="65"/>
      <c r="BJ849" s="65"/>
      <c r="BK849" s="65"/>
      <c r="BL849" s="65"/>
      <c r="BM849" s="65"/>
      <c r="BN849" s="65"/>
      <c r="BO849" s="65"/>
      <c r="BP849" s="65"/>
      <c r="BQ849" s="65"/>
      <c r="BR849" s="65"/>
      <c r="BS849" s="65"/>
    </row>
    <row r="850" spans="1:71" s="64" customFormat="1" outlineLevel="1">
      <c r="A850" s="65"/>
      <c r="B850" s="160"/>
      <c r="C850" s="161"/>
      <c r="D850" s="150"/>
      <c r="E850" s="162"/>
      <c r="F850" s="152"/>
      <c r="G850"/>
      <c r="H850"/>
      <c r="I850"/>
      <c r="J850"/>
      <c r="K850"/>
      <c r="L850"/>
      <c r="M850"/>
      <c r="N850"/>
      <c r="O850"/>
      <c r="P850"/>
      <c r="Q850"/>
      <c r="R850"/>
      <c r="S850"/>
      <c r="T850"/>
      <c r="U850"/>
      <c r="V850"/>
      <c r="W850"/>
      <c r="BF850" s="65"/>
      <c r="BG850" s="65"/>
      <c r="BH850" s="65"/>
      <c r="BI850" s="65"/>
      <c r="BJ850" s="65"/>
      <c r="BK850" s="65"/>
      <c r="BL850" s="65"/>
      <c r="BM850" s="65"/>
      <c r="BN850" s="65"/>
      <c r="BO850" s="65"/>
      <c r="BP850" s="65"/>
      <c r="BQ850" s="65"/>
      <c r="BR850" s="65"/>
      <c r="BS850" s="65"/>
    </row>
    <row r="851" spans="1:71" s="64" customFormat="1" outlineLevel="1">
      <c r="A851" s="65"/>
      <c r="B851" s="148"/>
      <c r="C851" s="149"/>
      <c r="D851" s="150"/>
      <c r="E851" s="151"/>
      <c r="F851" s="152"/>
      <c r="G851"/>
      <c r="H851"/>
      <c r="I851"/>
      <c r="J851"/>
      <c r="K851"/>
      <c r="L851"/>
      <c r="M851"/>
      <c r="N851"/>
      <c r="O851"/>
      <c r="P851"/>
      <c r="Q851"/>
      <c r="R851"/>
      <c r="S851"/>
      <c r="T851"/>
      <c r="U851"/>
      <c r="V851"/>
      <c r="W851"/>
      <c r="BF851" s="65"/>
      <c r="BG851" s="65"/>
      <c r="BH851" s="65"/>
      <c r="BI851" s="65"/>
      <c r="BJ851" s="65"/>
      <c r="BK851" s="65"/>
      <c r="BL851" s="65"/>
      <c r="BM851" s="65"/>
      <c r="BN851" s="65"/>
      <c r="BO851" s="65"/>
      <c r="BP851" s="65"/>
      <c r="BQ851" s="65"/>
      <c r="BR851" s="65"/>
      <c r="BS851" s="65"/>
    </row>
    <row r="852" spans="1:71" s="64" customFormat="1" outlineLevel="1">
      <c r="A852" s="65"/>
      <c r="B852" s="160"/>
      <c r="C852" s="161"/>
      <c r="D852" s="150"/>
      <c r="E852" s="162"/>
      <c r="F852" s="152"/>
      <c r="G852"/>
      <c r="H852"/>
      <c r="I852"/>
      <c r="J852"/>
      <c r="K852"/>
      <c r="L852"/>
      <c r="M852"/>
      <c r="N852"/>
      <c r="O852"/>
      <c r="P852"/>
      <c r="Q852"/>
      <c r="R852"/>
      <c r="S852"/>
      <c r="T852"/>
      <c r="U852"/>
      <c r="V852"/>
      <c r="W852"/>
      <c r="BF852" s="65"/>
      <c r="BG852" s="65"/>
      <c r="BH852" s="65"/>
      <c r="BI852" s="65"/>
      <c r="BJ852" s="65"/>
      <c r="BK852" s="65"/>
      <c r="BL852" s="65"/>
      <c r="BM852" s="65"/>
      <c r="BN852" s="65"/>
      <c r="BO852" s="65"/>
      <c r="BP852" s="65"/>
      <c r="BQ852" s="65"/>
      <c r="BR852" s="65"/>
      <c r="BS852" s="65"/>
    </row>
    <row r="853" spans="1:71" s="64" customFormat="1" outlineLevel="1">
      <c r="A853" s="65"/>
      <c r="B853" s="148"/>
      <c r="C853" s="149"/>
      <c r="D853" s="150"/>
      <c r="E853" s="151"/>
      <c r="F853" s="152"/>
      <c r="G853"/>
      <c r="H853"/>
      <c r="I853"/>
      <c r="J853"/>
      <c r="K853"/>
      <c r="L853"/>
      <c r="M853"/>
      <c r="N853"/>
      <c r="O853"/>
      <c r="P853"/>
      <c r="Q853"/>
      <c r="R853"/>
      <c r="S853"/>
      <c r="T853"/>
      <c r="U853"/>
      <c r="V853"/>
      <c r="W853"/>
      <c r="BF853" s="65"/>
      <c r="BG853" s="65"/>
      <c r="BH853" s="65"/>
      <c r="BI853" s="65"/>
      <c r="BJ853" s="65"/>
      <c r="BK853" s="65"/>
      <c r="BL853" s="65"/>
      <c r="BM853" s="65"/>
      <c r="BN853" s="65"/>
      <c r="BO853" s="65"/>
      <c r="BP853" s="65"/>
      <c r="BQ853" s="65"/>
      <c r="BR853" s="65"/>
      <c r="BS853" s="65"/>
    </row>
    <row r="854" spans="1:71" s="64" customFormat="1" outlineLevel="1">
      <c r="A854" s="65"/>
      <c r="B854" s="160"/>
      <c r="C854" s="161"/>
      <c r="D854" s="150"/>
      <c r="E854" s="162"/>
      <c r="F854" s="152"/>
      <c r="G854"/>
      <c r="H854"/>
      <c r="I854"/>
      <c r="J854"/>
      <c r="K854"/>
      <c r="L854"/>
      <c r="M854"/>
      <c r="N854"/>
      <c r="O854"/>
      <c r="P854"/>
      <c r="Q854"/>
      <c r="R854"/>
      <c r="S854"/>
      <c r="T854"/>
      <c r="U854"/>
      <c r="V854"/>
      <c r="W854"/>
      <c r="BF854" s="65"/>
      <c r="BG854" s="65"/>
      <c r="BH854" s="65"/>
      <c r="BI854" s="65"/>
      <c r="BJ854" s="65"/>
      <c r="BK854" s="65"/>
      <c r="BL854" s="65"/>
      <c r="BM854" s="65"/>
      <c r="BN854" s="65"/>
      <c r="BO854" s="65"/>
      <c r="BP854" s="65"/>
      <c r="BQ854" s="65"/>
      <c r="BR854" s="65"/>
      <c r="BS854" s="65"/>
    </row>
    <row r="855" spans="1:71" s="64" customFormat="1" outlineLevel="1">
      <c r="A855" s="65"/>
      <c r="B855" s="148"/>
      <c r="C855" s="149"/>
      <c r="D855" s="150"/>
      <c r="E855" s="151"/>
      <c r="F855" s="152"/>
      <c r="G855"/>
      <c r="H855"/>
      <c r="I855"/>
      <c r="J855"/>
      <c r="K855"/>
      <c r="L855"/>
      <c r="M855"/>
      <c r="N855"/>
      <c r="O855"/>
      <c r="P855"/>
      <c r="Q855"/>
      <c r="R855"/>
      <c r="S855"/>
      <c r="T855"/>
      <c r="U855"/>
      <c r="V855"/>
      <c r="W855"/>
      <c r="BF855" s="65"/>
      <c r="BG855" s="65"/>
      <c r="BH855" s="65"/>
      <c r="BI855" s="65"/>
      <c r="BJ855" s="65"/>
      <c r="BK855" s="65"/>
      <c r="BL855" s="65"/>
      <c r="BM855" s="65"/>
      <c r="BN855" s="65"/>
      <c r="BO855" s="65"/>
      <c r="BP855" s="65"/>
      <c r="BQ855" s="65"/>
      <c r="BR855" s="65"/>
      <c r="BS855" s="65"/>
    </row>
    <row r="856" spans="1:71" s="64" customFormat="1" outlineLevel="1">
      <c r="A856" s="65"/>
      <c r="B856" s="160"/>
      <c r="C856" s="161"/>
      <c r="D856" s="150"/>
      <c r="E856" s="162"/>
      <c r="F856" s="152"/>
      <c r="G856"/>
      <c r="H856"/>
      <c r="I856"/>
      <c r="J856"/>
      <c r="K856"/>
      <c r="L856"/>
      <c r="M856"/>
      <c r="N856"/>
      <c r="O856"/>
      <c r="P856"/>
      <c r="Q856"/>
      <c r="R856"/>
      <c r="S856"/>
      <c r="T856"/>
      <c r="U856"/>
      <c r="V856"/>
      <c r="W856"/>
      <c r="BF856" s="65"/>
      <c r="BG856" s="65"/>
      <c r="BH856" s="65"/>
      <c r="BI856" s="65"/>
      <c r="BJ856" s="65"/>
      <c r="BK856" s="65"/>
      <c r="BL856" s="65"/>
      <c r="BM856" s="65"/>
      <c r="BN856" s="65"/>
      <c r="BO856" s="65"/>
      <c r="BP856" s="65"/>
      <c r="BQ856" s="65"/>
      <c r="BR856" s="65"/>
      <c r="BS856" s="65"/>
    </row>
    <row r="857" spans="1:71" s="64" customFormat="1" outlineLevel="1">
      <c r="A857" s="65"/>
      <c r="B857" s="148"/>
      <c r="C857" s="149"/>
      <c r="D857" s="150"/>
      <c r="E857" s="151"/>
      <c r="F857" s="152"/>
      <c r="G857"/>
      <c r="H857"/>
      <c r="I857"/>
      <c r="J857"/>
      <c r="K857"/>
      <c r="L857"/>
      <c r="M857"/>
      <c r="N857"/>
      <c r="O857"/>
      <c r="P857"/>
      <c r="Q857"/>
      <c r="R857"/>
      <c r="S857"/>
      <c r="T857"/>
      <c r="U857"/>
      <c r="V857"/>
      <c r="W857"/>
      <c r="BF857" s="65"/>
      <c r="BG857" s="65"/>
      <c r="BH857" s="65"/>
      <c r="BI857" s="65"/>
      <c r="BJ857" s="65"/>
      <c r="BK857" s="65"/>
      <c r="BL857" s="65"/>
      <c r="BM857" s="65"/>
      <c r="BN857" s="65"/>
      <c r="BO857" s="65"/>
      <c r="BP857" s="65"/>
      <c r="BQ857" s="65"/>
      <c r="BR857" s="65"/>
      <c r="BS857" s="65"/>
    </row>
    <row r="858" spans="1:71" s="64" customFormat="1" outlineLevel="1">
      <c r="A858" s="65"/>
      <c r="B858" s="160"/>
      <c r="C858" s="161"/>
      <c r="D858" s="150"/>
      <c r="E858" s="162"/>
      <c r="F858" s="152"/>
      <c r="G858"/>
      <c r="H858"/>
      <c r="I858"/>
      <c r="J858"/>
      <c r="K858"/>
      <c r="L858"/>
      <c r="M858"/>
      <c r="N858"/>
      <c r="O858"/>
      <c r="P858"/>
      <c r="Q858"/>
      <c r="R858"/>
      <c r="S858"/>
      <c r="T858"/>
      <c r="U858"/>
      <c r="V858"/>
      <c r="W858"/>
      <c r="BF858" s="65"/>
      <c r="BG858" s="65"/>
      <c r="BH858" s="65"/>
      <c r="BI858" s="65"/>
      <c r="BJ858" s="65"/>
      <c r="BK858" s="65"/>
      <c r="BL858" s="65"/>
      <c r="BM858" s="65"/>
      <c r="BN858" s="65"/>
      <c r="BO858" s="65"/>
      <c r="BP858" s="65"/>
      <c r="BQ858" s="65"/>
      <c r="BR858" s="65"/>
      <c r="BS858" s="65"/>
    </row>
    <row r="859" spans="1:71" s="64" customFormat="1" outlineLevel="1">
      <c r="A859" s="65"/>
      <c r="B859" s="148"/>
      <c r="C859" s="149"/>
      <c r="D859" s="150"/>
      <c r="E859" s="151"/>
      <c r="F859" s="152"/>
      <c r="G859"/>
      <c r="H859"/>
      <c r="I859"/>
      <c r="J859"/>
      <c r="K859"/>
      <c r="L859"/>
      <c r="M859"/>
      <c r="N859"/>
      <c r="O859"/>
      <c r="P859"/>
      <c r="Q859"/>
      <c r="R859"/>
      <c r="S859"/>
      <c r="T859"/>
      <c r="U859"/>
      <c r="V859"/>
      <c r="W859"/>
      <c r="BF859" s="65"/>
      <c r="BG859" s="65"/>
      <c r="BH859" s="65"/>
      <c r="BI859" s="65"/>
      <c r="BJ859" s="65"/>
      <c r="BK859" s="65"/>
      <c r="BL859" s="65"/>
      <c r="BM859" s="65"/>
      <c r="BN859" s="65"/>
      <c r="BO859" s="65"/>
      <c r="BP859" s="65"/>
      <c r="BQ859" s="65"/>
      <c r="BR859" s="65"/>
      <c r="BS859" s="65"/>
    </row>
    <row r="860" spans="1:71" s="64" customFormat="1" outlineLevel="1">
      <c r="A860" s="65"/>
      <c r="B860" s="160"/>
      <c r="C860" s="161"/>
      <c r="D860" s="150"/>
      <c r="E860" s="162"/>
      <c r="F860" s="152"/>
      <c r="G860"/>
      <c r="H860"/>
      <c r="I860"/>
      <c r="J860"/>
      <c r="K860"/>
      <c r="L860"/>
      <c r="M860"/>
      <c r="N860"/>
      <c r="O860"/>
      <c r="P860"/>
      <c r="Q860"/>
      <c r="R860"/>
      <c r="S860"/>
      <c r="T860"/>
      <c r="U860"/>
      <c r="V860"/>
      <c r="W860"/>
      <c r="BF860" s="65"/>
      <c r="BG860" s="65"/>
      <c r="BH860" s="65"/>
      <c r="BI860" s="65"/>
      <c r="BJ860" s="65"/>
      <c r="BK860" s="65"/>
      <c r="BL860" s="65"/>
      <c r="BM860" s="65"/>
      <c r="BN860" s="65"/>
      <c r="BO860" s="65"/>
      <c r="BP860" s="65"/>
      <c r="BQ860" s="65"/>
      <c r="BR860" s="65"/>
      <c r="BS860" s="65"/>
    </row>
    <row r="861" spans="1:71" s="64" customFormat="1" outlineLevel="1">
      <c r="A861" s="65"/>
      <c r="B861" s="148"/>
      <c r="C861" s="149"/>
      <c r="D861" s="150"/>
      <c r="E861" s="151"/>
      <c r="F861" s="152"/>
      <c r="G861"/>
      <c r="H861"/>
      <c r="I861"/>
      <c r="J861"/>
      <c r="K861"/>
      <c r="L861"/>
      <c r="M861"/>
      <c r="N861"/>
      <c r="O861"/>
      <c r="P861"/>
      <c r="Q861"/>
      <c r="R861"/>
      <c r="S861"/>
      <c r="T861"/>
      <c r="U861"/>
      <c r="V861"/>
      <c r="W861"/>
      <c r="BF861" s="65"/>
      <c r="BG861" s="65"/>
      <c r="BH861" s="65"/>
      <c r="BI861" s="65"/>
      <c r="BJ861" s="65"/>
      <c r="BK861" s="65"/>
      <c r="BL861" s="65"/>
      <c r="BM861" s="65"/>
      <c r="BN861" s="65"/>
      <c r="BO861" s="65"/>
      <c r="BP861" s="65"/>
      <c r="BQ861" s="65"/>
      <c r="BR861" s="65"/>
      <c r="BS861" s="65"/>
    </row>
    <row r="862" spans="1:71" s="64" customFormat="1" outlineLevel="1">
      <c r="A862" s="65"/>
      <c r="B862" s="160"/>
      <c r="C862" s="161"/>
      <c r="D862" s="150"/>
      <c r="E862" s="162"/>
      <c r="F862" s="152"/>
      <c r="G862"/>
      <c r="H862"/>
      <c r="I862"/>
      <c r="J862"/>
      <c r="K862"/>
      <c r="L862"/>
      <c r="M862"/>
      <c r="N862"/>
      <c r="O862"/>
      <c r="P862"/>
      <c r="Q862"/>
      <c r="R862"/>
      <c r="S862"/>
      <c r="T862"/>
      <c r="U862"/>
      <c r="V862"/>
      <c r="W862"/>
      <c r="BF862" s="65"/>
      <c r="BG862" s="65"/>
      <c r="BH862" s="65"/>
      <c r="BI862" s="65"/>
      <c r="BJ862" s="65"/>
      <c r="BK862" s="65"/>
      <c r="BL862" s="65"/>
      <c r="BM862" s="65"/>
      <c r="BN862" s="65"/>
      <c r="BO862" s="65"/>
      <c r="BP862" s="65"/>
      <c r="BQ862" s="65"/>
      <c r="BR862" s="65"/>
      <c r="BS862" s="65"/>
    </row>
    <row r="863" spans="1:71" s="64" customFormat="1" outlineLevel="1">
      <c r="A863" s="65"/>
      <c r="B863" s="148"/>
      <c r="C863" s="149"/>
      <c r="D863" s="150"/>
      <c r="E863" s="151"/>
      <c r="F863" s="152"/>
      <c r="G863"/>
      <c r="H863"/>
      <c r="I863"/>
      <c r="J863"/>
      <c r="K863"/>
      <c r="L863"/>
      <c r="M863"/>
      <c r="N863"/>
      <c r="O863"/>
      <c r="P863"/>
      <c r="Q863"/>
      <c r="R863"/>
      <c r="S863"/>
      <c r="T863"/>
      <c r="U863"/>
      <c r="V863"/>
      <c r="W863"/>
      <c r="BF863" s="65"/>
      <c r="BG863" s="65"/>
      <c r="BH863" s="65"/>
      <c r="BI863" s="65"/>
      <c r="BJ863" s="65"/>
      <c r="BK863" s="65"/>
      <c r="BL863" s="65"/>
      <c r="BM863" s="65"/>
      <c r="BN863" s="65"/>
      <c r="BO863" s="65"/>
      <c r="BP863" s="65"/>
      <c r="BQ863" s="65"/>
      <c r="BR863" s="65"/>
      <c r="BS863" s="65"/>
    </row>
    <row r="864" spans="1:71" s="64" customFormat="1" outlineLevel="1">
      <c r="A864" s="65"/>
      <c r="B864" s="160"/>
      <c r="C864" s="161"/>
      <c r="D864" s="150"/>
      <c r="E864" s="162"/>
      <c r="F864" s="152"/>
      <c r="G864"/>
      <c r="H864"/>
      <c r="I864"/>
      <c r="J864"/>
      <c r="K864"/>
      <c r="L864"/>
      <c r="M864"/>
      <c r="N864"/>
      <c r="O864"/>
      <c r="P864"/>
      <c r="Q864"/>
      <c r="R864"/>
      <c r="S864"/>
      <c r="T864"/>
      <c r="U864"/>
      <c r="V864"/>
      <c r="W864"/>
      <c r="BF864" s="65"/>
      <c r="BG864" s="65"/>
      <c r="BH864" s="65"/>
      <c r="BI864" s="65"/>
      <c r="BJ864" s="65"/>
      <c r="BK864" s="65"/>
      <c r="BL864" s="65"/>
      <c r="BM864" s="65"/>
      <c r="BN864" s="65"/>
      <c r="BO864" s="65"/>
      <c r="BP864" s="65"/>
      <c r="BQ864" s="65"/>
      <c r="BR864" s="65"/>
      <c r="BS864" s="65"/>
    </row>
    <row r="865" spans="1:71" s="64" customFormat="1" outlineLevel="1">
      <c r="A865" s="65"/>
      <c r="B865" s="148"/>
      <c r="C865" s="149"/>
      <c r="D865" s="150"/>
      <c r="E865" s="151"/>
      <c r="F865" s="152"/>
      <c r="G865"/>
      <c r="H865"/>
      <c r="I865"/>
      <c r="J865"/>
      <c r="K865"/>
      <c r="L865"/>
      <c r="M865"/>
      <c r="N865"/>
      <c r="O865"/>
      <c r="P865"/>
      <c r="Q865"/>
      <c r="R865"/>
      <c r="S865"/>
      <c r="T865"/>
      <c r="U865"/>
      <c r="V865"/>
      <c r="W865"/>
      <c r="BF865" s="65"/>
      <c r="BG865" s="65"/>
      <c r="BH865" s="65"/>
      <c r="BI865" s="65"/>
      <c r="BJ865" s="65"/>
      <c r="BK865" s="65"/>
      <c r="BL865" s="65"/>
      <c r="BM865" s="65"/>
      <c r="BN865" s="65"/>
      <c r="BO865" s="65"/>
      <c r="BP865" s="65"/>
      <c r="BQ865" s="65"/>
      <c r="BR865" s="65"/>
      <c r="BS865" s="65"/>
    </row>
    <row r="866" spans="1:71" s="64" customFormat="1" outlineLevel="1">
      <c r="A866" s="65"/>
      <c r="B866" s="160"/>
      <c r="C866" s="161"/>
      <c r="D866" s="150"/>
      <c r="E866" s="162"/>
      <c r="F866" s="152"/>
      <c r="G866"/>
      <c r="H866"/>
      <c r="I866"/>
      <c r="J866"/>
      <c r="K866"/>
      <c r="L866"/>
      <c r="M866"/>
      <c r="N866"/>
      <c r="O866"/>
      <c r="P866"/>
      <c r="Q866"/>
      <c r="R866"/>
      <c r="S866"/>
      <c r="T866"/>
      <c r="U866"/>
      <c r="V866"/>
      <c r="W866"/>
      <c r="BF866" s="65"/>
      <c r="BG866" s="65"/>
      <c r="BH866" s="65"/>
      <c r="BI866" s="65"/>
      <c r="BJ866" s="65"/>
      <c r="BK866" s="65"/>
      <c r="BL866" s="65"/>
      <c r="BM866" s="65"/>
      <c r="BN866" s="65"/>
      <c r="BO866" s="65"/>
      <c r="BP866" s="65"/>
      <c r="BQ866" s="65"/>
      <c r="BR866" s="65"/>
      <c r="BS866" s="65"/>
    </row>
    <row r="867" spans="1:71" s="64" customFormat="1" outlineLevel="1">
      <c r="A867" s="65"/>
      <c r="B867" s="148"/>
      <c r="C867" s="149"/>
      <c r="D867" s="150"/>
      <c r="E867" s="151"/>
      <c r="F867" s="152"/>
      <c r="G867"/>
      <c r="H867"/>
      <c r="I867"/>
      <c r="J867"/>
      <c r="K867"/>
      <c r="L867"/>
      <c r="M867"/>
      <c r="N867"/>
      <c r="O867"/>
      <c r="P867"/>
      <c r="Q867"/>
      <c r="R867"/>
      <c r="S867"/>
      <c r="T867"/>
      <c r="U867"/>
      <c r="V867"/>
      <c r="W867"/>
      <c r="BF867" s="65"/>
      <c r="BG867" s="65"/>
      <c r="BH867" s="65"/>
      <c r="BI867" s="65"/>
      <c r="BJ867" s="65"/>
      <c r="BK867" s="65"/>
      <c r="BL867" s="65"/>
      <c r="BM867" s="65"/>
      <c r="BN867" s="65"/>
      <c r="BO867" s="65"/>
      <c r="BP867" s="65"/>
      <c r="BQ867" s="65"/>
      <c r="BR867" s="65"/>
      <c r="BS867" s="65"/>
    </row>
    <row r="868" spans="1:71" s="64" customFormat="1" outlineLevel="1">
      <c r="A868" s="65"/>
      <c r="B868" s="160"/>
      <c r="C868" s="161"/>
      <c r="D868" s="150"/>
      <c r="E868" s="162"/>
      <c r="F868" s="152"/>
      <c r="G868"/>
      <c r="H868"/>
      <c r="I868"/>
      <c r="J868"/>
      <c r="K868"/>
      <c r="L868"/>
      <c r="M868"/>
      <c r="N868"/>
      <c r="O868"/>
      <c r="P868"/>
      <c r="Q868"/>
      <c r="R868"/>
      <c r="S868"/>
      <c r="T868"/>
      <c r="U868"/>
      <c r="V868"/>
      <c r="W868"/>
      <c r="BF868" s="65"/>
      <c r="BG868" s="65"/>
      <c r="BH868" s="65"/>
      <c r="BI868" s="65"/>
      <c r="BJ868" s="65"/>
      <c r="BK868" s="65"/>
      <c r="BL868" s="65"/>
      <c r="BM868" s="65"/>
      <c r="BN868" s="65"/>
      <c r="BO868" s="65"/>
      <c r="BP868" s="65"/>
      <c r="BQ868" s="65"/>
      <c r="BR868" s="65"/>
      <c r="BS868" s="65"/>
    </row>
    <row r="869" spans="1:71" s="64" customFormat="1" outlineLevel="1">
      <c r="A869" s="65"/>
      <c r="B869" s="148"/>
      <c r="C869" s="149"/>
      <c r="D869" s="150"/>
      <c r="E869" s="151"/>
      <c r="F869" s="152"/>
      <c r="G869"/>
      <c r="H869"/>
      <c r="I869"/>
      <c r="J869"/>
      <c r="K869"/>
      <c r="L869"/>
      <c r="M869"/>
      <c r="N869"/>
      <c r="O869"/>
      <c r="P869"/>
      <c r="Q869"/>
      <c r="R869"/>
      <c r="S869"/>
      <c r="T869"/>
      <c r="U869"/>
      <c r="V869"/>
      <c r="W869"/>
      <c r="BF869" s="65"/>
      <c r="BG869" s="65"/>
      <c r="BH869" s="65"/>
      <c r="BI869" s="65"/>
      <c r="BJ869" s="65"/>
      <c r="BK869" s="65"/>
      <c r="BL869" s="65"/>
      <c r="BM869" s="65"/>
      <c r="BN869" s="65"/>
      <c r="BO869" s="65"/>
      <c r="BP869" s="65"/>
      <c r="BQ869" s="65"/>
      <c r="BR869" s="65"/>
      <c r="BS869" s="65"/>
    </row>
    <row r="870" spans="1:71" s="64" customFormat="1" outlineLevel="1">
      <c r="A870" s="65"/>
      <c r="B870" s="160"/>
      <c r="C870" s="161"/>
      <c r="D870" s="150"/>
      <c r="E870" s="162"/>
      <c r="F870" s="152"/>
      <c r="G870"/>
      <c r="H870"/>
      <c r="I870"/>
      <c r="J870"/>
      <c r="K870"/>
      <c r="L870"/>
      <c r="M870"/>
      <c r="N870"/>
      <c r="O870"/>
      <c r="P870"/>
      <c r="Q870"/>
      <c r="R870"/>
      <c r="S870"/>
      <c r="T870"/>
      <c r="U870"/>
      <c r="V870"/>
      <c r="W870"/>
      <c r="BF870" s="65"/>
      <c r="BG870" s="65"/>
      <c r="BH870" s="65"/>
      <c r="BI870" s="65"/>
      <c r="BJ870" s="65"/>
      <c r="BK870" s="65"/>
      <c r="BL870" s="65"/>
      <c r="BM870" s="65"/>
      <c r="BN870" s="65"/>
      <c r="BO870" s="65"/>
      <c r="BP870" s="65"/>
      <c r="BQ870" s="65"/>
      <c r="BR870" s="65"/>
      <c r="BS870" s="65"/>
    </row>
    <row r="871" spans="1:71" s="64" customFormat="1" outlineLevel="1">
      <c r="A871" s="65"/>
      <c r="B871" s="148"/>
      <c r="C871" s="149"/>
      <c r="D871" s="150"/>
      <c r="E871" s="151"/>
      <c r="F871" s="152"/>
      <c r="G871"/>
      <c r="H871"/>
      <c r="I871"/>
      <c r="J871"/>
      <c r="K871"/>
      <c r="L871"/>
      <c r="M871"/>
      <c r="N871"/>
      <c r="O871"/>
      <c r="P871"/>
      <c r="Q871"/>
      <c r="R871"/>
      <c r="S871"/>
      <c r="T871"/>
      <c r="U871"/>
      <c r="V871"/>
      <c r="W871"/>
      <c r="BF871" s="65"/>
      <c r="BG871" s="65"/>
      <c r="BH871" s="65"/>
      <c r="BI871" s="65"/>
      <c r="BJ871" s="65"/>
      <c r="BK871" s="65"/>
      <c r="BL871" s="65"/>
      <c r="BM871" s="65"/>
      <c r="BN871" s="65"/>
      <c r="BO871" s="65"/>
      <c r="BP871" s="65"/>
      <c r="BQ871" s="65"/>
      <c r="BR871" s="65"/>
      <c r="BS871" s="65"/>
    </row>
    <row r="872" spans="1:71" s="64" customFormat="1" outlineLevel="1">
      <c r="A872" s="65"/>
      <c r="B872" s="160"/>
      <c r="C872" s="161"/>
      <c r="D872" s="150"/>
      <c r="E872" s="162"/>
      <c r="F872" s="152"/>
      <c r="G872"/>
      <c r="H872"/>
      <c r="I872"/>
      <c r="J872"/>
      <c r="K872"/>
      <c r="L872"/>
      <c r="M872"/>
      <c r="N872"/>
      <c r="O872"/>
      <c r="P872"/>
      <c r="Q872"/>
      <c r="R872"/>
      <c r="S872"/>
      <c r="T872"/>
      <c r="U872"/>
      <c r="V872"/>
      <c r="W872"/>
      <c r="BF872" s="65"/>
      <c r="BG872" s="65"/>
      <c r="BH872" s="65"/>
      <c r="BI872" s="65"/>
      <c r="BJ872" s="65"/>
      <c r="BK872" s="65"/>
      <c r="BL872" s="65"/>
      <c r="BM872" s="65"/>
      <c r="BN872" s="65"/>
      <c r="BO872" s="65"/>
      <c r="BP872" s="65"/>
      <c r="BQ872" s="65"/>
      <c r="BR872" s="65"/>
      <c r="BS872" s="65"/>
    </row>
    <row r="873" spans="1:71" s="64" customFormat="1" outlineLevel="1">
      <c r="A873" s="65"/>
      <c r="B873" s="148"/>
      <c r="C873" s="149"/>
      <c r="D873" s="150"/>
      <c r="E873" s="151"/>
      <c r="F873" s="152"/>
      <c r="G873"/>
      <c r="H873"/>
      <c r="I873"/>
      <c r="J873"/>
      <c r="K873"/>
      <c r="L873"/>
      <c r="M873"/>
      <c r="N873"/>
      <c r="O873"/>
      <c r="P873"/>
      <c r="Q873"/>
      <c r="R873"/>
      <c r="S873"/>
      <c r="T873"/>
      <c r="U873"/>
      <c r="V873"/>
      <c r="W873"/>
      <c r="BF873" s="65"/>
      <c r="BG873" s="65"/>
      <c r="BH873" s="65"/>
      <c r="BI873" s="65"/>
      <c r="BJ873" s="65"/>
      <c r="BK873" s="65"/>
      <c r="BL873" s="65"/>
      <c r="BM873" s="65"/>
      <c r="BN873" s="65"/>
      <c r="BO873" s="65"/>
      <c r="BP873" s="65"/>
      <c r="BQ873" s="65"/>
      <c r="BR873" s="65"/>
      <c r="BS873" s="65"/>
    </row>
    <row r="874" spans="1:71" s="64" customFormat="1" outlineLevel="1">
      <c r="A874" s="65"/>
      <c r="B874" s="160"/>
      <c r="C874" s="161"/>
      <c r="D874" s="150"/>
      <c r="E874" s="162"/>
      <c r="F874" s="152"/>
      <c r="G874"/>
      <c r="H874"/>
      <c r="I874"/>
      <c r="J874"/>
      <c r="K874"/>
      <c r="L874"/>
      <c r="M874"/>
      <c r="N874"/>
      <c r="O874"/>
      <c r="P874"/>
      <c r="Q874"/>
      <c r="R874"/>
      <c r="S874"/>
      <c r="T874"/>
      <c r="U874"/>
      <c r="V874"/>
      <c r="W874"/>
      <c r="BF874" s="65"/>
      <c r="BG874" s="65"/>
      <c r="BH874" s="65"/>
      <c r="BI874" s="65"/>
      <c r="BJ874" s="65"/>
      <c r="BK874" s="65"/>
      <c r="BL874" s="65"/>
      <c r="BM874" s="65"/>
      <c r="BN874" s="65"/>
      <c r="BO874" s="65"/>
      <c r="BP874" s="65"/>
      <c r="BQ874" s="65"/>
      <c r="BR874" s="65"/>
      <c r="BS874" s="65"/>
    </row>
    <row r="875" spans="1:71" s="64" customFormat="1" outlineLevel="1">
      <c r="A875" s="65"/>
      <c r="B875" s="148"/>
      <c r="C875" s="149"/>
      <c r="D875" s="150"/>
      <c r="E875" s="151"/>
      <c r="F875" s="152"/>
      <c r="G875"/>
      <c r="H875"/>
      <c r="I875"/>
      <c r="J875"/>
      <c r="K875"/>
      <c r="L875"/>
      <c r="M875"/>
      <c r="N875"/>
      <c r="O875"/>
      <c r="P875"/>
      <c r="Q875"/>
      <c r="R875"/>
      <c r="S875"/>
      <c r="T875"/>
      <c r="U875"/>
      <c r="V875"/>
      <c r="W875"/>
      <c r="BF875" s="65"/>
      <c r="BG875" s="65"/>
      <c r="BH875" s="65"/>
      <c r="BI875" s="65"/>
      <c r="BJ875" s="65"/>
      <c r="BK875" s="65"/>
      <c r="BL875" s="65"/>
      <c r="BM875" s="65"/>
      <c r="BN875" s="65"/>
      <c r="BO875" s="65"/>
      <c r="BP875" s="65"/>
      <c r="BQ875" s="65"/>
      <c r="BR875" s="65"/>
      <c r="BS875" s="65"/>
    </row>
    <row r="876" spans="1:71" s="64" customFormat="1" outlineLevel="1">
      <c r="A876" s="65"/>
      <c r="B876" s="160"/>
      <c r="C876" s="161"/>
      <c r="D876" s="150"/>
      <c r="E876" s="162"/>
      <c r="F876" s="152"/>
      <c r="G876"/>
      <c r="H876"/>
      <c r="I876"/>
      <c r="J876"/>
      <c r="K876"/>
      <c r="L876"/>
      <c r="M876"/>
      <c r="N876"/>
      <c r="O876"/>
      <c r="P876"/>
      <c r="Q876"/>
      <c r="R876"/>
      <c r="S876"/>
      <c r="T876"/>
      <c r="U876"/>
      <c r="V876"/>
      <c r="W876"/>
      <c r="BF876" s="65"/>
      <c r="BG876" s="65"/>
      <c r="BH876" s="65"/>
      <c r="BI876" s="65"/>
      <c r="BJ876" s="65"/>
      <c r="BK876" s="65"/>
      <c r="BL876" s="65"/>
      <c r="BM876" s="65"/>
      <c r="BN876" s="65"/>
      <c r="BO876" s="65"/>
      <c r="BP876" s="65"/>
      <c r="BQ876" s="65"/>
      <c r="BR876" s="65"/>
      <c r="BS876" s="65"/>
    </row>
    <row r="877" spans="1:71" s="64" customFormat="1" outlineLevel="1">
      <c r="A877" s="65"/>
      <c r="B877" s="148"/>
      <c r="C877" s="149"/>
      <c r="D877" s="150"/>
      <c r="E877" s="151"/>
      <c r="F877" s="152"/>
      <c r="G877"/>
      <c r="H877"/>
      <c r="I877"/>
      <c r="J877"/>
      <c r="K877"/>
      <c r="L877"/>
      <c r="M877"/>
      <c r="N877"/>
      <c r="O877"/>
      <c r="P877"/>
      <c r="Q877"/>
      <c r="R877"/>
      <c r="S877"/>
      <c r="T877"/>
      <c r="U877"/>
      <c r="V877"/>
      <c r="W877"/>
      <c r="BF877" s="65"/>
      <c r="BG877" s="65"/>
      <c r="BH877" s="65"/>
      <c r="BI877" s="65"/>
      <c r="BJ877" s="65"/>
      <c r="BK877" s="65"/>
      <c r="BL877" s="65"/>
      <c r="BM877" s="65"/>
      <c r="BN877" s="65"/>
      <c r="BO877" s="65"/>
      <c r="BP877" s="65"/>
      <c r="BQ877" s="65"/>
      <c r="BR877" s="65"/>
      <c r="BS877" s="65"/>
    </row>
    <row r="878" spans="1:71" s="64" customFormat="1" outlineLevel="1">
      <c r="A878" s="65"/>
      <c r="B878" s="160"/>
      <c r="C878" s="161"/>
      <c r="D878" s="150"/>
      <c r="E878" s="162"/>
      <c r="F878" s="152"/>
      <c r="G878"/>
      <c r="H878"/>
      <c r="I878"/>
      <c r="J878"/>
      <c r="K878"/>
      <c r="L878"/>
      <c r="M878"/>
      <c r="N878"/>
      <c r="O878"/>
      <c r="P878"/>
      <c r="Q878"/>
      <c r="R878"/>
      <c r="S878"/>
      <c r="T878"/>
      <c r="U878"/>
      <c r="V878"/>
      <c r="W878"/>
      <c r="BF878" s="65"/>
      <c r="BG878" s="65"/>
      <c r="BH878" s="65"/>
      <c r="BI878" s="65"/>
      <c r="BJ878" s="65"/>
      <c r="BK878" s="65"/>
      <c r="BL878" s="65"/>
      <c r="BM878" s="65"/>
      <c r="BN878" s="65"/>
      <c r="BO878" s="65"/>
      <c r="BP878" s="65"/>
      <c r="BQ878" s="65"/>
      <c r="BR878" s="65"/>
      <c r="BS878" s="65"/>
    </row>
    <row r="879" spans="1:71" s="64" customFormat="1" outlineLevel="1">
      <c r="A879" s="65"/>
      <c r="B879" s="148"/>
      <c r="C879" s="149"/>
      <c r="D879" s="150"/>
      <c r="E879" s="151"/>
      <c r="F879" s="152"/>
      <c r="G879"/>
      <c r="H879"/>
      <c r="I879"/>
      <c r="J879"/>
      <c r="K879"/>
      <c r="L879"/>
      <c r="M879"/>
      <c r="N879"/>
      <c r="O879"/>
      <c r="P879"/>
      <c r="Q879"/>
      <c r="R879"/>
      <c r="S879"/>
      <c r="T879"/>
      <c r="U879"/>
      <c r="V879"/>
      <c r="W879"/>
      <c r="BF879" s="65"/>
      <c r="BG879" s="65"/>
      <c r="BH879" s="65"/>
      <c r="BI879" s="65"/>
      <c r="BJ879" s="65"/>
      <c r="BK879" s="65"/>
      <c r="BL879" s="65"/>
      <c r="BM879" s="65"/>
      <c r="BN879" s="65"/>
      <c r="BO879" s="65"/>
      <c r="BP879" s="65"/>
      <c r="BQ879" s="65"/>
      <c r="BR879" s="65"/>
      <c r="BS879" s="65"/>
    </row>
    <row r="880" spans="1:71" s="64" customFormat="1" outlineLevel="1">
      <c r="A880" s="65"/>
      <c r="B880" s="160"/>
      <c r="C880" s="161"/>
      <c r="D880" s="150"/>
      <c r="E880" s="162"/>
      <c r="F880" s="152"/>
      <c r="G880"/>
      <c r="H880"/>
      <c r="I880"/>
      <c r="J880"/>
      <c r="K880"/>
      <c r="L880"/>
      <c r="M880"/>
      <c r="N880"/>
      <c r="O880"/>
      <c r="P880"/>
      <c r="Q880"/>
      <c r="R880"/>
      <c r="S880"/>
      <c r="T880"/>
      <c r="U880"/>
      <c r="V880"/>
      <c r="W880"/>
      <c r="BF880" s="65"/>
      <c r="BG880" s="65"/>
      <c r="BH880" s="65"/>
      <c r="BI880" s="65"/>
      <c r="BJ880" s="65"/>
      <c r="BK880" s="65"/>
      <c r="BL880" s="65"/>
      <c r="BM880" s="65"/>
      <c r="BN880" s="65"/>
      <c r="BO880" s="65"/>
      <c r="BP880" s="65"/>
      <c r="BQ880" s="65"/>
      <c r="BR880" s="65"/>
      <c r="BS880" s="65"/>
    </row>
    <row r="881" spans="1:71" s="64" customFormat="1" outlineLevel="1">
      <c r="A881" s="65"/>
      <c r="B881" s="148"/>
      <c r="C881" s="149"/>
      <c r="D881" s="150"/>
      <c r="E881" s="151"/>
      <c r="F881" s="152"/>
      <c r="G881"/>
      <c r="H881"/>
      <c r="I881"/>
      <c r="J881"/>
      <c r="K881"/>
      <c r="L881"/>
      <c r="M881"/>
      <c r="N881"/>
      <c r="O881"/>
      <c r="P881"/>
      <c r="Q881"/>
      <c r="R881"/>
      <c r="S881"/>
      <c r="T881"/>
      <c r="U881"/>
      <c r="V881"/>
      <c r="W881"/>
      <c r="BF881" s="65"/>
      <c r="BG881" s="65"/>
      <c r="BH881" s="65"/>
      <c r="BI881" s="65"/>
      <c r="BJ881" s="65"/>
      <c r="BK881" s="65"/>
      <c r="BL881" s="65"/>
      <c r="BM881" s="65"/>
      <c r="BN881" s="65"/>
      <c r="BO881" s="65"/>
      <c r="BP881" s="65"/>
      <c r="BQ881" s="65"/>
      <c r="BR881" s="65"/>
      <c r="BS881" s="65"/>
    </row>
    <row r="882" spans="1:71" s="64" customFormat="1" outlineLevel="1">
      <c r="A882" s="65"/>
      <c r="B882" s="160"/>
      <c r="C882" s="161"/>
      <c r="D882" s="150"/>
      <c r="E882" s="162"/>
      <c r="F882" s="152"/>
      <c r="G882"/>
      <c r="H882"/>
      <c r="I882"/>
      <c r="J882"/>
      <c r="K882"/>
      <c r="L882"/>
      <c r="M882"/>
      <c r="N882"/>
      <c r="O882"/>
      <c r="P882"/>
      <c r="Q882"/>
      <c r="R882"/>
      <c r="S882"/>
      <c r="T882"/>
      <c r="U882"/>
      <c r="V882"/>
      <c r="W882"/>
      <c r="BF882" s="65"/>
      <c r="BG882" s="65"/>
      <c r="BH882" s="65"/>
      <c r="BI882" s="65"/>
      <c r="BJ882" s="65"/>
      <c r="BK882" s="65"/>
      <c r="BL882" s="65"/>
      <c r="BM882" s="65"/>
      <c r="BN882" s="65"/>
      <c r="BO882" s="65"/>
      <c r="BP882" s="65"/>
      <c r="BQ882" s="65"/>
      <c r="BR882" s="65"/>
      <c r="BS882" s="65"/>
    </row>
    <row r="883" spans="1:71" s="64" customFormat="1" outlineLevel="1">
      <c r="A883" s="65"/>
      <c r="B883" s="148"/>
      <c r="C883" s="149"/>
      <c r="D883" s="150"/>
      <c r="E883" s="151"/>
      <c r="F883" s="152"/>
      <c r="G883"/>
      <c r="H883"/>
      <c r="I883"/>
      <c r="J883"/>
      <c r="K883"/>
      <c r="L883"/>
      <c r="M883"/>
      <c r="N883"/>
      <c r="O883"/>
      <c r="P883"/>
      <c r="Q883"/>
      <c r="R883"/>
      <c r="S883"/>
      <c r="T883"/>
      <c r="U883"/>
      <c r="V883"/>
      <c r="W883"/>
      <c r="BF883" s="65"/>
      <c r="BG883" s="65"/>
      <c r="BH883" s="65"/>
      <c r="BI883" s="65"/>
      <c r="BJ883" s="65"/>
      <c r="BK883" s="65"/>
      <c r="BL883" s="65"/>
      <c r="BM883" s="65"/>
      <c r="BN883" s="65"/>
      <c r="BO883" s="65"/>
      <c r="BP883" s="65"/>
      <c r="BQ883" s="65"/>
      <c r="BR883" s="65"/>
      <c r="BS883" s="65"/>
    </row>
    <row r="884" spans="1:71" s="64" customFormat="1" outlineLevel="1">
      <c r="A884" s="65"/>
      <c r="B884" s="160"/>
      <c r="C884" s="161"/>
      <c r="D884" s="150"/>
      <c r="E884" s="162"/>
      <c r="F884" s="152"/>
      <c r="G884"/>
      <c r="H884"/>
      <c r="I884"/>
      <c r="J884"/>
      <c r="K884"/>
      <c r="L884"/>
      <c r="M884"/>
      <c r="N884"/>
      <c r="O884"/>
      <c r="P884"/>
      <c r="Q884"/>
      <c r="R884"/>
      <c r="S884"/>
      <c r="T884"/>
      <c r="U884"/>
      <c r="V884"/>
      <c r="W884"/>
      <c r="BF884" s="65"/>
      <c r="BG884" s="65"/>
      <c r="BH884" s="65"/>
      <c r="BI884" s="65"/>
      <c r="BJ884" s="65"/>
      <c r="BK884" s="65"/>
      <c r="BL884" s="65"/>
      <c r="BM884" s="65"/>
      <c r="BN884" s="65"/>
      <c r="BO884" s="65"/>
      <c r="BP884" s="65"/>
      <c r="BQ884" s="65"/>
      <c r="BR884" s="65"/>
      <c r="BS884" s="65"/>
    </row>
    <row r="885" spans="1:71" s="64" customFormat="1" outlineLevel="1">
      <c r="A885" s="65"/>
      <c r="B885" s="148"/>
      <c r="C885" s="149"/>
      <c r="D885" s="150"/>
      <c r="E885" s="151"/>
      <c r="F885" s="152"/>
      <c r="G885"/>
      <c r="H885"/>
      <c r="I885"/>
      <c r="J885"/>
      <c r="K885"/>
      <c r="L885"/>
      <c r="M885"/>
      <c r="N885"/>
      <c r="O885"/>
      <c r="P885"/>
      <c r="Q885"/>
      <c r="R885"/>
      <c r="S885"/>
      <c r="T885"/>
      <c r="U885"/>
      <c r="V885"/>
      <c r="W885"/>
      <c r="BF885" s="65"/>
      <c r="BG885" s="65"/>
      <c r="BH885" s="65"/>
      <c r="BI885" s="65"/>
      <c r="BJ885" s="65"/>
      <c r="BK885" s="65"/>
      <c r="BL885" s="65"/>
      <c r="BM885" s="65"/>
      <c r="BN885" s="65"/>
      <c r="BO885" s="65"/>
      <c r="BP885" s="65"/>
      <c r="BQ885" s="65"/>
      <c r="BR885" s="65"/>
      <c r="BS885" s="65"/>
    </row>
    <row r="886" spans="1:71" s="64" customFormat="1" outlineLevel="1">
      <c r="A886" s="65"/>
      <c r="B886" s="160"/>
      <c r="C886" s="161"/>
      <c r="D886" s="150"/>
      <c r="E886" s="162"/>
      <c r="F886" s="152"/>
      <c r="G886"/>
      <c r="H886"/>
      <c r="I886"/>
      <c r="J886"/>
      <c r="K886"/>
      <c r="L886"/>
      <c r="M886"/>
      <c r="N886"/>
      <c r="O886"/>
      <c r="P886"/>
      <c r="Q886"/>
      <c r="R886"/>
      <c r="S886"/>
      <c r="T886"/>
      <c r="U886"/>
      <c r="V886"/>
      <c r="W886"/>
      <c r="BF886" s="65"/>
      <c r="BG886" s="65"/>
      <c r="BH886" s="65"/>
      <c r="BI886" s="65"/>
      <c r="BJ886" s="65"/>
      <c r="BK886" s="65"/>
      <c r="BL886" s="65"/>
      <c r="BM886" s="65"/>
      <c r="BN886" s="65"/>
      <c r="BO886" s="65"/>
      <c r="BP886" s="65"/>
      <c r="BQ886" s="65"/>
      <c r="BR886" s="65"/>
      <c r="BS886" s="65"/>
    </row>
    <row r="887" spans="1:71" s="64" customFormat="1" outlineLevel="1">
      <c r="A887" s="65"/>
      <c r="B887" s="148"/>
      <c r="C887" s="149"/>
      <c r="D887" s="150"/>
      <c r="E887" s="151"/>
      <c r="F887" s="152"/>
      <c r="G887"/>
      <c r="H887"/>
      <c r="I887"/>
      <c r="J887"/>
      <c r="K887"/>
      <c r="L887"/>
      <c r="M887"/>
      <c r="N887"/>
      <c r="O887"/>
      <c r="P887"/>
      <c r="Q887"/>
      <c r="R887"/>
      <c r="S887"/>
      <c r="T887"/>
      <c r="U887"/>
      <c r="V887"/>
      <c r="W887"/>
      <c r="BF887" s="65"/>
      <c r="BG887" s="65"/>
      <c r="BH887" s="65"/>
      <c r="BI887" s="65"/>
      <c r="BJ887" s="65"/>
      <c r="BK887" s="65"/>
      <c r="BL887" s="65"/>
      <c r="BM887" s="65"/>
      <c r="BN887" s="65"/>
      <c r="BO887" s="65"/>
      <c r="BP887" s="65"/>
      <c r="BQ887" s="65"/>
      <c r="BR887" s="65"/>
      <c r="BS887" s="65"/>
    </row>
    <row r="888" spans="1:71" s="64" customFormat="1" outlineLevel="1">
      <c r="A888" s="65"/>
      <c r="B888" s="160"/>
      <c r="C888" s="161"/>
      <c r="D888" s="150"/>
      <c r="E888" s="162"/>
      <c r="F888" s="152"/>
      <c r="G888"/>
      <c r="H888"/>
      <c r="I888"/>
      <c r="J888"/>
      <c r="K888"/>
      <c r="L888"/>
      <c r="M888"/>
      <c r="N888"/>
      <c r="O888"/>
      <c r="P888"/>
      <c r="Q888"/>
      <c r="R888"/>
      <c r="S888"/>
      <c r="T888"/>
      <c r="U888"/>
      <c r="V888"/>
      <c r="W888"/>
      <c r="BF888" s="65"/>
      <c r="BG888" s="65"/>
      <c r="BH888" s="65"/>
      <c r="BI888" s="65"/>
      <c r="BJ888" s="65"/>
      <c r="BK888" s="65"/>
      <c r="BL888" s="65"/>
      <c r="BM888" s="65"/>
      <c r="BN888" s="65"/>
      <c r="BO888" s="65"/>
      <c r="BP888" s="65"/>
      <c r="BQ888" s="65"/>
      <c r="BR888" s="65"/>
      <c r="BS888" s="65"/>
    </row>
    <row r="889" spans="1:71" s="64" customFormat="1" outlineLevel="1">
      <c r="A889" s="65"/>
      <c r="B889" s="148"/>
      <c r="C889" s="149"/>
      <c r="D889" s="150"/>
      <c r="E889" s="151"/>
      <c r="F889" s="152"/>
      <c r="G889"/>
      <c r="H889"/>
      <c r="I889"/>
      <c r="J889"/>
      <c r="K889"/>
      <c r="L889"/>
      <c r="M889"/>
      <c r="N889"/>
      <c r="O889"/>
      <c r="P889"/>
      <c r="Q889"/>
      <c r="R889"/>
      <c r="S889"/>
      <c r="T889"/>
      <c r="U889"/>
      <c r="V889"/>
      <c r="W889"/>
      <c r="BF889" s="65"/>
      <c r="BG889" s="65"/>
      <c r="BH889" s="65"/>
      <c r="BI889" s="65"/>
      <c r="BJ889" s="65"/>
      <c r="BK889" s="65"/>
      <c r="BL889" s="65"/>
      <c r="BM889" s="65"/>
      <c r="BN889" s="65"/>
      <c r="BO889" s="65"/>
      <c r="BP889" s="65"/>
      <c r="BQ889" s="65"/>
      <c r="BR889" s="65"/>
      <c r="BS889" s="65"/>
    </row>
    <row r="890" spans="1:71" s="64" customFormat="1" outlineLevel="1">
      <c r="A890" s="65"/>
      <c r="B890" s="160"/>
      <c r="C890" s="161"/>
      <c r="D890" s="150"/>
      <c r="E890" s="162"/>
      <c r="F890" s="152"/>
      <c r="G890"/>
      <c r="H890"/>
      <c r="I890"/>
      <c r="J890"/>
      <c r="K890"/>
      <c r="L890"/>
      <c r="M890"/>
      <c r="N890"/>
      <c r="O890"/>
      <c r="P890"/>
      <c r="Q890"/>
      <c r="R890"/>
      <c r="S890"/>
      <c r="T890"/>
      <c r="U890"/>
      <c r="V890"/>
      <c r="W890"/>
      <c r="BF890" s="65"/>
      <c r="BG890" s="65"/>
      <c r="BH890" s="65"/>
      <c r="BI890" s="65"/>
      <c r="BJ890" s="65"/>
      <c r="BK890" s="65"/>
      <c r="BL890" s="65"/>
      <c r="BM890" s="65"/>
      <c r="BN890" s="65"/>
      <c r="BO890" s="65"/>
      <c r="BP890" s="65"/>
      <c r="BQ890" s="65"/>
      <c r="BR890" s="65"/>
      <c r="BS890" s="65"/>
    </row>
    <row r="891" spans="1:71" s="64" customFormat="1" outlineLevel="1">
      <c r="A891" s="65"/>
      <c r="B891" s="148"/>
      <c r="C891" s="149"/>
      <c r="D891" s="150"/>
      <c r="E891" s="151"/>
      <c r="F891" s="152"/>
      <c r="G891"/>
      <c r="H891"/>
      <c r="I891"/>
      <c r="J891"/>
      <c r="K891"/>
      <c r="L891"/>
      <c r="M891"/>
      <c r="N891"/>
      <c r="O891"/>
      <c r="P891"/>
      <c r="Q891"/>
      <c r="R891"/>
      <c r="S891"/>
      <c r="T891"/>
      <c r="U891"/>
      <c r="V891"/>
      <c r="W891"/>
      <c r="BF891" s="65"/>
      <c r="BG891" s="65"/>
      <c r="BH891" s="65"/>
      <c r="BI891" s="65"/>
      <c r="BJ891" s="65"/>
      <c r="BK891" s="65"/>
      <c r="BL891" s="65"/>
      <c r="BM891" s="65"/>
      <c r="BN891" s="65"/>
      <c r="BO891" s="65"/>
      <c r="BP891" s="65"/>
      <c r="BQ891" s="65"/>
      <c r="BR891" s="65"/>
      <c r="BS891" s="65"/>
    </row>
    <row r="892" spans="1:71" s="64" customFormat="1" outlineLevel="1">
      <c r="A892" s="65"/>
      <c r="B892" s="160"/>
      <c r="C892" s="161"/>
      <c r="D892" s="150"/>
      <c r="E892" s="162"/>
      <c r="F892" s="152"/>
      <c r="G892"/>
      <c r="H892"/>
      <c r="I892"/>
      <c r="J892"/>
      <c r="K892"/>
      <c r="L892"/>
      <c r="M892"/>
      <c r="N892"/>
      <c r="O892"/>
      <c r="P892"/>
      <c r="Q892"/>
      <c r="R892"/>
      <c r="S892"/>
      <c r="T892"/>
      <c r="U892"/>
      <c r="V892"/>
      <c r="W892"/>
      <c r="BF892" s="65"/>
      <c r="BG892" s="65"/>
      <c r="BH892" s="65"/>
      <c r="BI892" s="65"/>
      <c r="BJ892" s="65"/>
      <c r="BK892" s="65"/>
      <c r="BL892" s="65"/>
      <c r="BM892" s="65"/>
      <c r="BN892" s="65"/>
      <c r="BO892" s="65"/>
      <c r="BP892" s="65"/>
      <c r="BQ892" s="65"/>
      <c r="BR892" s="65"/>
      <c r="BS892" s="65"/>
    </row>
    <row r="893" spans="1:71" s="64" customFormat="1" outlineLevel="1">
      <c r="A893" s="65"/>
      <c r="B893" s="148"/>
      <c r="C893" s="149"/>
      <c r="D893" s="150"/>
      <c r="E893" s="151"/>
      <c r="F893" s="152"/>
      <c r="G893"/>
      <c r="H893"/>
      <c r="I893"/>
      <c r="J893"/>
      <c r="K893"/>
      <c r="L893"/>
      <c r="M893"/>
      <c r="N893"/>
      <c r="O893"/>
      <c r="P893"/>
      <c r="Q893"/>
      <c r="R893"/>
      <c r="S893"/>
      <c r="T893"/>
      <c r="U893"/>
      <c r="V893"/>
      <c r="W893"/>
      <c r="BF893" s="65"/>
      <c r="BG893" s="65"/>
      <c r="BH893" s="65"/>
      <c r="BI893" s="65"/>
      <c r="BJ893" s="65"/>
      <c r="BK893" s="65"/>
      <c r="BL893" s="65"/>
      <c r="BM893" s="65"/>
      <c r="BN893" s="65"/>
      <c r="BO893" s="65"/>
      <c r="BP893" s="65"/>
      <c r="BQ893" s="65"/>
      <c r="BR893" s="65"/>
      <c r="BS893" s="65"/>
    </row>
    <row r="894" spans="1:71" s="64" customFormat="1" outlineLevel="1">
      <c r="A894" s="65"/>
      <c r="B894" s="160"/>
      <c r="C894" s="161"/>
      <c r="D894" s="150"/>
      <c r="E894" s="162"/>
      <c r="F894" s="152"/>
      <c r="G894"/>
      <c r="H894"/>
      <c r="I894"/>
      <c r="J894"/>
      <c r="K894"/>
      <c r="L894"/>
      <c r="M894"/>
      <c r="N894"/>
      <c r="O894"/>
      <c r="P894"/>
      <c r="Q894"/>
      <c r="R894"/>
      <c r="S894"/>
      <c r="T894"/>
      <c r="U894"/>
      <c r="V894"/>
      <c r="W894"/>
      <c r="BF894" s="65"/>
      <c r="BG894" s="65"/>
      <c r="BH894" s="65"/>
      <c r="BI894" s="65"/>
      <c r="BJ894" s="65"/>
      <c r="BK894" s="65"/>
      <c r="BL894" s="65"/>
      <c r="BM894" s="65"/>
      <c r="BN894" s="65"/>
      <c r="BO894" s="65"/>
      <c r="BP894" s="65"/>
      <c r="BQ894" s="65"/>
      <c r="BR894" s="65"/>
      <c r="BS894" s="65"/>
    </row>
    <row r="895" spans="1:71" s="64" customFormat="1" outlineLevel="1">
      <c r="A895" s="65"/>
      <c r="B895" s="148"/>
      <c r="C895" s="149"/>
      <c r="D895" s="150"/>
      <c r="E895" s="151"/>
      <c r="F895" s="152"/>
      <c r="G895"/>
      <c r="H895"/>
      <c r="I895"/>
      <c r="J895"/>
      <c r="K895"/>
      <c r="L895"/>
      <c r="M895"/>
      <c r="N895"/>
      <c r="O895"/>
      <c r="P895"/>
      <c r="Q895"/>
      <c r="R895"/>
      <c r="S895"/>
      <c r="T895"/>
      <c r="U895"/>
      <c r="V895"/>
      <c r="W895"/>
      <c r="BF895" s="65"/>
      <c r="BG895" s="65"/>
      <c r="BH895" s="65"/>
      <c r="BI895" s="65"/>
      <c r="BJ895" s="65"/>
      <c r="BK895" s="65"/>
      <c r="BL895" s="65"/>
      <c r="BM895" s="65"/>
      <c r="BN895" s="65"/>
      <c r="BO895" s="65"/>
      <c r="BP895" s="65"/>
      <c r="BQ895" s="65"/>
      <c r="BR895" s="65"/>
      <c r="BS895" s="65"/>
    </row>
    <row r="896" spans="1:71" s="64" customFormat="1" outlineLevel="1">
      <c r="A896" s="65"/>
      <c r="B896" s="160"/>
      <c r="C896" s="161"/>
      <c r="D896" s="150"/>
      <c r="E896" s="162"/>
      <c r="F896" s="152"/>
      <c r="G896"/>
      <c r="H896"/>
      <c r="I896"/>
      <c r="J896"/>
      <c r="K896"/>
      <c r="L896"/>
      <c r="M896"/>
      <c r="N896"/>
      <c r="O896"/>
      <c r="P896"/>
      <c r="Q896"/>
      <c r="R896"/>
      <c r="S896"/>
      <c r="T896"/>
      <c r="U896"/>
      <c r="V896"/>
      <c r="W896"/>
      <c r="BF896" s="65"/>
      <c r="BG896" s="65"/>
      <c r="BH896" s="65"/>
      <c r="BI896" s="65"/>
      <c r="BJ896" s="65"/>
      <c r="BK896" s="65"/>
      <c r="BL896" s="65"/>
      <c r="BM896" s="65"/>
      <c r="BN896" s="65"/>
      <c r="BO896" s="65"/>
      <c r="BP896" s="65"/>
      <c r="BQ896" s="65"/>
      <c r="BR896" s="65"/>
      <c r="BS896" s="65"/>
    </row>
    <row r="897" spans="1:71" s="64" customFormat="1" outlineLevel="1">
      <c r="A897" s="65"/>
      <c r="B897" s="148"/>
      <c r="C897" s="149"/>
      <c r="D897" s="150"/>
      <c r="E897" s="151"/>
      <c r="F897" s="152"/>
      <c r="G897"/>
      <c r="H897"/>
      <c r="I897"/>
      <c r="J897"/>
      <c r="K897"/>
      <c r="L897"/>
      <c r="M897"/>
      <c r="N897"/>
      <c r="O897"/>
      <c r="P897"/>
      <c r="Q897"/>
      <c r="R897"/>
      <c r="S897"/>
      <c r="T897"/>
      <c r="U897"/>
      <c r="V897"/>
      <c r="W897"/>
      <c r="BF897" s="65"/>
      <c r="BG897" s="65"/>
      <c r="BH897" s="65"/>
      <c r="BI897" s="65"/>
      <c r="BJ897" s="65"/>
      <c r="BK897" s="65"/>
      <c r="BL897" s="65"/>
      <c r="BM897" s="65"/>
      <c r="BN897" s="65"/>
      <c r="BO897" s="65"/>
      <c r="BP897" s="65"/>
      <c r="BQ897" s="65"/>
      <c r="BR897" s="65"/>
      <c r="BS897" s="65"/>
    </row>
    <row r="898" spans="1:71" s="64" customFormat="1" outlineLevel="1">
      <c r="A898" s="65"/>
      <c r="B898" s="160"/>
      <c r="C898" s="161"/>
      <c r="D898" s="150"/>
      <c r="E898" s="162"/>
      <c r="F898" s="152"/>
      <c r="G898"/>
      <c r="H898"/>
      <c r="I898"/>
      <c r="J898"/>
      <c r="K898"/>
      <c r="L898"/>
      <c r="M898"/>
      <c r="N898"/>
      <c r="O898"/>
      <c r="P898"/>
      <c r="Q898"/>
      <c r="R898"/>
      <c r="S898"/>
      <c r="T898"/>
      <c r="U898"/>
      <c r="V898"/>
      <c r="W898"/>
      <c r="BF898" s="65"/>
      <c r="BG898" s="65"/>
      <c r="BH898" s="65"/>
      <c r="BI898" s="65"/>
      <c r="BJ898" s="65"/>
      <c r="BK898" s="65"/>
      <c r="BL898" s="65"/>
      <c r="BM898" s="65"/>
      <c r="BN898" s="65"/>
      <c r="BO898" s="65"/>
      <c r="BP898" s="65"/>
      <c r="BQ898" s="65"/>
      <c r="BR898" s="65"/>
      <c r="BS898" s="65"/>
    </row>
    <row r="899" spans="1:71" s="64" customFormat="1" outlineLevel="1">
      <c r="A899" s="65"/>
      <c r="B899" s="148"/>
      <c r="C899" s="149"/>
      <c r="D899" s="150"/>
      <c r="E899" s="151"/>
      <c r="F899" s="152"/>
      <c r="G899"/>
      <c r="H899"/>
      <c r="I899"/>
      <c r="J899"/>
      <c r="K899"/>
      <c r="L899"/>
      <c r="M899"/>
      <c r="N899"/>
      <c r="O899"/>
      <c r="P899"/>
      <c r="Q899"/>
      <c r="R899"/>
      <c r="S899"/>
      <c r="T899"/>
      <c r="U899"/>
      <c r="V899"/>
      <c r="W899"/>
      <c r="BF899" s="65"/>
      <c r="BG899" s="65"/>
      <c r="BH899" s="65"/>
      <c r="BI899" s="65"/>
      <c r="BJ899" s="65"/>
      <c r="BK899" s="65"/>
      <c r="BL899" s="65"/>
      <c r="BM899" s="65"/>
      <c r="BN899" s="65"/>
      <c r="BO899" s="65"/>
      <c r="BP899" s="65"/>
      <c r="BQ899" s="65"/>
      <c r="BR899" s="65"/>
      <c r="BS899" s="65"/>
    </row>
    <row r="900" spans="1:71" s="64" customFormat="1" outlineLevel="1">
      <c r="A900" s="65"/>
      <c r="B900" s="160"/>
      <c r="C900" s="161"/>
      <c r="D900" s="150"/>
      <c r="E900" s="162"/>
      <c r="F900" s="152"/>
      <c r="G900"/>
      <c r="H900"/>
      <c r="I900"/>
      <c r="J900"/>
      <c r="K900"/>
      <c r="L900"/>
      <c r="M900"/>
      <c r="N900"/>
      <c r="O900"/>
      <c r="P900"/>
      <c r="Q900"/>
      <c r="R900"/>
      <c r="S900"/>
      <c r="T900"/>
      <c r="U900"/>
      <c r="V900"/>
      <c r="W900"/>
      <c r="BF900" s="65"/>
      <c r="BG900" s="65"/>
      <c r="BH900" s="65"/>
      <c r="BI900" s="65"/>
      <c r="BJ900" s="65"/>
      <c r="BK900" s="65"/>
      <c r="BL900" s="65"/>
      <c r="BM900" s="65"/>
      <c r="BN900" s="65"/>
      <c r="BO900" s="65"/>
      <c r="BP900" s="65"/>
      <c r="BQ900" s="65"/>
      <c r="BR900" s="65"/>
      <c r="BS900" s="65"/>
    </row>
    <row r="901" spans="1:71" s="64" customFormat="1" outlineLevel="1">
      <c r="A901" s="65"/>
      <c r="B901" s="148"/>
      <c r="C901" s="149"/>
      <c r="D901" s="150"/>
      <c r="E901" s="151"/>
      <c r="F901" s="152"/>
      <c r="G901"/>
      <c r="H901"/>
      <c r="I901"/>
      <c r="J901"/>
      <c r="K901"/>
      <c r="L901"/>
      <c r="M901"/>
      <c r="N901"/>
      <c r="O901"/>
      <c r="P901"/>
      <c r="Q901"/>
      <c r="R901"/>
      <c r="S901"/>
      <c r="T901"/>
      <c r="U901"/>
      <c r="V901"/>
      <c r="W901"/>
      <c r="BF901" s="65"/>
      <c r="BG901" s="65"/>
      <c r="BH901" s="65"/>
      <c r="BI901" s="65"/>
      <c r="BJ901" s="65"/>
      <c r="BK901" s="65"/>
      <c r="BL901" s="65"/>
      <c r="BM901" s="65"/>
      <c r="BN901" s="65"/>
      <c r="BO901" s="65"/>
      <c r="BP901" s="65"/>
      <c r="BQ901" s="65"/>
      <c r="BR901" s="65"/>
      <c r="BS901" s="65"/>
    </row>
    <row r="902" spans="1:71" s="64" customFormat="1" outlineLevel="1">
      <c r="A902" s="65"/>
      <c r="B902" s="160"/>
      <c r="C902" s="161"/>
      <c r="D902" s="150"/>
      <c r="E902" s="162"/>
      <c r="F902" s="152"/>
      <c r="G902"/>
      <c r="H902"/>
      <c r="I902"/>
      <c r="J902"/>
      <c r="K902"/>
      <c r="L902"/>
      <c r="M902"/>
      <c r="N902"/>
      <c r="O902"/>
      <c r="P902"/>
      <c r="Q902"/>
      <c r="R902"/>
      <c r="S902"/>
      <c r="T902"/>
      <c r="U902"/>
      <c r="V902"/>
      <c r="W902"/>
      <c r="BF902" s="65"/>
      <c r="BG902" s="65"/>
      <c r="BH902" s="65"/>
      <c r="BI902" s="65"/>
      <c r="BJ902" s="65"/>
      <c r="BK902" s="65"/>
      <c r="BL902" s="65"/>
      <c r="BM902" s="65"/>
      <c r="BN902" s="65"/>
      <c r="BO902" s="65"/>
      <c r="BP902" s="65"/>
      <c r="BQ902" s="65"/>
      <c r="BR902" s="65"/>
      <c r="BS902" s="65"/>
    </row>
    <row r="903" spans="1:71" s="64" customFormat="1" outlineLevel="1">
      <c r="A903" s="65"/>
      <c r="B903" s="148"/>
      <c r="C903" s="149"/>
      <c r="D903" s="150"/>
      <c r="E903" s="151"/>
      <c r="F903" s="152"/>
      <c r="G903"/>
      <c r="H903"/>
      <c r="I903"/>
      <c r="J903"/>
      <c r="K903"/>
      <c r="L903"/>
      <c r="M903"/>
      <c r="N903"/>
      <c r="O903"/>
      <c r="P903"/>
      <c r="Q903"/>
      <c r="R903"/>
      <c r="S903"/>
      <c r="T903"/>
      <c r="U903"/>
      <c r="V903"/>
      <c r="W903"/>
      <c r="BF903" s="65"/>
      <c r="BG903" s="65"/>
      <c r="BH903" s="65"/>
      <c r="BI903" s="65"/>
      <c r="BJ903" s="65"/>
      <c r="BK903" s="65"/>
      <c r="BL903" s="65"/>
      <c r="BM903" s="65"/>
      <c r="BN903" s="65"/>
      <c r="BO903" s="65"/>
      <c r="BP903" s="65"/>
      <c r="BQ903" s="65"/>
      <c r="BR903" s="65"/>
      <c r="BS903" s="65"/>
    </row>
    <row r="904" spans="1:71" s="64" customFormat="1" outlineLevel="1">
      <c r="A904" s="65"/>
      <c r="B904" s="160"/>
      <c r="C904" s="161"/>
      <c r="D904" s="150"/>
      <c r="E904" s="162"/>
      <c r="F904" s="152"/>
      <c r="G904"/>
      <c r="H904"/>
      <c r="I904"/>
      <c r="J904"/>
      <c r="K904"/>
      <c r="L904"/>
      <c r="M904"/>
      <c r="N904"/>
      <c r="O904"/>
      <c r="P904"/>
      <c r="Q904"/>
      <c r="R904"/>
      <c r="S904"/>
      <c r="T904"/>
      <c r="U904"/>
      <c r="V904"/>
      <c r="W904"/>
      <c r="BF904" s="65"/>
      <c r="BG904" s="65"/>
      <c r="BH904" s="65"/>
      <c r="BI904" s="65"/>
      <c r="BJ904" s="65"/>
      <c r="BK904" s="65"/>
      <c r="BL904" s="65"/>
      <c r="BM904" s="65"/>
      <c r="BN904" s="65"/>
      <c r="BO904" s="65"/>
      <c r="BP904" s="65"/>
      <c r="BQ904" s="65"/>
      <c r="BR904" s="65"/>
      <c r="BS904" s="65"/>
    </row>
    <row r="905" spans="1:71" s="64" customFormat="1" outlineLevel="1">
      <c r="A905" s="65"/>
      <c r="B905" s="148"/>
      <c r="C905" s="149"/>
      <c r="D905" s="150"/>
      <c r="E905" s="151"/>
      <c r="F905" s="152"/>
      <c r="G905"/>
      <c r="H905"/>
      <c r="I905"/>
      <c r="J905"/>
      <c r="K905"/>
      <c r="L905"/>
      <c r="M905"/>
      <c r="N905"/>
      <c r="O905"/>
      <c r="P905"/>
      <c r="Q905"/>
      <c r="R905"/>
      <c r="S905"/>
      <c r="T905"/>
      <c r="U905"/>
      <c r="V905"/>
      <c r="W905"/>
      <c r="BF905" s="65"/>
      <c r="BG905" s="65"/>
      <c r="BH905" s="65"/>
      <c r="BI905" s="65"/>
      <c r="BJ905" s="65"/>
      <c r="BK905" s="65"/>
      <c r="BL905" s="65"/>
      <c r="BM905" s="65"/>
      <c r="BN905" s="65"/>
      <c r="BO905" s="65"/>
      <c r="BP905" s="65"/>
      <c r="BQ905" s="65"/>
      <c r="BR905" s="65"/>
      <c r="BS905" s="65"/>
    </row>
    <row r="906" spans="1:71" s="64" customFormat="1" outlineLevel="1">
      <c r="A906" s="65"/>
      <c r="B906" s="160"/>
      <c r="C906" s="161"/>
      <c r="D906" s="150"/>
      <c r="E906" s="162"/>
      <c r="F906" s="152"/>
      <c r="G906"/>
      <c r="H906"/>
      <c r="I906"/>
      <c r="J906"/>
      <c r="K906"/>
      <c r="L906"/>
      <c r="M906"/>
      <c r="N906"/>
      <c r="O906"/>
      <c r="P906"/>
      <c r="Q906"/>
      <c r="R906"/>
      <c r="S906"/>
      <c r="T906"/>
      <c r="U906"/>
      <c r="V906"/>
      <c r="W906"/>
      <c r="BF906" s="65"/>
      <c r="BG906" s="65"/>
      <c r="BH906" s="65"/>
      <c r="BI906" s="65"/>
      <c r="BJ906" s="65"/>
      <c r="BK906" s="65"/>
      <c r="BL906" s="65"/>
      <c r="BM906" s="65"/>
      <c r="BN906" s="65"/>
      <c r="BO906" s="65"/>
      <c r="BP906" s="65"/>
      <c r="BQ906" s="65"/>
      <c r="BR906" s="65"/>
      <c r="BS906" s="65"/>
    </row>
    <row r="907" spans="1:71" s="64" customFormat="1" outlineLevel="1">
      <c r="A907" s="65"/>
      <c r="B907" s="148"/>
      <c r="C907" s="149"/>
      <c r="D907" s="150"/>
      <c r="E907" s="151"/>
      <c r="F907" s="152"/>
      <c r="G907"/>
      <c r="H907"/>
      <c r="I907"/>
      <c r="J907"/>
      <c r="K907"/>
      <c r="L907"/>
      <c r="M907"/>
      <c r="N907"/>
      <c r="O907"/>
      <c r="P907"/>
      <c r="Q907"/>
      <c r="R907"/>
      <c r="S907"/>
      <c r="T907"/>
      <c r="U907"/>
      <c r="V907"/>
      <c r="W907"/>
      <c r="BF907" s="65"/>
      <c r="BG907" s="65"/>
      <c r="BH907" s="65"/>
      <c r="BI907" s="65"/>
      <c r="BJ907" s="65"/>
      <c r="BK907" s="65"/>
      <c r="BL907" s="65"/>
      <c r="BM907" s="65"/>
      <c r="BN907" s="65"/>
      <c r="BO907" s="65"/>
      <c r="BP907" s="65"/>
      <c r="BQ907" s="65"/>
      <c r="BR907" s="65"/>
      <c r="BS907" s="65"/>
    </row>
    <row r="908" spans="1:71" s="64" customFormat="1" outlineLevel="1">
      <c r="A908" s="65"/>
      <c r="B908" s="160"/>
      <c r="C908" s="161"/>
      <c r="D908" s="150"/>
      <c r="E908" s="162"/>
      <c r="F908" s="152"/>
      <c r="G908"/>
      <c r="H908"/>
      <c r="I908"/>
      <c r="J908"/>
      <c r="K908"/>
      <c r="L908"/>
      <c r="M908"/>
      <c r="N908"/>
      <c r="O908"/>
      <c r="P908"/>
      <c r="Q908"/>
      <c r="R908"/>
      <c r="S908"/>
      <c r="T908"/>
      <c r="U908"/>
      <c r="V908"/>
      <c r="W908"/>
      <c r="BF908" s="65"/>
      <c r="BG908" s="65"/>
      <c r="BH908" s="65"/>
      <c r="BI908" s="65"/>
      <c r="BJ908" s="65"/>
      <c r="BK908" s="65"/>
      <c r="BL908" s="65"/>
      <c r="BM908" s="65"/>
      <c r="BN908" s="65"/>
      <c r="BO908" s="65"/>
      <c r="BP908" s="65"/>
      <c r="BQ908" s="65"/>
      <c r="BR908" s="65"/>
      <c r="BS908" s="65"/>
    </row>
    <row r="909" spans="1:71" s="64" customFormat="1" outlineLevel="1">
      <c r="A909" s="65"/>
      <c r="B909" s="148"/>
      <c r="C909" s="149"/>
      <c r="D909" s="150"/>
      <c r="E909" s="151"/>
      <c r="F909" s="152"/>
      <c r="G909"/>
      <c r="H909"/>
      <c r="I909"/>
      <c r="J909"/>
      <c r="K909"/>
      <c r="L909"/>
      <c r="M909"/>
      <c r="N909"/>
      <c r="O909"/>
      <c r="P909"/>
      <c r="Q909"/>
      <c r="R909"/>
      <c r="S909"/>
      <c r="T909"/>
      <c r="U909"/>
      <c r="V909"/>
      <c r="W909"/>
      <c r="BF909" s="65"/>
      <c r="BG909" s="65"/>
      <c r="BH909" s="65"/>
      <c r="BI909" s="65"/>
      <c r="BJ909" s="65"/>
      <c r="BK909" s="65"/>
      <c r="BL909" s="65"/>
      <c r="BM909" s="65"/>
      <c r="BN909" s="65"/>
      <c r="BO909" s="65"/>
      <c r="BP909" s="65"/>
      <c r="BQ909" s="65"/>
      <c r="BR909" s="65"/>
      <c r="BS909" s="65"/>
    </row>
    <row r="910" spans="1:71" s="64" customFormat="1" outlineLevel="1">
      <c r="A910" s="65"/>
      <c r="B910" s="160"/>
      <c r="C910" s="161"/>
      <c r="D910" s="150"/>
      <c r="E910" s="162"/>
      <c r="F910" s="152"/>
      <c r="G910"/>
      <c r="H910"/>
      <c r="I910"/>
      <c r="J910"/>
      <c r="K910"/>
      <c r="L910"/>
      <c r="M910"/>
      <c r="N910"/>
      <c r="O910"/>
      <c r="P910"/>
      <c r="Q910"/>
      <c r="R910"/>
      <c r="S910"/>
      <c r="T910"/>
      <c r="U910"/>
      <c r="V910"/>
      <c r="W910"/>
      <c r="BF910" s="65"/>
      <c r="BG910" s="65"/>
      <c r="BH910" s="65"/>
      <c r="BI910" s="65"/>
      <c r="BJ910" s="65"/>
      <c r="BK910" s="65"/>
      <c r="BL910" s="65"/>
      <c r="BM910" s="65"/>
      <c r="BN910" s="65"/>
      <c r="BO910" s="65"/>
      <c r="BP910" s="65"/>
      <c r="BQ910" s="65"/>
      <c r="BR910" s="65"/>
      <c r="BS910" s="65"/>
    </row>
    <row r="911" spans="1:71" s="64" customFormat="1" outlineLevel="1">
      <c r="A911" s="65"/>
      <c r="B911" s="148"/>
      <c r="C911" s="149"/>
      <c r="D911" s="150"/>
      <c r="E911" s="151"/>
      <c r="F911" s="152"/>
      <c r="G911"/>
      <c r="H911"/>
      <c r="I911"/>
      <c r="J911"/>
      <c r="K911"/>
      <c r="L911"/>
      <c r="M911"/>
      <c r="N911"/>
      <c r="O911"/>
      <c r="P911"/>
      <c r="Q911"/>
      <c r="R911"/>
      <c r="S911"/>
      <c r="T911"/>
      <c r="U911"/>
      <c r="V911"/>
      <c r="W911"/>
      <c r="BF911" s="65"/>
      <c r="BG911" s="65"/>
      <c r="BH911" s="65"/>
      <c r="BI911" s="65"/>
      <c r="BJ911" s="65"/>
      <c r="BK911" s="65"/>
      <c r="BL911" s="65"/>
      <c r="BM911" s="65"/>
      <c r="BN911" s="65"/>
      <c r="BO911" s="65"/>
      <c r="BP911" s="65"/>
      <c r="BQ911" s="65"/>
      <c r="BR911" s="65"/>
      <c r="BS911" s="65"/>
    </row>
    <row r="912" spans="1:71" s="64" customFormat="1" outlineLevel="1">
      <c r="A912" s="65"/>
      <c r="B912" s="160"/>
      <c r="C912" s="161"/>
      <c r="D912" s="150"/>
      <c r="E912" s="162"/>
      <c r="F912" s="152"/>
      <c r="G912"/>
      <c r="H912"/>
      <c r="I912"/>
      <c r="J912"/>
      <c r="K912"/>
      <c r="L912"/>
      <c r="M912"/>
      <c r="N912"/>
      <c r="O912"/>
      <c r="P912"/>
      <c r="Q912"/>
      <c r="R912"/>
      <c r="S912"/>
      <c r="T912"/>
      <c r="U912"/>
      <c r="V912"/>
      <c r="W912"/>
      <c r="BF912" s="65"/>
      <c r="BG912" s="65"/>
      <c r="BH912" s="65"/>
      <c r="BI912" s="65"/>
      <c r="BJ912" s="65"/>
      <c r="BK912" s="65"/>
      <c r="BL912" s="65"/>
      <c r="BM912" s="65"/>
      <c r="BN912" s="65"/>
      <c r="BO912" s="65"/>
      <c r="BP912" s="65"/>
      <c r="BQ912" s="65"/>
      <c r="BR912" s="65"/>
      <c r="BS912" s="65"/>
    </row>
    <row r="913" spans="1:71" s="64" customFormat="1" outlineLevel="1">
      <c r="A913" s="65"/>
      <c r="B913" s="148"/>
      <c r="C913" s="149"/>
      <c r="D913" s="150"/>
      <c r="E913" s="151"/>
      <c r="F913" s="152"/>
      <c r="G913"/>
      <c r="H913"/>
      <c r="I913"/>
      <c r="J913"/>
      <c r="K913"/>
      <c r="L913"/>
      <c r="M913"/>
      <c r="N913"/>
      <c r="O913"/>
      <c r="P913"/>
      <c r="Q913"/>
      <c r="R913"/>
      <c r="S913"/>
      <c r="T913"/>
      <c r="U913"/>
      <c r="V913"/>
      <c r="W913"/>
      <c r="BF913" s="65"/>
      <c r="BG913" s="65"/>
      <c r="BH913" s="65"/>
      <c r="BI913" s="65"/>
      <c r="BJ913" s="65"/>
      <c r="BK913" s="65"/>
      <c r="BL913" s="65"/>
      <c r="BM913" s="65"/>
      <c r="BN913" s="65"/>
      <c r="BO913" s="65"/>
      <c r="BP913" s="65"/>
      <c r="BQ913" s="65"/>
      <c r="BR913" s="65"/>
      <c r="BS913" s="65"/>
    </row>
    <row r="914" spans="1:71" s="64" customFormat="1" outlineLevel="1">
      <c r="A914" s="65"/>
      <c r="B914" s="160"/>
      <c r="C914" s="161"/>
      <c r="D914" s="150"/>
      <c r="E914" s="162"/>
      <c r="F914" s="152"/>
      <c r="G914"/>
      <c r="H914"/>
      <c r="I914"/>
      <c r="J914"/>
      <c r="K914"/>
      <c r="L914"/>
      <c r="M914"/>
      <c r="N914"/>
      <c r="O914"/>
      <c r="P914"/>
      <c r="Q914"/>
      <c r="R914"/>
      <c r="S914"/>
      <c r="T914"/>
      <c r="U914"/>
      <c r="V914"/>
      <c r="W914"/>
      <c r="BF914" s="65"/>
      <c r="BG914" s="65"/>
      <c r="BH914" s="65"/>
      <c r="BI914" s="65"/>
      <c r="BJ914" s="65"/>
      <c r="BK914" s="65"/>
      <c r="BL914" s="65"/>
      <c r="BM914" s="65"/>
      <c r="BN914" s="65"/>
      <c r="BO914" s="65"/>
      <c r="BP914" s="65"/>
      <c r="BQ914" s="65"/>
      <c r="BR914" s="65"/>
      <c r="BS914" s="65"/>
    </row>
    <row r="915" spans="1:71" s="64" customFormat="1" outlineLevel="1">
      <c r="A915" s="65"/>
      <c r="B915" s="148"/>
      <c r="C915" s="149"/>
      <c r="D915" s="150"/>
      <c r="E915" s="151"/>
      <c r="F915" s="152"/>
      <c r="G915"/>
      <c r="H915"/>
      <c r="I915"/>
      <c r="J915"/>
      <c r="K915"/>
      <c r="L915"/>
      <c r="M915"/>
      <c r="N915"/>
      <c r="O915"/>
      <c r="P915"/>
      <c r="Q915"/>
      <c r="R915"/>
      <c r="S915"/>
      <c r="T915"/>
      <c r="U915"/>
      <c r="V915"/>
      <c r="W915"/>
      <c r="BF915" s="65"/>
      <c r="BG915" s="65"/>
      <c r="BH915" s="65"/>
      <c r="BI915" s="65"/>
      <c r="BJ915" s="65"/>
      <c r="BK915" s="65"/>
      <c r="BL915" s="65"/>
      <c r="BM915" s="65"/>
      <c r="BN915" s="65"/>
      <c r="BO915" s="65"/>
      <c r="BP915" s="65"/>
      <c r="BQ915" s="65"/>
      <c r="BR915" s="65"/>
      <c r="BS915" s="65"/>
    </row>
    <row r="916" spans="1:71" s="64" customFormat="1" outlineLevel="1">
      <c r="A916" s="65"/>
      <c r="B916" s="160"/>
      <c r="C916" s="161"/>
      <c r="D916" s="150"/>
      <c r="E916" s="162"/>
      <c r="F916" s="152"/>
      <c r="G916"/>
      <c r="H916"/>
      <c r="I916"/>
      <c r="J916"/>
      <c r="K916"/>
      <c r="L916"/>
      <c r="M916"/>
      <c r="N916"/>
      <c r="O916"/>
      <c r="P916"/>
      <c r="Q916"/>
      <c r="R916"/>
      <c r="S916"/>
      <c r="T916"/>
      <c r="U916"/>
      <c r="V916"/>
      <c r="W916"/>
      <c r="BF916" s="65"/>
      <c r="BG916" s="65"/>
      <c r="BH916" s="65"/>
      <c r="BI916" s="65"/>
      <c r="BJ916" s="65"/>
      <c r="BK916" s="65"/>
      <c r="BL916" s="65"/>
      <c r="BM916" s="65"/>
      <c r="BN916" s="65"/>
      <c r="BO916" s="65"/>
      <c r="BP916" s="65"/>
      <c r="BQ916" s="65"/>
      <c r="BR916" s="65"/>
      <c r="BS916" s="65"/>
    </row>
    <row r="917" spans="1:71" s="64" customFormat="1" outlineLevel="1">
      <c r="A917" s="65"/>
      <c r="B917" s="148"/>
      <c r="C917" s="149"/>
      <c r="D917" s="150"/>
      <c r="E917" s="151"/>
      <c r="F917" s="152"/>
      <c r="G917"/>
      <c r="H917"/>
      <c r="I917"/>
      <c r="J917"/>
      <c r="K917"/>
      <c r="L917"/>
      <c r="M917"/>
      <c r="N917"/>
      <c r="O917"/>
      <c r="P917"/>
      <c r="Q917"/>
      <c r="R917"/>
      <c r="S917"/>
      <c r="T917"/>
      <c r="U917"/>
      <c r="V917"/>
      <c r="W917"/>
      <c r="BF917" s="65"/>
      <c r="BG917" s="65"/>
      <c r="BH917" s="65"/>
      <c r="BI917" s="65"/>
      <c r="BJ917" s="65"/>
      <c r="BK917" s="65"/>
      <c r="BL917" s="65"/>
      <c r="BM917" s="65"/>
      <c r="BN917" s="65"/>
      <c r="BO917" s="65"/>
      <c r="BP917" s="65"/>
      <c r="BQ917" s="65"/>
      <c r="BR917" s="65"/>
      <c r="BS917" s="65"/>
    </row>
    <row r="918" spans="1:71" s="64" customFormat="1" outlineLevel="1">
      <c r="A918" s="65"/>
      <c r="B918" s="160"/>
      <c r="C918" s="161"/>
      <c r="D918" s="150"/>
      <c r="E918" s="162"/>
      <c r="F918" s="152"/>
      <c r="G918"/>
      <c r="H918"/>
      <c r="I918"/>
      <c r="J918"/>
      <c r="K918"/>
      <c r="L918"/>
      <c r="M918"/>
      <c r="N918"/>
      <c r="O918"/>
      <c r="P918"/>
      <c r="Q918"/>
      <c r="R918"/>
      <c r="S918"/>
      <c r="T918"/>
      <c r="U918"/>
      <c r="V918"/>
      <c r="W918"/>
      <c r="BF918" s="65"/>
      <c r="BG918" s="65"/>
      <c r="BH918" s="65"/>
      <c r="BI918" s="65"/>
      <c r="BJ918" s="65"/>
      <c r="BK918" s="65"/>
      <c r="BL918" s="65"/>
      <c r="BM918" s="65"/>
      <c r="BN918" s="65"/>
      <c r="BO918" s="65"/>
      <c r="BP918" s="65"/>
      <c r="BQ918" s="65"/>
      <c r="BR918" s="65"/>
      <c r="BS918" s="65"/>
    </row>
    <row r="919" spans="1:71" s="64" customFormat="1" outlineLevel="1">
      <c r="A919" s="65"/>
      <c r="B919" s="148"/>
      <c r="C919" s="149"/>
      <c r="D919" s="150"/>
      <c r="E919" s="151"/>
      <c r="F919" s="152"/>
      <c r="G919"/>
      <c r="H919"/>
      <c r="I919"/>
      <c r="J919"/>
      <c r="K919"/>
      <c r="L919"/>
      <c r="M919"/>
      <c r="N919"/>
      <c r="O919"/>
      <c r="P919"/>
      <c r="Q919"/>
      <c r="R919"/>
      <c r="S919"/>
      <c r="T919"/>
      <c r="U919"/>
      <c r="V919"/>
      <c r="W919"/>
      <c r="BF919" s="65"/>
      <c r="BG919" s="65"/>
      <c r="BH919" s="65"/>
      <c r="BI919" s="65"/>
      <c r="BJ919" s="65"/>
      <c r="BK919" s="65"/>
      <c r="BL919" s="65"/>
      <c r="BM919" s="65"/>
      <c r="BN919" s="65"/>
      <c r="BO919" s="65"/>
      <c r="BP919" s="65"/>
      <c r="BQ919" s="65"/>
      <c r="BR919" s="65"/>
      <c r="BS919" s="65"/>
    </row>
    <row r="920" spans="1:71" s="64" customFormat="1" outlineLevel="1">
      <c r="A920" s="65"/>
      <c r="B920" s="160"/>
      <c r="C920" s="161"/>
      <c r="D920" s="150"/>
      <c r="E920" s="162"/>
      <c r="F920" s="152"/>
      <c r="G920"/>
      <c r="H920"/>
      <c r="I920"/>
      <c r="J920"/>
      <c r="K920"/>
      <c r="L920"/>
      <c r="M920"/>
      <c r="N920"/>
      <c r="O920"/>
      <c r="P920"/>
      <c r="Q920"/>
      <c r="R920"/>
      <c r="S920"/>
      <c r="T920"/>
      <c r="U920"/>
      <c r="V920"/>
      <c r="W920"/>
      <c r="BF920" s="65"/>
      <c r="BG920" s="65"/>
      <c r="BH920" s="65"/>
      <c r="BI920" s="65"/>
      <c r="BJ920" s="65"/>
      <c r="BK920" s="65"/>
      <c r="BL920" s="65"/>
      <c r="BM920" s="65"/>
      <c r="BN920" s="65"/>
      <c r="BO920" s="65"/>
      <c r="BP920" s="65"/>
      <c r="BQ920" s="65"/>
      <c r="BR920" s="65"/>
      <c r="BS920" s="65"/>
    </row>
    <row r="921" spans="1:71" s="64" customFormat="1" outlineLevel="1">
      <c r="A921" s="65"/>
      <c r="B921" s="148"/>
      <c r="C921" s="149"/>
      <c r="D921" s="150"/>
      <c r="E921" s="151"/>
      <c r="F921" s="152"/>
      <c r="G921"/>
      <c r="H921"/>
      <c r="I921"/>
      <c r="J921"/>
      <c r="K921"/>
      <c r="L921"/>
      <c r="M921"/>
      <c r="N921"/>
      <c r="O921"/>
      <c r="P921"/>
      <c r="Q921"/>
      <c r="R921"/>
      <c r="S921"/>
      <c r="T921"/>
      <c r="U921"/>
      <c r="V921"/>
      <c r="W921"/>
      <c r="BF921" s="65"/>
      <c r="BG921" s="65"/>
      <c r="BH921" s="65"/>
      <c r="BI921" s="65"/>
      <c r="BJ921" s="65"/>
      <c r="BK921" s="65"/>
      <c r="BL921" s="65"/>
      <c r="BM921" s="65"/>
      <c r="BN921" s="65"/>
      <c r="BO921" s="65"/>
      <c r="BP921" s="65"/>
      <c r="BQ921" s="65"/>
      <c r="BR921" s="65"/>
      <c r="BS921" s="65"/>
    </row>
    <row r="922" spans="1:71" s="64" customFormat="1" outlineLevel="1">
      <c r="A922" s="65"/>
      <c r="B922" s="160"/>
      <c r="C922" s="161"/>
      <c r="D922" s="150"/>
      <c r="E922" s="162"/>
      <c r="F922" s="152"/>
      <c r="G922"/>
      <c r="H922"/>
      <c r="I922"/>
      <c r="J922"/>
      <c r="K922"/>
      <c r="L922"/>
      <c r="M922"/>
      <c r="N922"/>
      <c r="O922"/>
      <c r="P922"/>
      <c r="Q922"/>
      <c r="R922"/>
      <c r="S922"/>
      <c r="T922"/>
      <c r="U922"/>
      <c r="V922"/>
      <c r="W922"/>
      <c r="BF922" s="65"/>
      <c r="BG922" s="65"/>
      <c r="BH922" s="65"/>
      <c r="BI922" s="65"/>
      <c r="BJ922" s="65"/>
      <c r="BK922" s="65"/>
      <c r="BL922" s="65"/>
      <c r="BM922" s="65"/>
      <c r="BN922" s="65"/>
      <c r="BO922" s="65"/>
      <c r="BP922" s="65"/>
      <c r="BQ922" s="65"/>
      <c r="BR922" s="65"/>
      <c r="BS922" s="65"/>
    </row>
    <row r="923" spans="1:71" s="64" customFormat="1" outlineLevel="1">
      <c r="A923" s="65"/>
      <c r="B923" s="148"/>
      <c r="C923" s="149"/>
      <c r="D923" s="150"/>
      <c r="E923" s="151"/>
      <c r="F923" s="152"/>
      <c r="G923"/>
      <c r="H923"/>
      <c r="I923"/>
      <c r="J923"/>
      <c r="K923"/>
      <c r="L923"/>
      <c r="M923"/>
      <c r="N923"/>
      <c r="O923"/>
      <c r="P923"/>
      <c r="Q923"/>
      <c r="R923"/>
      <c r="S923"/>
      <c r="T923"/>
      <c r="U923"/>
      <c r="V923"/>
      <c r="W923"/>
      <c r="BF923" s="65"/>
      <c r="BG923" s="65"/>
      <c r="BH923" s="65"/>
      <c r="BI923" s="65"/>
      <c r="BJ923" s="65"/>
      <c r="BK923" s="65"/>
      <c r="BL923" s="65"/>
      <c r="BM923" s="65"/>
      <c r="BN923" s="65"/>
      <c r="BO923" s="65"/>
      <c r="BP923" s="65"/>
      <c r="BQ923" s="65"/>
      <c r="BR923" s="65"/>
      <c r="BS923" s="65"/>
    </row>
    <row r="924" spans="1:71" s="64" customFormat="1" outlineLevel="1">
      <c r="A924" s="65"/>
      <c r="B924" s="160"/>
      <c r="C924" s="161"/>
      <c r="D924" s="150"/>
      <c r="E924" s="162"/>
      <c r="F924" s="152"/>
      <c r="G924"/>
      <c r="H924"/>
      <c r="I924"/>
      <c r="J924"/>
      <c r="K924"/>
      <c r="L924"/>
      <c r="M924"/>
      <c r="N924"/>
      <c r="O924"/>
      <c r="P924"/>
      <c r="Q924"/>
      <c r="R924"/>
      <c r="S924"/>
      <c r="T924"/>
      <c r="U924"/>
      <c r="V924"/>
      <c r="W924"/>
      <c r="BF924" s="65"/>
      <c r="BG924" s="65"/>
      <c r="BH924" s="65"/>
      <c r="BI924" s="65"/>
      <c r="BJ924" s="65"/>
      <c r="BK924" s="65"/>
      <c r="BL924" s="65"/>
      <c r="BM924" s="65"/>
      <c r="BN924" s="65"/>
      <c r="BO924" s="65"/>
      <c r="BP924" s="65"/>
      <c r="BQ924" s="65"/>
      <c r="BR924" s="65"/>
      <c r="BS924" s="65"/>
    </row>
    <row r="925" spans="1:71" s="64" customFormat="1" outlineLevel="1">
      <c r="A925" s="65"/>
      <c r="B925" s="148"/>
      <c r="C925" s="149"/>
      <c r="D925" s="150"/>
      <c r="E925" s="151"/>
      <c r="F925" s="152"/>
      <c r="G925"/>
      <c r="H925"/>
      <c r="I925"/>
      <c r="J925"/>
      <c r="K925"/>
      <c r="L925"/>
      <c r="M925"/>
      <c r="N925"/>
      <c r="O925"/>
      <c r="P925"/>
      <c r="Q925"/>
      <c r="R925"/>
      <c r="S925"/>
      <c r="T925"/>
      <c r="U925"/>
      <c r="V925"/>
      <c r="W925"/>
      <c r="BF925" s="65"/>
      <c r="BG925" s="65"/>
      <c r="BH925" s="65"/>
      <c r="BI925" s="65"/>
      <c r="BJ925" s="65"/>
      <c r="BK925" s="65"/>
      <c r="BL925" s="65"/>
      <c r="BM925" s="65"/>
      <c r="BN925" s="65"/>
      <c r="BO925" s="65"/>
      <c r="BP925" s="65"/>
      <c r="BQ925" s="65"/>
      <c r="BR925" s="65"/>
      <c r="BS925" s="65"/>
    </row>
    <row r="926" spans="1:71" s="64" customFormat="1" outlineLevel="1">
      <c r="A926" s="65"/>
      <c r="B926" s="160"/>
      <c r="C926" s="161"/>
      <c r="D926" s="150"/>
      <c r="E926" s="162"/>
      <c r="F926" s="152"/>
      <c r="G926"/>
      <c r="H926"/>
      <c r="I926"/>
      <c r="J926"/>
      <c r="K926"/>
      <c r="L926"/>
      <c r="M926"/>
      <c r="N926"/>
      <c r="O926"/>
      <c r="P926"/>
      <c r="Q926"/>
      <c r="R926"/>
      <c r="S926"/>
      <c r="T926"/>
      <c r="U926"/>
      <c r="V926"/>
      <c r="W926"/>
      <c r="BF926" s="65"/>
      <c r="BG926" s="65"/>
      <c r="BH926" s="65"/>
      <c r="BI926" s="65"/>
      <c r="BJ926" s="65"/>
      <c r="BK926" s="65"/>
      <c r="BL926" s="65"/>
      <c r="BM926" s="65"/>
      <c r="BN926" s="65"/>
      <c r="BO926" s="65"/>
      <c r="BP926" s="65"/>
      <c r="BQ926" s="65"/>
      <c r="BR926" s="65"/>
      <c r="BS926" s="65"/>
    </row>
    <row r="927" spans="1:71" s="64" customFormat="1" outlineLevel="1">
      <c r="A927" s="65"/>
      <c r="B927" s="148"/>
      <c r="C927" s="149"/>
      <c r="D927" s="150"/>
      <c r="E927" s="151"/>
      <c r="F927" s="152"/>
      <c r="G927"/>
      <c r="H927"/>
      <c r="I927"/>
      <c r="J927"/>
      <c r="K927"/>
      <c r="L927"/>
      <c r="M927"/>
      <c r="N927"/>
      <c r="O927"/>
      <c r="P927"/>
      <c r="Q927"/>
      <c r="R927"/>
      <c r="S927"/>
      <c r="T927"/>
      <c r="U927"/>
      <c r="V927"/>
      <c r="W927"/>
      <c r="BF927" s="65"/>
      <c r="BG927" s="65"/>
      <c r="BH927" s="65"/>
      <c r="BI927" s="65"/>
      <c r="BJ927" s="65"/>
      <c r="BK927" s="65"/>
      <c r="BL927" s="65"/>
      <c r="BM927" s="65"/>
      <c r="BN927" s="65"/>
      <c r="BO927" s="65"/>
      <c r="BP927" s="65"/>
      <c r="BQ927" s="65"/>
      <c r="BR927" s="65"/>
      <c r="BS927" s="65"/>
    </row>
    <row r="928" spans="1:71" s="64" customFormat="1" outlineLevel="1">
      <c r="A928" s="65"/>
      <c r="B928" s="160"/>
      <c r="C928" s="161"/>
      <c r="D928" s="150"/>
      <c r="E928" s="162"/>
      <c r="F928" s="152"/>
      <c r="G928"/>
      <c r="H928"/>
      <c r="I928"/>
      <c r="J928"/>
      <c r="K928"/>
      <c r="L928"/>
      <c r="M928"/>
      <c r="N928"/>
      <c r="O928"/>
      <c r="P928"/>
      <c r="Q928"/>
      <c r="R928"/>
      <c r="S928"/>
      <c r="T928"/>
      <c r="U928"/>
      <c r="V928"/>
      <c r="W928"/>
      <c r="BF928" s="65"/>
      <c r="BG928" s="65"/>
      <c r="BH928" s="65"/>
      <c r="BI928" s="65"/>
      <c r="BJ928" s="65"/>
      <c r="BK928" s="65"/>
      <c r="BL928" s="65"/>
      <c r="BM928" s="65"/>
      <c r="BN928" s="65"/>
      <c r="BO928" s="65"/>
      <c r="BP928" s="65"/>
      <c r="BQ928" s="65"/>
      <c r="BR928" s="65"/>
      <c r="BS928" s="65"/>
    </row>
    <row r="929" spans="1:71" s="64" customFormat="1" outlineLevel="1">
      <c r="A929" s="65"/>
      <c r="B929" s="148"/>
      <c r="C929" s="149"/>
      <c r="D929" s="150"/>
      <c r="E929" s="151"/>
      <c r="F929" s="152"/>
      <c r="G929"/>
      <c r="H929"/>
      <c r="I929"/>
      <c r="J929"/>
      <c r="K929"/>
      <c r="L929"/>
      <c r="M929"/>
      <c r="N929"/>
      <c r="O929"/>
      <c r="P929"/>
      <c r="Q929"/>
      <c r="R929"/>
      <c r="S929"/>
      <c r="T929"/>
      <c r="U929"/>
      <c r="V929"/>
      <c r="W929"/>
      <c r="BF929" s="65"/>
      <c r="BG929" s="65"/>
      <c r="BH929" s="65"/>
      <c r="BI929" s="65"/>
      <c r="BJ929" s="65"/>
      <c r="BK929" s="65"/>
      <c r="BL929" s="65"/>
      <c r="BM929" s="65"/>
      <c r="BN929" s="65"/>
      <c r="BO929" s="65"/>
      <c r="BP929" s="65"/>
      <c r="BQ929" s="65"/>
      <c r="BR929" s="65"/>
      <c r="BS929" s="65"/>
    </row>
    <row r="930" spans="1:71" s="64" customFormat="1" outlineLevel="1">
      <c r="A930" s="65"/>
      <c r="B930" s="160"/>
      <c r="C930" s="161"/>
      <c r="D930" s="150"/>
      <c r="E930" s="162"/>
      <c r="F930" s="152"/>
      <c r="G930"/>
      <c r="H930"/>
      <c r="I930"/>
      <c r="J930"/>
      <c r="K930"/>
      <c r="L930"/>
      <c r="M930"/>
      <c r="N930"/>
      <c r="O930"/>
      <c r="P930"/>
      <c r="Q930"/>
      <c r="R930"/>
      <c r="S930"/>
      <c r="T930"/>
      <c r="U930"/>
      <c r="V930"/>
      <c r="W930"/>
      <c r="BF930" s="65"/>
      <c r="BG930" s="65"/>
      <c r="BH930" s="65"/>
      <c r="BI930" s="65"/>
      <c r="BJ930" s="65"/>
      <c r="BK930" s="65"/>
      <c r="BL930" s="65"/>
      <c r="BM930" s="65"/>
      <c r="BN930" s="65"/>
      <c r="BO930" s="65"/>
      <c r="BP930" s="65"/>
      <c r="BQ930" s="65"/>
      <c r="BR930" s="65"/>
      <c r="BS930" s="65"/>
    </row>
    <row r="931" spans="1:71" s="64" customFormat="1" outlineLevel="1">
      <c r="A931" s="65"/>
      <c r="B931" s="148"/>
      <c r="C931" s="149"/>
      <c r="D931" s="150"/>
      <c r="E931" s="151"/>
      <c r="F931" s="152"/>
      <c r="G931"/>
      <c r="H931"/>
      <c r="I931"/>
      <c r="J931"/>
      <c r="K931"/>
      <c r="L931"/>
      <c r="M931"/>
      <c r="N931"/>
      <c r="O931"/>
      <c r="P931"/>
      <c r="Q931"/>
      <c r="R931"/>
      <c r="S931"/>
      <c r="T931"/>
      <c r="U931"/>
      <c r="V931"/>
      <c r="W931"/>
      <c r="BF931" s="65"/>
      <c r="BG931" s="65"/>
      <c r="BH931" s="65"/>
      <c r="BI931" s="65"/>
      <c r="BJ931" s="65"/>
      <c r="BK931" s="65"/>
      <c r="BL931" s="65"/>
      <c r="BM931" s="65"/>
      <c r="BN931" s="65"/>
      <c r="BO931" s="65"/>
      <c r="BP931" s="65"/>
      <c r="BQ931" s="65"/>
      <c r="BR931" s="65"/>
      <c r="BS931" s="65"/>
    </row>
    <row r="932" spans="1:71" s="64" customFormat="1" outlineLevel="1">
      <c r="A932" s="65"/>
      <c r="B932" s="160"/>
      <c r="C932" s="161"/>
      <c r="D932" s="150"/>
      <c r="E932" s="162"/>
      <c r="F932" s="152"/>
      <c r="G932"/>
      <c r="H932"/>
      <c r="I932"/>
      <c r="J932"/>
      <c r="K932"/>
      <c r="L932"/>
      <c r="M932"/>
      <c r="N932"/>
      <c r="O932"/>
      <c r="P932"/>
      <c r="Q932"/>
      <c r="R932"/>
      <c r="S932"/>
      <c r="T932"/>
      <c r="U932"/>
      <c r="V932"/>
      <c r="W932"/>
      <c r="BF932" s="65"/>
      <c r="BG932" s="65"/>
      <c r="BH932" s="65"/>
      <c r="BI932" s="65"/>
      <c r="BJ932" s="65"/>
      <c r="BK932" s="65"/>
      <c r="BL932" s="65"/>
      <c r="BM932" s="65"/>
      <c r="BN932" s="65"/>
      <c r="BO932" s="65"/>
      <c r="BP932" s="65"/>
      <c r="BQ932" s="65"/>
      <c r="BR932" s="65"/>
      <c r="BS932" s="65"/>
    </row>
    <row r="933" spans="1:71" s="64" customFormat="1" outlineLevel="1">
      <c r="A933" s="65"/>
      <c r="B933" s="148"/>
      <c r="C933" s="149"/>
      <c r="D933" s="150"/>
      <c r="E933" s="151"/>
      <c r="F933" s="152"/>
      <c r="G933"/>
      <c r="H933"/>
      <c r="I933"/>
      <c r="J933"/>
      <c r="K933"/>
      <c r="L933"/>
      <c r="M933"/>
      <c r="N933"/>
      <c r="O933"/>
      <c r="P933"/>
      <c r="Q933"/>
      <c r="R933"/>
      <c r="S933"/>
      <c r="T933"/>
      <c r="U933"/>
      <c r="V933"/>
      <c r="W933"/>
      <c r="BF933" s="65"/>
      <c r="BG933" s="65"/>
      <c r="BH933" s="65"/>
      <c r="BI933" s="65"/>
      <c r="BJ933" s="65"/>
      <c r="BK933" s="65"/>
      <c r="BL933" s="65"/>
      <c r="BM933" s="65"/>
      <c r="BN933" s="65"/>
      <c r="BO933" s="65"/>
      <c r="BP933" s="65"/>
      <c r="BQ933" s="65"/>
      <c r="BR933" s="65"/>
      <c r="BS933" s="65"/>
    </row>
    <row r="934" spans="1:71" s="64" customFormat="1" outlineLevel="1">
      <c r="A934" s="65"/>
      <c r="B934" s="160"/>
      <c r="C934" s="161"/>
      <c r="D934" s="150"/>
      <c r="E934" s="162"/>
      <c r="F934" s="152"/>
      <c r="G934"/>
      <c r="H934"/>
      <c r="I934"/>
      <c r="J934"/>
      <c r="K934"/>
      <c r="L934"/>
      <c r="M934"/>
      <c r="N934"/>
      <c r="O934"/>
      <c r="P934"/>
      <c r="Q934"/>
      <c r="R934"/>
      <c r="S934"/>
      <c r="T934"/>
      <c r="U934"/>
      <c r="V934"/>
      <c r="W934"/>
      <c r="BF934" s="65"/>
      <c r="BG934" s="65"/>
      <c r="BH934" s="65"/>
      <c r="BI934" s="65"/>
      <c r="BJ934" s="65"/>
      <c r="BK934" s="65"/>
      <c r="BL934" s="65"/>
      <c r="BM934" s="65"/>
      <c r="BN934" s="65"/>
      <c r="BO934" s="65"/>
      <c r="BP934" s="65"/>
      <c r="BQ934" s="65"/>
      <c r="BR934" s="65"/>
      <c r="BS934" s="65"/>
    </row>
    <row r="935" spans="1:71" s="64" customFormat="1" outlineLevel="1">
      <c r="A935" s="65"/>
      <c r="B935" s="148"/>
      <c r="C935" s="149"/>
      <c r="D935" s="150"/>
      <c r="E935" s="151"/>
      <c r="F935" s="152"/>
      <c r="G935"/>
      <c r="H935"/>
      <c r="I935"/>
      <c r="J935"/>
      <c r="K935"/>
      <c r="L935"/>
      <c r="M935"/>
      <c r="N935"/>
      <c r="O935"/>
      <c r="P935"/>
      <c r="Q935"/>
      <c r="R935"/>
      <c r="S935"/>
      <c r="T935"/>
      <c r="U935"/>
      <c r="V935"/>
      <c r="W935"/>
      <c r="BF935" s="65"/>
      <c r="BG935" s="65"/>
      <c r="BH935" s="65"/>
      <c r="BI935" s="65"/>
      <c r="BJ935" s="65"/>
      <c r="BK935" s="65"/>
      <c r="BL935" s="65"/>
      <c r="BM935" s="65"/>
      <c r="BN935" s="65"/>
      <c r="BO935" s="65"/>
      <c r="BP935" s="65"/>
      <c r="BQ935" s="65"/>
      <c r="BR935" s="65"/>
      <c r="BS935" s="65"/>
    </row>
    <row r="936" spans="1:71" s="64" customFormat="1" outlineLevel="1">
      <c r="A936" s="65"/>
      <c r="B936" s="160"/>
      <c r="C936" s="161"/>
      <c r="D936" s="150"/>
      <c r="E936" s="162"/>
      <c r="F936" s="152"/>
      <c r="G936"/>
      <c r="H936"/>
      <c r="I936"/>
      <c r="J936"/>
      <c r="K936"/>
      <c r="L936"/>
      <c r="M936"/>
      <c r="N936"/>
      <c r="O936"/>
      <c r="P936"/>
      <c r="Q936"/>
      <c r="R936"/>
      <c r="S936"/>
      <c r="T936"/>
      <c r="U936"/>
      <c r="V936"/>
      <c r="W936"/>
      <c r="BF936" s="65"/>
      <c r="BG936" s="65"/>
      <c r="BH936" s="65"/>
      <c r="BI936" s="65"/>
      <c r="BJ936" s="65"/>
      <c r="BK936" s="65"/>
      <c r="BL936" s="65"/>
      <c r="BM936" s="65"/>
      <c r="BN936" s="65"/>
      <c r="BO936" s="65"/>
      <c r="BP936" s="65"/>
      <c r="BQ936" s="65"/>
      <c r="BR936" s="65"/>
      <c r="BS936" s="65"/>
    </row>
    <row r="937" spans="1:71" s="64" customFormat="1" outlineLevel="1">
      <c r="A937" s="65"/>
      <c r="B937" s="148"/>
      <c r="C937" s="149"/>
      <c r="D937" s="150"/>
      <c r="E937" s="151"/>
      <c r="F937" s="152"/>
      <c r="G937"/>
      <c r="H937"/>
      <c r="I937"/>
      <c r="J937"/>
      <c r="K937"/>
      <c r="L937"/>
      <c r="M937"/>
      <c r="N937"/>
      <c r="O937"/>
      <c r="P937"/>
      <c r="Q937"/>
      <c r="R937"/>
      <c r="S937"/>
      <c r="T937"/>
      <c r="U937"/>
      <c r="V937"/>
      <c r="W937"/>
      <c r="BF937" s="65"/>
      <c r="BG937" s="65"/>
      <c r="BH937" s="65"/>
      <c r="BI937" s="65"/>
      <c r="BJ937" s="65"/>
      <c r="BK937" s="65"/>
      <c r="BL937" s="65"/>
      <c r="BM937" s="65"/>
      <c r="BN937" s="65"/>
      <c r="BO937" s="65"/>
      <c r="BP937" s="65"/>
      <c r="BQ937" s="65"/>
      <c r="BR937" s="65"/>
      <c r="BS937" s="65"/>
    </row>
    <row r="938" spans="1:71" s="64" customFormat="1" outlineLevel="1">
      <c r="A938" s="65"/>
      <c r="B938" s="160"/>
      <c r="C938" s="161"/>
      <c r="D938" s="150"/>
      <c r="E938" s="162"/>
      <c r="F938" s="152"/>
      <c r="G938"/>
      <c r="H938"/>
      <c r="I938"/>
      <c r="J938"/>
      <c r="K938"/>
      <c r="L938"/>
      <c r="M938"/>
      <c r="N938"/>
      <c r="O938"/>
      <c r="P938"/>
      <c r="Q938"/>
      <c r="R938"/>
      <c r="S938"/>
      <c r="T938"/>
      <c r="U938"/>
      <c r="V938"/>
      <c r="W938"/>
      <c r="BF938" s="65"/>
      <c r="BG938" s="65"/>
      <c r="BH938" s="65"/>
      <c r="BI938" s="65"/>
      <c r="BJ938" s="65"/>
      <c r="BK938" s="65"/>
      <c r="BL938" s="65"/>
      <c r="BM938" s="65"/>
      <c r="BN938" s="65"/>
      <c r="BO938" s="65"/>
      <c r="BP938" s="65"/>
      <c r="BQ938" s="65"/>
      <c r="BR938" s="65"/>
      <c r="BS938" s="65"/>
    </row>
    <row r="939" spans="1:71" s="64" customFormat="1" outlineLevel="1">
      <c r="A939" s="65"/>
      <c r="B939" s="148"/>
      <c r="C939" s="149"/>
      <c r="D939" s="150"/>
      <c r="E939" s="151"/>
      <c r="F939" s="152"/>
      <c r="G939"/>
      <c r="H939"/>
      <c r="I939"/>
      <c r="J939"/>
      <c r="K939"/>
      <c r="L939"/>
      <c r="M939"/>
      <c r="N939"/>
      <c r="O939"/>
      <c r="P939"/>
      <c r="Q939"/>
      <c r="R939"/>
      <c r="S939"/>
      <c r="T939"/>
      <c r="U939"/>
      <c r="V939"/>
      <c r="W939"/>
      <c r="BF939" s="65"/>
      <c r="BG939" s="65"/>
      <c r="BH939" s="65"/>
      <c r="BI939" s="65"/>
      <c r="BJ939" s="65"/>
      <c r="BK939" s="65"/>
      <c r="BL939" s="65"/>
      <c r="BM939" s="65"/>
      <c r="BN939" s="65"/>
      <c r="BO939" s="65"/>
      <c r="BP939" s="65"/>
      <c r="BQ939" s="65"/>
      <c r="BR939" s="65"/>
      <c r="BS939" s="65"/>
    </row>
    <row r="940" spans="1:71" s="64" customFormat="1" outlineLevel="1">
      <c r="A940" s="65"/>
      <c r="B940" s="160"/>
      <c r="C940" s="161"/>
      <c r="D940" s="150"/>
      <c r="E940" s="162"/>
      <c r="F940" s="152"/>
      <c r="G940"/>
      <c r="H940"/>
      <c r="I940"/>
      <c r="J940"/>
      <c r="K940"/>
      <c r="L940"/>
      <c r="M940"/>
      <c r="N940"/>
      <c r="O940"/>
      <c r="P940"/>
      <c r="Q940"/>
      <c r="R940"/>
      <c r="S940"/>
      <c r="T940"/>
      <c r="U940"/>
      <c r="V940"/>
      <c r="W940"/>
      <c r="BF940" s="65"/>
      <c r="BG940" s="65"/>
      <c r="BH940" s="65"/>
      <c r="BI940" s="65"/>
      <c r="BJ940" s="65"/>
      <c r="BK940" s="65"/>
      <c r="BL940" s="65"/>
      <c r="BM940" s="65"/>
      <c r="BN940" s="65"/>
      <c r="BO940" s="65"/>
      <c r="BP940" s="65"/>
      <c r="BQ940" s="65"/>
      <c r="BR940" s="65"/>
      <c r="BS940" s="65"/>
    </row>
    <row r="941" spans="1:71" s="64" customFormat="1" outlineLevel="1">
      <c r="A941" s="65"/>
      <c r="B941" s="148"/>
      <c r="C941" s="149"/>
      <c r="D941" s="150"/>
      <c r="E941" s="151"/>
      <c r="F941" s="152"/>
      <c r="G941"/>
      <c r="H941"/>
      <c r="I941"/>
      <c r="J941"/>
      <c r="K941"/>
      <c r="L941"/>
      <c r="M941"/>
      <c r="N941"/>
      <c r="O941"/>
      <c r="P941"/>
      <c r="Q941"/>
      <c r="R941"/>
      <c r="S941"/>
      <c r="T941"/>
      <c r="U941"/>
      <c r="V941"/>
      <c r="W941"/>
      <c r="BF941" s="65"/>
      <c r="BG941" s="65"/>
      <c r="BH941" s="65"/>
      <c r="BI941" s="65"/>
      <c r="BJ941" s="65"/>
      <c r="BK941" s="65"/>
      <c r="BL941" s="65"/>
      <c r="BM941" s="65"/>
      <c r="BN941" s="65"/>
      <c r="BO941" s="65"/>
      <c r="BP941" s="65"/>
      <c r="BQ941" s="65"/>
      <c r="BR941" s="65"/>
      <c r="BS941" s="65"/>
    </row>
    <row r="942" spans="1:71" s="64" customFormat="1" outlineLevel="1">
      <c r="A942" s="65"/>
      <c r="B942" s="160"/>
      <c r="C942" s="161"/>
      <c r="D942" s="150"/>
      <c r="E942" s="162"/>
      <c r="F942" s="152"/>
      <c r="G942"/>
      <c r="H942"/>
      <c r="I942"/>
      <c r="J942"/>
      <c r="K942"/>
      <c r="L942"/>
      <c r="M942"/>
      <c r="N942"/>
      <c r="O942"/>
      <c r="P942"/>
      <c r="Q942"/>
      <c r="R942"/>
      <c r="S942"/>
      <c r="T942"/>
      <c r="U942"/>
      <c r="V942"/>
      <c r="W942"/>
      <c r="BF942" s="65"/>
      <c r="BG942" s="65"/>
      <c r="BH942" s="65"/>
      <c r="BI942" s="65"/>
      <c r="BJ942" s="65"/>
      <c r="BK942" s="65"/>
      <c r="BL942" s="65"/>
      <c r="BM942" s="65"/>
      <c r="BN942" s="65"/>
      <c r="BO942" s="65"/>
      <c r="BP942" s="65"/>
      <c r="BQ942" s="65"/>
      <c r="BR942" s="65"/>
      <c r="BS942" s="65"/>
    </row>
    <row r="943" spans="1:71" s="64" customFormat="1" outlineLevel="1">
      <c r="A943" s="65"/>
      <c r="B943" s="148"/>
      <c r="C943" s="149"/>
      <c r="D943" s="150"/>
      <c r="E943" s="151"/>
      <c r="F943" s="152"/>
      <c r="G943"/>
      <c r="H943"/>
      <c r="I943"/>
      <c r="J943"/>
      <c r="K943"/>
      <c r="L943"/>
      <c r="M943"/>
      <c r="N943"/>
      <c r="O943"/>
      <c r="P943"/>
      <c r="Q943"/>
      <c r="R943"/>
      <c r="S943"/>
      <c r="T943"/>
      <c r="U943"/>
      <c r="V943"/>
      <c r="W943"/>
      <c r="BF943" s="65"/>
      <c r="BG943" s="65"/>
      <c r="BH943" s="65"/>
      <c r="BI943" s="65"/>
      <c r="BJ943" s="65"/>
      <c r="BK943" s="65"/>
      <c r="BL943" s="65"/>
      <c r="BM943" s="65"/>
      <c r="BN943" s="65"/>
      <c r="BO943" s="65"/>
      <c r="BP943" s="65"/>
      <c r="BQ943" s="65"/>
      <c r="BR943" s="65"/>
      <c r="BS943" s="65"/>
    </row>
    <row r="944" spans="1:71" s="64" customFormat="1" outlineLevel="1">
      <c r="A944" s="65"/>
      <c r="B944" s="160"/>
      <c r="C944" s="161"/>
      <c r="D944" s="150"/>
      <c r="E944" s="162"/>
      <c r="F944" s="152"/>
      <c r="G944"/>
      <c r="H944"/>
      <c r="I944"/>
      <c r="J944"/>
      <c r="K944"/>
      <c r="L944"/>
      <c r="M944"/>
      <c r="N944"/>
      <c r="O944"/>
      <c r="P944"/>
      <c r="Q944"/>
      <c r="R944"/>
      <c r="S944"/>
      <c r="T944"/>
      <c r="U944"/>
      <c r="V944"/>
      <c r="W944"/>
      <c r="BF944" s="65"/>
      <c r="BG944" s="65"/>
      <c r="BH944" s="65"/>
      <c r="BI944" s="65"/>
      <c r="BJ944" s="65"/>
      <c r="BK944" s="65"/>
      <c r="BL944" s="65"/>
      <c r="BM944" s="65"/>
      <c r="BN944" s="65"/>
      <c r="BO944" s="65"/>
      <c r="BP944" s="65"/>
      <c r="BQ944" s="65"/>
      <c r="BR944" s="65"/>
      <c r="BS944" s="65"/>
    </row>
    <row r="945" spans="1:71" s="64" customFormat="1" outlineLevel="1">
      <c r="A945" s="65"/>
      <c r="B945" s="148"/>
      <c r="C945" s="149"/>
      <c r="D945" s="150"/>
      <c r="E945" s="151"/>
      <c r="F945" s="152"/>
      <c r="G945"/>
      <c r="H945"/>
      <c r="I945"/>
      <c r="J945"/>
      <c r="K945"/>
      <c r="L945"/>
      <c r="M945"/>
      <c r="N945"/>
      <c r="O945"/>
      <c r="P945"/>
      <c r="Q945"/>
      <c r="R945"/>
      <c r="S945"/>
      <c r="T945"/>
      <c r="U945"/>
      <c r="V945"/>
      <c r="W945"/>
      <c r="BF945" s="65"/>
      <c r="BG945" s="65"/>
      <c r="BH945" s="65"/>
      <c r="BI945" s="65"/>
      <c r="BJ945" s="65"/>
      <c r="BK945" s="65"/>
      <c r="BL945" s="65"/>
      <c r="BM945" s="65"/>
      <c r="BN945" s="65"/>
      <c r="BO945" s="65"/>
      <c r="BP945" s="65"/>
      <c r="BQ945" s="65"/>
      <c r="BR945" s="65"/>
      <c r="BS945" s="65"/>
    </row>
    <row r="946" spans="1:71" s="64" customFormat="1" outlineLevel="1">
      <c r="A946" s="65"/>
      <c r="B946" s="160"/>
      <c r="C946" s="161"/>
      <c r="D946" s="150"/>
      <c r="E946" s="162"/>
      <c r="F946" s="152"/>
      <c r="G946"/>
      <c r="H946"/>
      <c r="I946"/>
      <c r="J946"/>
      <c r="K946"/>
      <c r="L946"/>
      <c r="M946"/>
      <c r="N946"/>
      <c r="O946"/>
      <c r="P946"/>
      <c r="Q946"/>
      <c r="R946"/>
      <c r="S946"/>
      <c r="T946"/>
      <c r="U946"/>
      <c r="V946"/>
      <c r="W946"/>
      <c r="BF946" s="65"/>
      <c r="BG946" s="65"/>
      <c r="BH946" s="65"/>
      <c r="BI946" s="65"/>
      <c r="BJ946" s="65"/>
      <c r="BK946" s="65"/>
      <c r="BL946" s="65"/>
      <c r="BM946" s="65"/>
      <c r="BN946" s="65"/>
      <c r="BO946" s="65"/>
      <c r="BP946" s="65"/>
      <c r="BQ946" s="65"/>
      <c r="BR946" s="65"/>
      <c r="BS946" s="65"/>
    </row>
    <row r="947" spans="1:71" s="64" customFormat="1" outlineLevel="1">
      <c r="A947" s="65"/>
      <c r="B947" s="148"/>
      <c r="C947" s="149"/>
      <c r="D947" s="150"/>
      <c r="E947" s="151"/>
      <c r="F947" s="152"/>
      <c r="G947"/>
      <c r="H947"/>
      <c r="I947"/>
      <c r="J947"/>
      <c r="K947"/>
      <c r="L947"/>
      <c r="M947"/>
      <c r="N947"/>
      <c r="O947"/>
      <c r="P947"/>
      <c r="Q947"/>
      <c r="R947"/>
      <c r="S947"/>
      <c r="T947"/>
      <c r="U947"/>
      <c r="V947"/>
      <c r="W947"/>
      <c r="BF947" s="65"/>
      <c r="BG947" s="65"/>
      <c r="BH947" s="65"/>
      <c r="BI947" s="65"/>
      <c r="BJ947" s="65"/>
      <c r="BK947" s="65"/>
      <c r="BL947" s="65"/>
      <c r="BM947" s="65"/>
      <c r="BN947" s="65"/>
      <c r="BO947" s="65"/>
      <c r="BP947" s="65"/>
      <c r="BQ947" s="65"/>
      <c r="BR947" s="65"/>
      <c r="BS947" s="65"/>
    </row>
    <row r="948" spans="1:71" s="64" customFormat="1" outlineLevel="1">
      <c r="A948" s="65"/>
      <c r="B948" s="160"/>
      <c r="C948" s="161"/>
      <c r="D948" s="150"/>
      <c r="E948" s="162"/>
      <c r="F948" s="152"/>
      <c r="G948"/>
      <c r="H948"/>
      <c r="I948"/>
      <c r="J948"/>
      <c r="K948"/>
      <c r="L948"/>
      <c r="M948"/>
      <c r="N948"/>
      <c r="O948"/>
      <c r="P948"/>
      <c r="Q948"/>
      <c r="R948"/>
      <c r="S948"/>
      <c r="T948"/>
      <c r="U948"/>
      <c r="V948"/>
      <c r="W948"/>
      <c r="BF948" s="65"/>
      <c r="BG948" s="65"/>
      <c r="BH948" s="65"/>
      <c r="BI948" s="65"/>
      <c r="BJ948" s="65"/>
      <c r="BK948" s="65"/>
      <c r="BL948" s="65"/>
      <c r="BM948" s="65"/>
      <c r="BN948" s="65"/>
      <c r="BO948" s="65"/>
      <c r="BP948" s="65"/>
      <c r="BQ948" s="65"/>
      <c r="BR948" s="65"/>
      <c r="BS948" s="65"/>
    </row>
    <row r="949" spans="1:71" s="64" customFormat="1" outlineLevel="1">
      <c r="A949" s="65"/>
      <c r="B949" s="148"/>
      <c r="C949" s="149"/>
      <c r="D949" s="150"/>
      <c r="E949" s="151"/>
      <c r="F949" s="152"/>
      <c r="G949"/>
      <c r="H949"/>
      <c r="I949"/>
      <c r="J949"/>
      <c r="K949"/>
      <c r="L949"/>
      <c r="M949"/>
      <c r="N949"/>
      <c r="O949"/>
      <c r="P949"/>
      <c r="Q949"/>
      <c r="R949"/>
      <c r="S949"/>
      <c r="T949"/>
      <c r="U949"/>
      <c r="V949"/>
      <c r="W949"/>
      <c r="BF949" s="65"/>
      <c r="BG949" s="65"/>
      <c r="BH949" s="65"/>
      <c r="BI949" s="65"/>
      <c r="BJ949" s="65"/>
      <c r="BK949" s="65"/>
      <c r="BL949" s="65"/>
      <c r="BM949" s="65"/>
      <c r="BN949" s="65"/>
      <c r="BO949" s="65"/>
      <c r="BP949" s="65"/>
      <c r="BQ949" s="65"/>
      <c r="BR949" s="65"/>
      <c r="BS949" s="65"/>
    </row>
    <row r="950" spans="1:71" s="64" customFormat="1" outlineLevel="1">
      <c r="A950" s="65"/>
      <c r="B950" s="160"/>
      <c r="C950" s="161"/>
      <c r="D950" s="150"/>
      <c r="E950" s="162"/>
      <c r="F950" s="152"/>
      <c r="G950"/>
      <c r="H950"/>
      <c r="I950"/>
      <c r="J950"/>
      <c r="K950"/>
      <c r="L950"/>
      <c r="M950"/>
      <c r="N950"/>
      <c r="O950"/>
      <c r="P950"/>
      <c r="Q950"/>
      <c r="R950"/>
      <c r="S950"/>
      <c r="T950"/>
      <c r="U950"/>
      <c r="V950"/>
      <c r="W950"/>
      <c r="BF950" s="65"/>
      <c r="BG950" s="65"/>
      <c r="BH950" s="65"/>
      <c r="BI950" s="65"/>
      <c r="BJ950" s="65"/>
      <c r="BK950" s="65"/>
      <c r="BL950" s="65"/>
      <c r="BM950" s="65"/>
      <c r="BN950" s="65"/>
      <c r="BO950" s="65"/>
      <c r="BP950" s="65"/>
      <c r="BQ950" s="65"/>
      <c r="BR950" s="65"/>
      <c r="BS950" s="65"/>
    </row>
    <row r="951" spans="1:71" s="64" customFormat="1" outlineLevel="1">
      <c r="A951" s="65"/>
      <c r="B951" s="148"/>
      <c r="C951" s="149"/>
      <c r="D951" s="150"/>
      <c r="E951" s="151"/>
      <c r="F951" s="152"/>
      <c r="G951"/>
      <c r="H951"/>
      <c r="I951"/>
      <c r="J951"/>
      <c r="K951"/>
      <c r="L951"/>
      <c r="M951"/>
      <c r="N951"/>
      <c r="O951"/>
      <c r="P951"/>
      <c r="Q951"/>
      <c r="R951"/>
      <c r="S951"/>
      <c r="T951"/>
      <c r="U951"/>
      <c r="V951"/>
      <c r="W951"/>
      <c r="BF951" s="65"/>
      <c r="BG951" s="65"/>
      <c r="BH951" s="65"/>
      <c r="BI951" s="65"/>
      <c r="BJ951" s="65"/>
      <c r="BK951" s="65"/>
      <c r="BL951" s="65"/>
      <c r="BM951" s="65"/>
      <c r="BN951" s="65"/>
      <c r="BO951" s="65"/>
      <c r="BP951" s="65"/>
      <c r="BQ951" s="65"/>
      <c r="BR951" s="65"/>
      <c r="BS951" s="65"/>
    </row>
    <row r="952" spans="1:71" s="64" customFormat="1" outlineLevel="1">
      <c r="A952" s="65"/>
      <c r="B952" s="160"/>
      <c r="C952" s="161"/>
      <c r="D952" s="150"/>
      <c r="E952" s="162"/>
      <c r="F952" s="152"/>
      <c r="G952"/>
      <c r="H952"/>
      <c r="I952"/>
      <c r="J952"/>
      <c r="K952"/>
      <c r="L952"/>
      <c r="M952"/>
      <c r="N952"/>
      <c r="O952"/>
      <c r="P952"/>
      <c r="Q952"/>
      <c r="R952"/>
      <c r="S952"/>
      <c r="T952"/>
      <c r="U952"/>
      <c r="V952"/>
      <c r="W952"/>
      <c r="BF952" s="65"/>
      <c r="BG952" s="65"/>
      <c r="BH952" s="65"/>
      <c r="BI952" s="65"/>
      <c r="BJ952" s="65"/>
      <c r="BK952" s="65"/>
      <c r="BL952" s="65"/>
      <c r="BM952" s="65"/>
      <c r="BN952" s="65"/>
      <c r="BO952" s="65"/>
      <c r="BP952" s="65"/>
      <c r="BQ952" s="65"/>
      <c r="BR952" s="65"/>
      <c r="BS952" s="65"/>
    </row>
    <row r="953" spans="1:71" s="64" customFormat="1" outlineLevel="1">
      <c r="A953" s="65"/>
      <c r="B953" s="148"/>
      <c r="C953" s="149"/>
      <c r="D953" s="150"/>
      <c r="E953" s="151"/>
      <c r="F953" s="152"/>
      <c r="G953"/>
      <c r="H953"/>
      <c r="I953"/>
      <c r="J953"/>
      <c r="K953"/>
      <c r="L953"/>
      <c r="M953"/>
      <c r="N953"/>
      <c r="O953"/>
      <c r="P953"/>
      <c r="Q953"/>
      <c r="R953"/>
      <c r="S953"/>
      <c r="T953"/>
      <c r="U953"/>
      <c r="V953"/>
      <c r="W953"/>
      <c r="BF953" s="65"/>
      <c r="BG953" s="65"/>
      <c r="BH953" s="65"/>
      <c r="BI953" s="65"/>
      <c r="BJ953" s="65"/>
      <c r="BK953" s="65"/>
      <c r="BL953" s="65"/>
      <c r="BM953" s="65"/>
      <c r="BN953" s="65"/>
      <c r="BO953" s="65"/>
      <c r="BP953" s="65"/>
      <c r="BQ953" s="65"/>
      <c r="BR953" s="65"/>
      <c r="BS953" s="65"/>
    </row>
    <row r="954" spans="1:71" s="64" customFormat="1" outlineLevel="1">
      <c r="A954" s="65"/>
      <c r="B954" s="160"/>
      <c r="C954" s="161"/>
      <c r="D954" s="150"/>
      <c r="E954" s="162"/>
      <c r="F954" s="152"/>
      <c r="G954"/>
      <c r="H954"/>
      <c r="I954"/>
      <c r="J954"/>
      <c r="K954"/>
      <c r="L954"/>
      <c r="M954"/>
      <c r="N954"/>
      <c r="O954"/>
      <c r="P954"/>
      <c r="Q954"/>
      <c r="R954"/>
      <c r="S954"/>
      <c r="T954"/>
      <c r="U954"/>
      <c r="V954"/>
      <c r="W954"/>
      <c r="BF954" s="65"/>
      <c r="BG954" s="65"/>
      <c r="BH954" s="65"/>
      <c r="BI954" s="65"/>
      <c r="BJ954" s="65"/>
      <c r="BK954" s="65"/>
      <c r="BL954" s="65"/>
      <c r="BM954" s="65"/>
      <c r="BN954" s="65"/>
      <c r="BO954" s="65"/>
      <c r="BP954" s="65"/>
      <c r="BQ954" s="65"/>
      <c r="BR954" s="65"/>
      <c r="BS954" s="65"/>
    </row>
    <row r="955" spans="1:71" s="64" customFormat="1" outlineLevel="1">
      <c r="A955" s="65"/>
      <c r="B955" s="148"/>
      <c r="C955" s="149"/>
      <c r="D955" s="150"/>
      <c r="E955" s="151"/>
      <c r="F955" s="152"/>
      <c r="G955"/>
      <c r="H955"/>
      <c r="I955"/>
      <c r="J955"/>
      <c r="K955"/>
      <c r="L955"/>
      <c r="M955"/>
      <c r="N955"/>
      <c r="O955"/>
      <c r="P955"/>
      <c r="Q955"/>
      <c r="R955"/>
      <c r="S955"/>
      <c r="T955"/>
      <c r="U955"/>
      <c r="V955"/>
      <c r="W955"/>
      <c r="BF955" s="65"/>
      <c r="BG955" s="65"/>
      <c r="BH955" s="65"/>
      <c r="BI955" s="65"/>
      <c r="BJ955" s="65"/>
      <c r="BK955" s="65"/>
      <c r="BL955" s="65"/>
      <c r="BM955" s="65"/>
      <c r="BN955" s="65"/>
      <c r="BO955" s="65"/>
      <c r="BP955" s="65"/>
      <c r="BQ955" s="65"/>
      <c r="BR955" s="65"/>
      <c r="BS955" s="65"/>
    </row>
    <row r="956" spans="1:71" s="64" customFormat="1" outlineLevel="1">
      <c r="A956" s="65"/>
      <c r="B956" s="160"/>
      <c r="C956" s="161"/>
      <c r="D956" s="150"/>
      <c r="E956" s="162"/>
      <c r="F956" s="152"/>
      <c r="G956"/>
      <c r="H956"/>
      <c r="I956"/>
      <c r="J956"/>
      <c r="K956"/>
      <c r="L956"/>
      <c r="M956"/>
      <c r="N956"/>
      <c r="O956"/>
      <c r="P956"/>
      <c r="Q956"/>
      <c r="R956"/>
      <c r="S956"/>
      <c r="T956"/>
      <c r="U956"/>
      <c r="V956"/>
      <c r="W956"/>
      <c r="BF956" s="65"/>
      <c r="BG956" s="65"/>
      <c r="BH956" s="65"/>
      <c r="BI956" s="65"/>
      <c r="BJ956" s="65"/>
      <c r="BK956" s="65"/>
      <c r="BL956" s="65"/>
      <c r="BM956" s="65"/>
      <c r="BN956" s="65"/>
      <c r="BO956" s="65"/>
      <c r="BP956" s="65"/>
      <c r="BQ956" s="65"/>
      <c r="BR956" s="65"/>
      <c r="BS956" s="65"/>
    </row>
    <row r="957" spans="1:71" s="64" customFormat="1" outlineLevel="1">
      <c r="A957" s="65"/>
      <c r="B957" s="148"/>
      <c r="C957" s="149"/>
      <c r="D957" s="150"/>
      <c r="E957" s="151"/>
      <c r="F957" s="152"/>
      <c r="G957"/>
      <c r="H957"/>
      <c r="I957"/>
      <c r="J957"/>
      <c r="K957"/>
      <c r="L957"/>
      <c r="M957"/>
      <c r="N957"/>
      <c r="O957"/>
      <c r="P957"/>
      <c r="Q957"/>
      <c r="R957"/>
      <c r="S957"/>
      <c r="T957"/>
      <c r="U957"/>
      <c r="V957"/>
      <c r="W957"/>
      <c r="BF957" s="65"/>
      <c r="BG957" s="65"/>
      <c r="BH957" s="65"/>
      <c r="BI957" s="65"/>
      <c r="BJ957" s="65"/>
      <c r="BK957" s="65"/>
      <c r="BL957" s="65"/>
      <c r="BM957" s="65"/>
      <c r="BN957" s="65"/>
      <c r="BO957" s="65"/>
      <c r="BP957" s="65"/>
      <c r="BQ957" s="65"/>
      <c r="BR957" s="65"/>
      <c r="BS957" s="65"/>
    </row>
    <row r="958" spans="1:71" s="64" customFormat="1" outlineLevel="1">
      <c r="A958" s="65"/>
      <c r="B958" s="160"/>
      <c r="C958" s="161"/>
      <c r="D958" s="150"/>
      <c r="E958" s="162"/>
      <c r="F958" s="152"/>
      <c r="G958"/>
      <c r="H958"/>
      <c r="I958"/>
      <c r="J958"/>
      <c r="K958"/>
      <c r="L958"/>
      <c r="M958"/>
      <c r="N958"/>
      <c r="O958"/>
      <c r="P958"/>
      <c r="Q958"/>
      <c r="R958"/>
      <c r="S958"/>
      <c r="T958"/>
      <c r="U958"/>
      <c r="V958"/>
      <c r="W958"/>
      <c r="BF958" s="65"/>
      <c r="BG958" s="65"/>
      <c r="BH958" s="65"/>
      <c r="BI958" s="65"/>
      <c r="BJ958" s="65"/>
      <c r="BK958" s="65"/>
      <c r="BL958" s="65"/>
      <c r="BM958" s="65"/>
      <c r="BN958" s="65"/>
      <c r="BO958" s="65"/>
      <c r="BP958" s="65"/>
      <c r="BQ958" s="65"/>
      <c r="BR958" s="65"/>
      <c r="BS958" s="65"/>
    </row>
    <row r="959" spans="1:71" s="64" customFormat="1" outlineLevel="1">
      <c r="A959" s="65"/>
      <c r="B959" s="148"/>
      <c r="C959" s="149"/>
      <c r="D959" s="150"/>
      <c r="E959" s="151"/>
      <c r="F959" s="152"/>
      <c r="G959"/>
      <c r="H959"/>
      <c r="I959"/>
      <c r="J959"/>
      <c r="K959"/>
      <c r="L959"/>
      <c r="M959"/>
      <c r="N959"/>
      <c r="O959"/>
      <c r="P959"/>
      <c r="Q959"/>
      <c r="R959"/>
      <c r="S959"/>
      <c r="T959"/>
      <c r="U959"/>
      <c r="V959"/>
      <c r="W959"/>
      <c r="BF959" s="65"/>
      <c r="BG959" s="65"/>
      <c r="BH959" s="65"/>
      <c r="BI959" s="65"/>
      <c r="BJ959" s="65"/>
      <c r="BK959" s="65"/>
      <c r="BL959" s="65"/>
      <c r="BM959" s="65"/>
      <c r="BN959" s="65"/>
      <c r="BO959" s="65"/>
      <c r="BP959" s="65"/>
      <c r="BQ959" s="65"/>
      <c r="BR959" s="65"/>
      <c r="BS959" s="65"/>
    </row>
    <row r="960" spans="1:71" s="64" customFormat="1" outlineLevel="1">
      <c r="A960" s="65"/>
      <c r="B960" s="160"/>
      <c r="C960" s="161"/>
      <c r="D960" s="150"/>
      <c r="E960" s="162"/>
      <c r="F960" s="152"/>
      <c r="G960"/>
      <c r="H960"/>
      <c r="I960"/>
      <c r="J960"/>
      <c r="K960"/>
      <c r="L960"/>
      <c r="M960"/>
      <c r="N960"/>
      <c r="O960"/>
      <c r="P960"/>
      <c r="Q960"/>
      <c r="R960"/>
      <c r="S960"/>
      <c r="T960"/>
      <c r="U960"/>
      <c r="V960"/>
      <c r="W960"/>
      <c r="BF960" s="65"/>
      <c r="BG960" s="65"/>
      <c r="BH960" s="65"/>
      <c r="BI960" s="65"/>
      <c r="BJ960" s="65"/>
      <c r="BK960" s="65"/>
      <c r="BL960" s="65"/>
      <c r="BM960" s="65"/>
      <c r="BN960" s="65"/>
      <c r="BO960" s="65"/>
      <c r="BP960" s="65"/>
      <c r="BQ960" s="65"/>
      <c r="BR960" s="65"/>
      <c r="BS960" s="65"/>
    </row>
    <row r="961" spans="1:71" s="64" customFormat="1" outlineLevel="1">
      <c r="A961" s="65"/>
      <c r="B961" s="148"/>
      <c r="C961" s="149"/>
      <c r="D961" s="150"/>
      <c r="E961" s="151"/>
      <c r="F961" s="152"/>
      <c r="G961"/>
      <c r="H961"/>
      <c r="I961"/>
      <c r="J961"/>
      <c r="K961"/>
      <c r="L961"/>
      <c r="M961"/>
      <c r="N961"/>
      <c r="O961"/>
      <c r="P961"/>
      <c r="Q961"/>
      <c r="R961"/>
      <c r="S961"/>
      <c r="T961"/>
      <c r="U961"/>
      <c r="V961"/>
      <c r="W961"/>
      <c r="BF961" s="65"/>
      <c r="BG961" s="65"/>
      <c r="BH961" s="65"/>
      <c r="BI961" s="65"/>
      <c r="BJ961" s="65"/>
      <c r="BK961" s="65"/>
      <c r="BL961" s="65"/>
      <c r="BM961" s="65"/>
      <c r="BN961" s="65"/>
      <c r="BO961" s="65"/>
      <c r="BP961" s="65"/>
      <c r="BQ961" s="65"/>
      <c r="BR961" s="65"/>
      <c r="BS961" s="65"/>
    </row>
    <row r="962" spans="1:71" s="64" customFormat="1" outlineLevel="1">
      <c r="A962" s="65"/>
      <c r="B962" s="160"/>
      <c r="C962" s="161"/>
      <c r="D962" s="150"/>
      <c r="E962" s="162"/>
      <c r="F962" s="152"/>
      <c r="G962"/>
      <c r="H962"/>
      <c r="I962"/>
      <c r="J962"/>
      <c r="K962"/>
      <c r="L962"/>
      <c r="M962"/>
      <c r="N962"/>
      <c r="O962"/>
      <c r="P962"/>
      <c r="Q962"/>
      <c r="R962"/>
      <c r="S962"/>
      <c r="T962"/>
      <c r="U962"/>
      <c r="V962"/>
      <c r="W962"/>
      <c r="BF962" s="65"/>
      <c r="BG962" s="65"/>
      <c r="BH962" s="65"/>
      <c r="BI962" s="65"/>
      <c r="BJ962" s="65"/>
      <c r="BK962" s="65"/>
      <c r="BL962" s="65"/>
      <c r="BM962" s="65"/>
      <c r="BN962" s="65"/>
      <c r="BO962" s="65"/>
      <c r="BP962" s="65"/>
      <c r="BQ962" s="65"/>
      <c r="BR962" s="65"/>
      <c r="BS962" s="65"/>
    </row>
    <row r="963" spans="1:71" s="64" customFormat="1" outlineLevel="1">
      <c r="A963" s="65"/>
      <c r="B963" s="148"/>
      <c r="C963" s="149"/>
      <c r="D963" s="150"/>
      <c r="E963" s="151"/>
      <c r="F963" s="152"/>
      <c r="G963"/>
      <c r="H963"/>
      <c r="I963"/>
      <c r="J963"/>
      <c r="K963"/>
      <c r="L963"/>
      <c r="M963"/>
      <c r="N963"/>
      <c r="O963"/>
      <c r="P963"/>
      <c r="Q963"/>
      <c r="R963"/>
      <c r="S963"/>
      <c r="T963"/>
      <c r="U963"/>
      <c r="V963"/>
      <c r="W963"/>
      <c r="BF963" s="65"/>
      <c r="BG963" s="65"/>
      <c r="BH963" s="65"/>
      <c r="BI963" s="65"/>
      <c r="BJ963" s="65"/>
      <c r="BK963" s="65"/>
      <c r="BL963" s="65"/>
      <c r="BM963" s="65"/>
      <c r="BN963" s="65"/>
      <c r="BO963" s="65"/>
      <c r="BP963" s="65"/>
      <c r="BQ963" s="65"/>
      <c r="BR963" s="65"/>
      <c r="BS963" s="65"/>
    </row>
    <row r="964" spans="1:71" s="64" customFormat="1" outlineLevel="1">
      <c r="A964" s="65"/>
      <c r="B964" s="160"/>
      <c r="C964" s="161"/>
      <c r="D964" s="150"/>
      <c r="E964" s="162"/>
      <c r="F964" s="152"/>
      <c r="G964"/>
      <c r="H964"/>
      <c r="I964"/>
      <c r="J964"/>
      <c r="K964"/>
      <c r="L964"/>
      <c r="M964"/>
      <c r="N964"/>
      <c r="O964"/>
      <c r="P964"/>
      <c r="Q964"/>
      <c r="R964"/>
      <c r="S964"/>
      <c r="T964"/>
      <c r="U964"/>
      <c r="V964"/>
      <c r="W964"/>
      <c r="BF964" s="65"/>
      <c r="BG964" s="65"/>
      <c r="BH964" s="65"/>
      <c r="BI964" s="65"/>
      <c r="BJ964" s="65"/>
      <c r="BK964" s="65"/>
      <c r="BL964" s="65"/>
      <c r="BM964" s="65"/>
      <c r="BN964" s="65"/>
      <c r="BO964" s="65"/>
      <c r="BP964" s="65"/>
      <c r="BQ964" s="65"/>
      <c r="BR964" s="65"/>
      <c r="BS964" s="65"/>
    </row>
    <row r="965" spans="1:71" s="64" customFormat="1" outlineLevel="1">
      <c r="A965" s="65"/>
      <c r="B965" s="148"/>
      <c r="C965" s="149"/>
      <c r="D965" s="150"/>
      <c r="E965" s="151"/>
      <c r="F965" s="152"/>
      <c r="G965"/>
      <c r="H965"/>
      <c r="I965"/>
      <c r="J965"/>
      <c r="K965"/>
      <c r="L965"/>
      <c r="M965"/>
      <c r="N965"/>
      <c r="O965"/>
      <c r="P965"/>
      <c r="Q965"/>
      <c r="R965"/>
      <c r="S965"/>
      <c r="T965"/>
      <c r="U965"/>
      <c r="V965"/>
      <c r="W965"/>
      <c r="BF965" s="65"/>
      <c r="BG965" s="65"/>
      <c r="BH965" s="65"/>
      <c r="BI965" s="65"/>
      <c r="BJ965" s="65"/>
      <c r="BK965" s="65"/>
      <c r="BL965" s="65"/>
      <c r="BM965" s="65"/>
      <c r="BN965" s="65"/>
      <c r="BO965" s="65"/>
      <c r="BP965" s="65"/>
      <c r="BQ965" s="65"/>
      <c r="BR965" s="65"/>
      <c r="BS965" s="65"/>
    </row>
    <row r="966" spans="1:71" s="64" customFormat="1" outlineLevel="1">
      <c r="A966" s="65"/>
      <c r="B966" s="160"/>
      <c r="C966" s="161"/>
      <c r="D966" s="150"/>
      <c r="E966" s="162"/>
      <c r="F966" s="152"/>
      <c r="G966"/>
      <c r="H966"/>
      <c r="I966"/>
      <c r="J966"/>
      <c r="K966"/>
      <c r="L966"/>
      <c r="M966"/>
      <c r="N966"/>
      <c r="O966"/>
      <c r="P966"/>
      <c r="Q966"/>
      <c r="R966"/>
      <c r="S966"/>
      <c r="T966"/>
      <c r="U966"/>
      <c r="V966"/>
      <c r="W966"/>
      <c r="BF966" s="65"/>
      <c r="BG966" s="65"/>
      <c r="BH966" s="65"/>
      <c r="BI966" s="65"/>
      <c r="BJ966" s="65"/>
      <c r="BK966" s="65"/>
      <c r="BL966" s="65"/>
      <c r="BM966" s="65"/>
      <c r="BN966" s="65"/>
      <c r="BO966" s="65"/>
      <c r="BP966" s="65"/>
      <c r="BQ966" s="65"/>
      <c r="BR966" s="65"/>
      <c r="BS966" s="65"/>
    </row>
    <row r="967" spans="1:71" s="64" customFormat="1" outlineLevel="1">
      <c r="A967" s="65"/>
      <c r="B967" s="148"/>
      <c r="C967" s="149"/>
      <c r="D967" s="150"/>
      <c r="E967" s="151"/>
      <c r="F967" s="152"/>
      <c r="G967"/>
      <c r="H967"/>
      <c r="I967"/>
      <c r="J967"/>
      <c r="K967"/>
      <c r="L967"/>
      <c r="M967"/>
      <c r="N967"/>
      <c r="O967"/>
      <c r="P967"/>
      <c r="Q967"/>
      <c r="R967"/>
      <c r="S967"/>
      <c r="T967"/>
      <c r="U967"/>
      <c r="V967"/>
      <c r="W967"/>
      <c r="BF967" s="65"/>
      <c r="BG967" s="65"/>
      <c r="BH967" s="65"/>
      <c r="BI967" s="65"/>
      <c r="BJ967" s="65"/>
      <c r="BK967" s="65"/>
      <c r="BL967" s="65"/>
      <c r="BM967" s="65"/>
      <c r="BN967" s="65"/>
      <c r="BO967" s="65"/>
      <c r="BP967" s="65"/>
      <c r="BQ967" s="65"/>
      <c r="BR967" s="65"/>
      <c r="BS967" s="65"/>
    </row>
    <row r="968" spans="1:71" s="64" customFormat="1" outlineLevel="1">
      <c r="A968" s="65"/>
      <c r="B968" s="160"/>
      <c r="C968" s="161"/>
      <c r="D968" s="150"/>
      <c r="E968" s="162"/>
      <c r="F968" s="152"/>
      <c r="G968"/>
      <c r="H968"/>
      <c r="I968"/>
      <c r="J968"/>
      <c r="K968"/>
      <c r="L968"/>
      <c r="M968"/>
      <c r="N968"/>
      <c r="O968"/>
      <c r="P968"/>
      <c r="Q968"/>
      <c r="R968"/>
      <c r="S968"/>
      <c r="T968"/>
      <c r="U968"/>
      <c r="V968"/>
      <c r="W968"/>
      <c r="BF968" s="65"/>
      <c r="BG968" s="65"/>
      <c r="BH968" s="65"/>
      <c r="BI968" s="65"/>
      <c r="BJ968" s="65"/>
      <c r="BK968" s="65"/>
      <c r="BL968" s="65"/>
      <c r="BM968" s="65"/>
      <c r="BN968" s="65"/>
      <c r="BO968" s="65"/>
      <c r="BP968" s="65"/>
      <c r="BQ968" s="65"/>
      <c r="BR968" s="65"/>
      <c r="BS968" s="65"/>
    </row>
    <row r="969" spans="1:71" s="64" customFormat="1" outlineLevel="1">
      <c r="A969" s="65"/>
      <c r="B969" s="148"/>
      <c r="C969" s="149"/>
      <c r="D969" s="150"/>
      <c r="E969" s="151"/>
      <c r="F969" s="152"/>
      <c r="G969"/>
      <c r="H969"/>
      <c r="I969"/>
      <c r="J969"/>
      <c r="K969"/>
      <c r="L969"/>
      <c r="M969"/>
      <c r="N969"/>
      <c r="O969"/>
      <c r="P969"/>
      <c r="Q969"/>
      <c r="R969"/>
      <c r="S969"/>
      <c r="T969"/>
      <c r="U969"/>
      <c r="V969"/>
      <c r="W969"/>
      <c r="BF969" s="65"/>
      <c r="BG969" s="65"/>
      <c r="BH969" s="65"/>
      <c r="BI969" s="65"/>
      <c r="BJ969" s="65"/>
      <c r="BK969" s="65"/>
      <c r="BL969" s="65"/>
      <c r="BM969" s="65"/>
      <c r="BN969" s="65"/>
      <c r="BO969" s="65"/>
      <c r="BP969" s="65"/>
      <c r="BQ969" s="65"/>
      <c r="BR969" s="65"/>
      <c r="BS969" s="65"/>
    </row>
    <row r="970" spans="1:71" s="64" customFormat="1" outlineLevel="1">
      <c r="A970" s="65"/>
      <c r="B970" s="160"/>
      <c r="C970" s="161"/>
      <c r="D970" s="150"/>
      <c r="E970" s="162"/>
      <c r="F970" s="152"/>
      <c r="G970"/>
      <c r="H970"/>
      <c r="I970"/>
      <c r="J970"/>
      <c r="K970"/>
      <c r="L970"/>
      <c r="M970"/>
      <c r="N970"/>
      <c r="O970"/>
      <c r="P970"/>
      <c r="Q970"/>
      <c r="R970"/>
      <c r="S970"/>
      <c r="T970"/>
      <c r="U970"/>
      <c r="V970"/>
      <c r="W970"/>
      <c r="BF970" s="65"/>
      <c r="BG970" s="65"/>
      <c r="BH970" s="65"/>
      <c r="BI970" s="65"/>
      <c r="BJ970" s="65"/>
      <c r="BK970" s="65"/>
      <c r="BL970" s="65"/>
      <c r="BM970" s="65"/>
      <c r="BN970" s="65"/>
      <c r="BO970" s="65"/>
      <c r="BP970" s="65"/>
      <c r="BQ970" s="65"/>
      <c r="BR970" s="65"/>
      <c r="BS970" s="65"/>
    </row>
    <row r="971" spans="1:71" s="64" customFormat="1" outlineLevel="1">
      <c r="A971" s="65"/>
      <c r="B971" s="148"/>
      <c r="C971" s="149"/>
      <c r="D971" s="150"/>
      <c r="E971" s="151"/>
      <c r="F971" s="152"/>
      <c r="G971"/>
      <c r="H971"/>
      <c r="I971"/>
      <c r="J971"/>
      <c r="K971"/>
      <c r="L971"/>
      <c r="M971"/>
      <c r="N971"/>
      <c r="O971"/>
      <c r="P971"/>
      <c r="Q971"/>
      <c r="R971"/>
      <c r="S971"/>
      <c r="T971"/>
      <c r="U971"/>
      <c r="V971"/>
      <c r="W971"/>
      <c r="BF971" s="65"/>
      <c r="BG971" s="65"/>
      <c r="BH971" s="65"/>
      <c r="BI971" s="65"/>
      <c r="BJ971" s="65"/>
      <c r="BK971" s="65"/>
      <c r="BL971" s="65"/>
      <c r="BM971" s="65"/>
      <c r="BN971" s="65"/>
      <c r="BO971" s="65"/>
      <c r="BP971" s="65"/>
      <c r="BQ971" s="65"/>
      <c r="BR971" s="65"/>
      <c r="BS971" s="65"/>
    </row>
    <row r="972" spans="1:71" s="64" customFormat="1" outlineLevel="1">
      <c r="A972" s="65"/>
      <c r="B972" s="160"/>
      <c r="C972" s="161"/>
      <c r="D972" s="150"/>
      <c r="E972" s="162"/>
      <c r="F972" s="152"/>
      <c r="G972"/>
      <c r="H972"/>
      <c r="I972"/>
      <c r="J972"/>
      <c r="K972"/>
      <c r="L972"/>
      <c r="M972"/>
      <c r="N972"/>
      <c r="O972"/>
      <c r="P972"/>
      <c r="Q972"/>
      <c r="R972"/>
      <c r="S972"/>
      <c r="T972"/>
      <c r="U972"/>
      <c r="V972"/>
      <c r="W972"/>
      <c r="BF972" s="65"/>
      <c r="BG972" s="65"/>
      <c r="BH972" s="65"/>
      <c r="BI972" s="65"/>
      <c r="BJ972" s="65"/>
      <c r="BK972" s="65"/>
      <c r="BL972" s="65"/>
      <c r="BM972" s="65"/>
      <c r="BN972" s="65"/>
      <c r="BO972" s="65"/>
      <c r="BP972" s="65"/>
      <c r="BQ972" s="65"/>
      <c r="BR972" s="65"/>
      <c r="BS972" s="65"/>
    </row>
    <row r="973" spans="1:71" s="64" customFormat="1" outlineLevel="1">
      <c r="A973" s="65"/>
      <c r="B973" s="148"/>
      <c r="C973" s="149"/>
      <c r="D973" s="150"/>
      <c r="E973" s="151"/>
      <c r="F973" s="152"/>
      <c r="G973"/>
      <c r="H973"/>
      <c r="I973"/>
      <c r="J973"/>
      <c r="K973"/>
      <c r="L973"/>
      <c r="M973"/>
      <c r="N973"/>
      <c r="O973"/>
      <c r="P973"/>
      <c r="Q973"/>
      <c r="R973"/>
      <c r="S973"/>
      <c r="T973"/>
      <c r="U973"/>
      <c r="V973"/>
      <c r="W973"/>
      <c r="BF973" s="65"/>
      <c r="BG973" s="65"/>
      <c r="BH973" s="65"/>
      <c r="BI973" s="65"/>
      <c r="BJ973" s="65"/>
      <c r="BK973" s="65"/>
      <c r="BL973" s="65"/>
      <c r="BM973" s="65"/>
      <c r="BN973" s="65"/>
      <c r="BO973" s="65"/>
      <c r="BP973" s="65"/>
      <c r="BQ973" s="65"/>
      <c r="BR973" s="65"/>
      <c r="BS973" s="65"/>
    </row>
    <row r="974" spans="1:71" s="64" customFormat="1" outlineLevel="1">
      <c r="A974" s="65"/>
      <c r="B974" s="160"/>
      <c r="C974" s="161"/>
      <c r="D974" s="150"/>
      <c r="E974" s="162"/>
      <c r="F974" s="152"/>
      <c r="G974"/>
      <c r="H974"/>
      <c r="I974"/>
      <c r="J974"/>
      <c r="K974"/>
      <c r="L974"/>
      <c r="M974"/>
      <c r="N974"/>
      <c r="O974"/>
      <c r="P974"/>
      <c r="Q974"/>
      <c r="R974"/>
      <c r="S974"/>
      <c r="T974"/>
      <c r="U974"/>
      <c r="V974"/>
      <c r="W974"/>
      <c r="BF974" s="65"/>
      <c r="BG974" s="65"/>
      <c r="BH974" s="65"/>
      <c r="BI974" s="65"/>
      <c r="BJ974" s="65"/>
      <c r="BK974" s="65"/>
      <c r="BL974" s="65"/>
      <c r="BM974" s="65"/>
      <c r="BN974" s="65"/>
      <c r="BO974" s="65"/>
      <c r="BP974" s="65"/>
      <c r="BQ974" s="65"/>
      <c r="BR974" s="65"/>
      <c r="BS974" s="65"/>
    </row>
    <row r="975" spans="1:71" s="64" customFormat="1" outlineLevel="1">
      <c r="A975" s="65"/>
      <c r="B975" s="148"/>
      <c r="C975" s="149"/>
      <c r="D975" s="150"/>
      <c r="E975" s="151"/>
      <c r="F975" s="152"/>
      <c r="G975"/>
      <c r="H975"/>
      <c r="I975"/>
      <c r="J975"/>
      <c r="K975"/>
      <c r="L975"/>
      <c r="M975"/>
      <c r="N975"/>
      <c r="O975"/>
      <c r="P975"/>
      <c r="Q975"/>
      <c r="R975"/>
      <c r="S975"/>
      <c r="T975"/>
      <c r="U975"/>
      <c r="V975"/>
      <c r="W975"/>
      <c r="BF975" s="65"/>
      <c r="BG975" s="65"/>
      <c r="BH975" s="65"/>
      <c r="BI975" s="65"/>
      <c r="BJ975" s="65"/>
      <c r="BK975" s="65"/>
      <c r="BL975" s="65"/>
      <c r="BM975" s="65"/>
      <c r="BN975" s="65"/>
      <c r="BO975" s="65"/>
      <c r="BP975" s="65"/>
      <c r="BQ975" s="65"/>
      <c r="BR975" s="65"/>
      <c r="BS975" s="65"/>
    </row>
    <row r="976" spans="1:71" s="64" customFormat="1" outlineLevel="1">
      <c r="A976" s="65"/>
      <c r="B976" s="160"/>
      <c r="C976" s="161"/>
      <c r="D976" s="150"/>
      <c r="E976" s="162"/>
      <c r="F976" s="152"/>
      <c r="G976"/>
      <c r="H976"/>
      <c r="I976"/>
      <c r="J976"/>
      <c r="K976"/>
      <c r="L976"/>
      <c r="M976"/>
      <c r="N976"/>
      <c r="O976"/>
      <c r="P976"/>
      <c r="Q976"/>
      <c r="R976"/>
      <c r="S976"/>
      <c r="T976"/>
      <c r="U976"/>
      <c r="V976"/>
      <c r="W976"/>
      <c r="BF976" s="65"/>
      <c r="BG976" s="65"/>
      <c r="BH976" s="65"/>
      <c r="BI976" s="65"/>
      <c r="BJ976" s="65"/>
      <c r="BK976" s="65"/>
      <c r="BL976" s="65"/>
      <c r="BM976" s="65"/>
      <c r="BN976" s="65"/>
      <c r="BO976" s="65"/>
      <c r="BP976" s="65"/>
      <c r="BQ976" s="65"/>
      <c r="BR976" s="65"/>
      <c r="BS976" s="65"/>
    </row>
    <row r="977" spans="1:71" s="64" customFormat="1" outlineLevel="1">
      <c r="A977" s="65"/>
      <c r="B977" s="148"/>
      <c r="C977" s="149"/>
      <c r="D977" s="150"/>
      <c r="E977" s="151"/>
      <c r="F977" s="152"/>
      <c r="G977"/>
      <c r="H977"/>
      <c r="I977"/>
      <c r="J977"/>
      <c r="K977"/>
      <c r="L977"/>
      <c r="M977"/>
      <c r="N977"/>
      <c r="O977"/>
      <c r="P977"/>
      <c r="Q977"/>
      <c r="R977"/>
      <c r="S977"/>
      <c r="T977"/>
      <c r="U977"/>
      <c r="V977"/>
      <c r="W977"/>
      <c r="BF977" s="65"/>
      <c r="BG977" s="65"/>
      <c r="BH977" s="65"/>
      <c r="BI977" s="65"/>
      <c r="BJ977" s="65"/>
      <c r="BK977" s="65"/>
      <c r="BL977" s="65"/>
      <c r="BM977" s="65"/>
      <c r="BN977" s="65"/>
      <c r="BO977" s="65"/>
      <c r="BP977" s="65"/>
      <c r="BQ977" s="65"/>
      <c r="BR977" s="65"/>
      <c r="BS977" s="65"/>
    </row>
    <row r="978" spans="1:71" s="64" customFormat="1" outlineLevel="1">
      <c r="A978" s="65"/>
      <c r="B978" s="160"/>
      <c r="C978" s="161"/>
      <c r="D978" s="150"/>
      <c r="E978" s="162"/>
      <c r="F978" s="152"/>
      <c r="G978"/>
      <c r="H978"/>
      <c r="I978"/>
      <c r="J978"/>
      <c r="K978"/>
      <c r="L978"/>
      <c r="M978"/>
      <c r="N978"/>
      <c r="O978"/>
      <c r="P978"/>
      <c r="Q978"/>
      <c r="R978"/>
      <c r="S978"/>
      <c r="T978"/>
      <c r="U978"/>
      <c r="V978"/>
      <c r="W978"/>
      <c r="BF978" s="65"/>
      <c r="BG978" s="65"/>
      <c r="BH978" s="65"/>
      <c r="BI978" s="65"/>
      <c r="BJ978" s="65"/>
      <c r="BK978" s="65"/>
      <c r="BL978" s="65"/>
      <c r="BM978" s="65"/>
      <c r="BN978" s="65"/>
      <c r="BO978" s="65"/>
      <c r="BP978" s="65"/>
      <c r="BQ978" s="65"/>
      <c r="BR978" s="65"/>
      <c r="BS978" s="65"/>
    </row>
    <row r="979" spans="1:71" s="64" customFormat="1" outlineLevel="1">
      <c r="A979" s="65"/>
      <c r="B979" s="148"/>
      <c r="C979" s="149"/>
      <c r="D979" s="150"/>
      <c r="E979" s="151"/>
      <c r="F979" s="152"/>
      <c r="G979"/>
      <c r="H979"/>
      <c r="I979"/>
      <c r="J979"/>
      <c r="K979"/>
      <c r="L979"/>
      <c r="M979"/>
      <c r="N979"/>
      <c r="O979"/>
      <c r="P979"/>
      <c r="Q979"/>
      <c r="R979"/>
      <c r="S979"/>
      <c r="T979"/>
      <c r="U979"/>
      <c r="V979"/>
      <c r="W979"/>
      <c r="BF979" s="65"/>
      <c r="BG979" s="65"/>
      <c r="BH979" s="65"/>
      <c r="BI979" s="65"/>
      <c r="BJ979" s="65"/>
      <c r="BK979" s="65"/>
      <c r="BL979" s="65"/>
      <c r="BM979" s="65"/>
      <c r="BN979" s="65"/>
      <c r="BO979" s="65"/>
      <c r="BP979" s="65"/>
      <c r="BQ979" s="65"/>
      <c r="BR979" s="65"/>
      <c r="BS979" s="65"/>
    </row>
    <row r="980" spans="1:71" s="64" customFormat="1" outlineLevel="1">
      <c r="A980" s="65"/>
      <c r="B980" s="160"/>
      <c r="C980" s="161"/>
      <c r="D980" s="150"/>
      <c r="E980" s="162"/>
      <c r="F980" s="152"/>
      <c r="G980"/>
      <c r="H980"/>
      <c r="I980"/>
      <c r="J980"/>
      <c r="K980"/>
      <c r="L980"/>
      <c r="M980"/>
      <c r="N980"/>
      <c r="O980"/>
      <c r="P980"/>
      <c r="Q980"/>
      <c r="R980"/>
      <c r="S980"/>
      <c r="T980"/>
      <c r="U980"/>
      <c r="V980"/>
      <c r="W980"/>
      <c r="BF980" s="65"/>
      <c r="BG980" s="65"/>
      <c r="BH980" s="65"/>
      <c r="BI980" s="65"/>
      <c r="BJ980" s="65"/>
      <c r="BK980" s="65"/>
      <c r="BL980" s="65"/>
      <c r="BM980" s="65"/>
      <c r="BN980" s="65"/>
      <c r="BO980" s="65"/>
      <c r="BP980" s="65"/>
      <c r="BQ980" s="65"/>
      <c r="BR980" s="65"/>
      <c r="BS980" s="65"/>
    </row>
    <row r="981" spans="1:71" s="64" customFormat="1" outlineLevel="1">
      <c r="A981" s="65"/>
      <c r="B981" s="148"/>
      <c r="C981" s="149"/>
      <c r="D981" s="150"/>
      <c r="E981" s="151"/>
      <c r="F981" s="152"/>
      <c r="G981"/>
      <c r="H981"/>
      <c r="I981"/>
      <c r="J981"/>
      <c r="K981"/>
      <c r="L981"/>
      <c r="M981"/>
      <c r="N981"/>
      <c r="O981"/>
      <c r="P981"/>
      <c r="Q981"/>
      <c r="R981"/>
      <c r="S981"/>
      <c r="T981"/>
      <c r="U981"/>
      <c r="V981"/>
      <c r="W981"/>
      <c r="BF981" s="65"/>
      <c r="BG981" s="65"/>
      <c r="BH981" s="65"/>
      <c r="BI981" s="65"/>
      <c r="BJ981" s="65"/>
      <c r="BK981" s="65"/>
      <c r="BL981" s="65"/>
      <c r="BM981" s="65"/>
      <c r="BN981" s="65"/>
      <c r="BO981" s="65"/>
      <c r="BP981" s="65"/>
      <c r="BQ981" s="65"/>
      <c r="BR981" s="65"/>
      <c r="BS981" s="65"/>
    </row>
    <row r="982" spans="1:71" s="64" customFormat="1" outlineLevel="1">
      <c r="A982" s="65"/>
      <c r="B982" s="160"/>
      <c r="C982" s="161"/>
      <c r="D982" s="150"/>
      <c r="E982" s="162"/>
      <c r="F982" s="152"/>
      <c r="G982"/>
      <c r="H982"/>
      <c r="I982"/>
      <c r="J982"/>
      <c r="K982"/>
      <c r="L982"/>
      <c r="M982"/>
      <c r="N982"/>
      <c r="O982"/>
      <c r="P982"/>
      <c r="Q982"/>
      <c r="R982"/>
      <c r="S982"/>
      <c r="T982"/>
      <c r="U982"/>
      <c r="V982"/>
      <c r="W982"/>
      <c r="BF982" s="65"/>
      <c r="BG982" s="65"/>
      <c r="BH982" s="65"/>
      <c r="BI982" s="65"/>
      <c r="BJ982" s="65"/>
      <c r="BK982" s="65"/>
      <c r="BL982" s="65"/>
      <c r="BM982" s="65"/>
      <c r="BN982" s="65"/>
      <c r="BO982" s="65"/>
      <c r="BP982" s="65"/>
      <c r="BQ982" s="65"/>
      <c r="BR982" s="65"/>
      <c r="BS982" s="65"/>
    </row>
    <row r="983" spans="1:71" s="64" customFormat="1" outlineLevel="1">
      <c r="A983" s="65"/>
      <c r="B983" s="148"/>
      <c r="C983" s="149"/>
      <c r="D983" s="150"/>
      <c r="E983" s="151"/>
      <c r="F983" s="152"/>
      <c r="G983"/>
      <c r="H983"/>
      <c r="I983"/>
      <c r="J983"/>
      <c r="K983"/>
      <c r="L983"/>
      <c r="M983"/>
      <c r="N983"/>
      <c r="O983"/>
      <c r="P983"/>
      <c r="Q983"/>
      <c r="R983"/>
      <c r="S983"/>
      <c r="T983"/>
      <c r="U983"/>
      <c r="V983"/>
      <c r="W983"/>
      <c r="BF983" s="65"/>
      <c r="BG983" s="65"/>
      <c r="BH983" s="65"/>
      <c r="BI983" s="65"/>
      <c r="BJ983" s="65"/>
      <c r="BK983" s="65"/>
      <c r="BL983" s="65"/>
      <c r="BM983" s="65"/>
      <c r="BN983" s="65"/>
      <c r="BO983" s="65"/>
      <c r="BP983" s="65"/>
      <c r="BQ983" s="65"/>
      <c r="BR983" s="65"/>
      <c r="BS983" s="65"/>
    </row>
    <row r="984" spans="1:71" s="64" customFormat="1" outlineLevel="1">
      <c r="A984" s="65"/>
      <c r="B984" s="160"/>
      <c r="C984" s="161"/>
      <c r="D984" s="150"/>
      <c r="E984" s="162"/>
      <c r="F984" s="152"/>
      <c r="G984"/>
      <c r="H984"/>
      <c r="I984"/>
      <c r="J984"/>
      <c r="K984"/>
      <c r="L984"/>
      <c r="M984"/>
      <c r="N984"/>
      <c r="O984"/>
      <c r="P984"/>
      <c r="Q984"/>
      <c r="R984"/>
      <c r="S984"/>
      <c r="T984"/>
      <c r="U984"/>
      <c r="V984"/>
      <c r="W984"/>
      <c r="BF984" s="65"/>
      <c r="BG984" s="65"/>
      <c r="BH984" s="65"/>
      <c r="BI984" s="65"/>
      <c r="BJ984" s="65"/>
      <c r="BK984" s="65"/>
      <c r="BL984" s="65"/>
      <c r="BM984" s="65"/>
      <c r="BN984" s="65"/>
      <c r="BO984" s="65"/>
      <c r="BP984" s="65"/>
      <c r="BQ984" s="65"/>
      <c r="BR984" s="65"/>
      <c r="BS984" s="65"/>
    </row>
    <row r="985" spans="1:71" s="64" customFormat="1" outlineLevel="1">
      <c r="A985" s="65"/>
      <c r="B985" s="148"/>
      <c r="C985" s="149"/>
      <c r="D985" s="150"/>
      <c r="E985" s="151"/>
      <c r="F985" s="152"/>
      <c r="G985"/>
      <c r="H985"/>
      <c r="I985"/>
      <c r="J985"/>
      <c r="K985"/>
      <c r="L985"/>
      <c r="M985"/>
      <c r="N985"/>
      <c r="O985"/>
      <c r="P985"/>
      <c r="Q985"/>
      <c r="R985"/>
      <c r="S985"/>
      <c r="T985"/>
      <c r="U985"/>
      <c r="V985"/>
      <c r="W985"/>
      <c r="BF985" s="65"/>
      <c r="BG985" s="65"/>
      <c r="BH985" s="65"/>
      <c r="BI985" s="65"/>
      <c r="BJ985" s="65"/>
      <c r="BK985" s="65"/>
      <c r="BL985" s="65"/>
      <c r="BM985" s="65"/>
      <c r="BN985" s="65"/>
      <c r="BO985" s="65"/>
      <c r="BP985" s="65"/>
      <c r="BQ985" s="65"/>
      <c r="BR985" s="65"/>
      <c r="BS985" s="65"/>
    </row>
    <row r="986" spans="1:71" s="64" customFormat="1" outlineLevel="1">
      <c r="A986" s="65"/>
      <c r="B986" s="160"/>
      <c r="C986" s="161"/>
      <c r="D986" s="150"/>
      <c r="E986" s="162"/>
      <c r="F986" s="152"/>
      <c r="G986"/>
      <c r="H986"/>
      <c r="I986"/>
      <c r="J986"/>
      <c r="K986"/>
      <c r="L986"/>
      <c r="M986"/>
      <c r="N986"/>
      <c r="O986"/>
      <c r="P986"/>
      <c r="Q986"/>
      <c r="R986"/>
      <c r="S986"/>
      <c r="T986"/>
      <c r="U986"/>
      <c r="V986"/>
      <c r="W986"/>
      <c r="BF986" s="65"/>
      <c r="BG986" s="65"/>
      <c r="BH986" s="65"/>
      <c r="BI986" s="65"/>
      <c r="BJ986" s="65"/>
      <c r="BK986" s="65"/>
      <c r="BL986" s="65"/>
      <c r="BM986" s="65"/>
      <c r="BN986" s="65"/>
      <c r="BO986" s="65"/>
      <c r="BP986" s="65"/>
      <c r="BQ986" s="65"/>
      <c r="BR986" s="65"/>
      <c r="BS986" s="65"/>
    </row>
    <row r="987" spans="1:71" s="64" customFormat="1" outlineLevel="1">
      <c r="A987" s="65"/>
      <c r="B987" s="148"/>
      <c r="C987" s="149"/>
      <c r="D987" s="150"/>
      <c r="E987" s="151"/>
      <c r="F987" s="152"/>
      <c r="G987"/>
      <c r="H987"/>
      <c r="I987"/>
      <c r="J987"/>
      <c r="K987"/>
      <c r="L987"/>
      <c r="M987"/>
      <c r="N987"/>
      <c r="O987"/>
      <c r="P987"/>
      <c r="Q987"/>
      <c r="R987"/>
      <c r="S987"/>
      <c r="T987"/>
      <c r="U987"/>
      <c r="V987"/>
      <c r="W987"/>
      <c r="BF987" s="65"/>
      <c r="BG987" s="65"/>
      <c r="BH987" s="65"/>
      <c r="BI987" s="65"/>
      <c r="BJ987" s="65"/>
      <c r="BK987" s="65"/>
      <c r="BL987" s="65"/>
      <c r="BM987" s="65"/>
      <c r="BN987" s="65"/>
      <c r="BO987" s="65"/>
      <c r="BP987" s="65"/>
      <c r="BQ987" s="65"/>
      <c r="BR987" s="65"/>
      <c r="BS987" s="65"/>
    </row>
    <row r="988" spans="1:71" s="64" customFormat="1" outlineLevel="1">
      <c r="A988" s="65"/>
      <c r="B988" s="160"/>
      <c r="C988" s="161"/>
      <c r="D988" s="150"/>
      <c r="E988" s="162"/>
      <c r="F988" s="152"/>
      <c r="G988"/>
      <c r="H988"/>
      <c r="I988"/>
      <c r="J988"/>
      <c r="K988"/>
      <c r="L988"/>
      <c r="M988"/>
      <c r="N988"/>
      <c r="O988"/>
      <c r="P988"/>
      <c r="Q988"/>
      <c r="R988"/>
      <c r="S988"/>
      <c r="T988"/>
      <c r="U988"/>
      <c r="V988"/>
      <c r="W988"/>
      <c r="BF988" s="65"/>
      <c r="BG988" s="65"/>
      <c r="BH988" s="65"/>
      <c r="BI988" s="65"/>
      <c r="BJ988" s="65"/>
      <c r="BK988" s="65"/>
      <c r="BL988" s="65"/>
      <c r="BM988" s="65"/>
      <c r="BN988" s="65"/>
      <c r="BO988" s="65"/>
      <c r="BP988" s="65"/>
      <c r="BQ988" s="65"/>
      <c r="BR988" s="65"/>
      <c r="BS988" s="65"/>
    </row>
    <row r="989" spans="1:71" s="64" customFormat="1" outlineLevel="1">
      <c r="A989" s="65"/>
      <c r="B989" s="148"/>
      <c r="C989" s="149"/>
      <c r="D989" s="150"/>
      <c r="E989" s="151"/>
      <c r="F989" s="152"/>
      <c r="G989"/>
      <c r="H989"/>
      <c r="I989"/>
      <c r="J989"/>
      <c r="K989"/>
      <c r="L989"/>
      <c r="M989"/>
      <c r="N989"/>
      <c r="O989"/>
      <c r="P989"/>
      <c r="Q989"/>
      <c r="R989"/>
      <c r="S989"/>
      <c r="T989"/>
      <c r="U989"/>
      <c r="V989"/>
      <c r="W989"/>
      <c r="BF989" s="65"/>
      <c r="BG989" s="65"/>
      <c r="BH989" s="65"/>
      <c r="BI989" s="65"/>
      <c r="BJ989" s="65"/>
      <c r="BK989" s="65"/>
      <c r="BL989" s="65"/>
      <c r="BM989" s="65"/>
      <c r="BN989" s="65"/>
      <c r="BO989" s="65"/>
      <c r="BP989" s="65"/>
      <c r="BQ989" s="65"/>
      <c r="BR989" s="65"/>
      <c r="BS989" s="65"/>
    </row>
    <row r="990" spans="1:71" s="64" customFormat="1" outlineLevel="1">
      <c r="A990" s="65"/>
      <c r="B990" s="160"/>
      <c r="C990" s="161"/>
      <c r="D990" s="150"/>
      <c r="E990" s="162"/>
      <c r="F990" s="152"/>
      <c r="G990"/>
      <c r="H990"/>
      <c r="I990"/>
      <c r="J990"/>
      <c r="K990"/>
      <c r="L990"/>
      <c r="M990"/>
      <c r="N990"/>
      <c r="O990"/>
      <c r="P990"/>
      <c r="Q990"/>
      <c r="R990"/>
      <c r="S990"/>
      <c r="T990"/>
      <c r="U990"/>
      <c r="V990"/>
      <c r="W990"/>
      <c r="BF990" s="65"/>
      <c r="BG990" s="65"/>
      <c r="BH990" s="65"/>
      <c r="BI990" s="65"/>
      <c r="BJ990" s="65"/>
      <c r="BK990" s="65"/>
      <c r="BL990" s="65"/>
      <c r="BM990" s="65"/>
      <c r="BN990" s="65"/>
      <c r="BO990" s="65"/>
      <c r="BP990" s="65"/>
      <c r="BQ990" s="65"/>
      <c r="BR990" s="65"/>
      <c r="BS990" s="65"/>
    </row>
    <row r="991" spans="1:71" s="64" customFormat="1" outlineLevel="1">
      <c r="A991" s="65"/>
      <c r="B991" s="148"/>
      <c r="C991" s="149"/>
      <c r="D991" s="150"/>
      <c r="E991" s="151"/>
      <c r="F991" s="152"/>
      <c r="G991"/>
      <c r="H991"/>
      <c r="I991"/>
      <c r="J991"/>
      <c r="K991"/>
      <c r="L991"/>
      <c r="M991"/>
      <c r="N991"/>
      <c r="O991"/>
      <c r="P991"/>
      <c r="Q991"/>
      <c r="R991"/>
      <c r="S991"/>
      <c r="T991"/>
      <c r="U991"/>
      <c r="V991"/>
      <c r="W991"/>
      <c r="BF991" s="65"/>
      <c r="BG991" s="65"/>
      <c r="BH991" s="65"/>
      <c r="BI991" s="65"/>
      <c r="BJ991" s="65"/>
      <c r="BK991" s="65"/>
      <c r="BL991" s="65"/>
      <c r="BM991" s="65"/>
      <c r="BN991" s="65"/>
      <c r="BO991" s="65"/>
      <c r="BP991" s="65"/>
      <c r="BQ991" s="65"/>
      <c r="BR991" s="65"/>
      <c r="BS991" s="65"/>
    </row>
    <row r="992" spans="1:71" s="64" customFormat="1" outlineLevel="1">
      <c r="A992" s="65"/>
      <c r="B992" s="160"/>
      <c r="C992" s="161"/>
      <c r="D992" s="150"/>
      <c r="E992" s="162"/>
      <c r="F992" s="152"/>
      <c r="G992"/>
      <c r="H992"/>
      <c r="I992"/>
      <c r="J992"/>
      <c r="K992"/>
      <c r="L992"/>
      <c r="M992"/>
      <c r="N992"/>
      <c r="O992"/>
      <c r="P992"/>
      <c r="Q992"/>
      <c r="R992"/>
      <c r="S992"/>
      <c r="T992"/>
      <c r="U992"/>
      <c r="V992"/>
      <c r="W992"/>
      <c r="BF992" s="65"/>
      <c r="BG992" s="65"/>
      <c r="BH992" s="65"/>
      <c r="BI992" s="65"/>
      <c r="BJ992" s="65"/>
      <c r="BK992" s="65"/>
      <c r="BL992" s="65"/>
      <c r="BM992" s="65"/>
      <c r="BN992" s="65"/>
      <c r="BO992" s="65"/>
      <c r="BP992" s="65"/>
      <c r="BQ992" s="65"/>
      <c r="BR992" s="65"/>
      <c r="BS992" s="65"/>
    </row>
    <row r="993" spans="1:71" s="64" customFormat="1" outlineLevel="1">
      <c r="A993" s="65"/>
      <c r="B993" s="148"/>
      <c r="C993" s="149"/>
      <c r="D993" s="150"/>
      <c r="E993" s="151"/>
      <c r="F993" s="152"/>
      <c r="G993"/>
      <c r="H993"/>
      <c r="I993"/>
      <c r="J993"/>
      <c r="K993"/>
      <c r="L993"/>
      <c r="M993"/>
      <c r="N993"/>
      <c r="O993"/>
      <c r="P993"/>
      <c r="Q993"/>
      <c r="R993"/>
      <c r="S993"/>
      <c r="T993"/>
      <c r="U993"/>
      <c r="V993"/>
      <c r="W993"/>
      <c r="BF993" s="65"/>
      <c r="BG993" s="65"/>
      <c r="BH993" s="65"/>
      <c r="BI993" s="65"/>
      <c r="BJ993" s="65"/>
      <c r="BK993" s="65"/>
      <c r="BL993" s="65"/>
      <c r="BM993" s="65"/>
      <c r="BN993" s="65"/>
      <c r="BO993" s="65"/>
      <c r="BP993" s="65"/>
      <c r="BQ993" s="65"/>
      <c r="BR993" s="65"/>
      <c r="BS993" s="65"/>
    </row>
    <row r="994" spans="1:71" s="64" customFormat="1" outlineLevel="1">
      <c r="A994" s="65"/>
      <c r="B994" s="160"/>
      <c r="C994" s="161"/>
      <c r="D994" s="150"/>
      <c r="E994" s="162"/>
      <c r="F994" s="152"/>
      <c r="G994"/>
      <c r="H994"/>
      <c r="I994"/>
      <c r="J994"/>
      <c r="K994"/>
      <c r="L994"/>
      <c r="M994"/>
      <c r="N994"/>
      <c r="O994"/>
      <c r="P994"/>
      <c r="Q994"/>
      <c r="R994"/>
      <c r="S994"/>
      <c r="T994"/>
      <c r="U994"/>
      <c r="V994"/>
      <c r="W994"/>
      <c r="BF994" s="65"/>
      <c r="BG994" s="65"/>
      <c r="BH994" s="65"/>
      <c r="BI994" s="65"/>
      <c r="BJ994" s="65"/>
      <c r="BK994" s="65"/>
      <c r="BL994" s="65"/>
      <c r="BM994" s="65"/>
      <c r="BN994" s="65"/>
      <c r="BO994" s="65"/>
      <c r="BP994" s="65"/>
      <c r="BQ994" s="65"/>
      <c r="BR994" s="65"/>
      <c r="BS994" s="65"/>
    </row>
    <row r="995" spans="1:71" s="64" customFormat="1" outlineLevel="1">
      <c r="A995" s="65"/>
      <c r="B995" s="148"/>
      <c r="C995" s="149"/>
      <c r="D995" s="150"/>
      <c r="E995" s="151"/>
      <c r="F995" s="152"/>
      <c r="G995"/>
      <c r="H995"/>
      <c r="I995"/>
      <c r="J995"/>
      <c r="K995"/>
      <c r="L995"/>
      <c r="M995"/>
      <c r="N995"/>
      <c r="O995"/>
      <c r="P995"/>
      <c r="Q995"/>
      <c r="R995"/>
      <c r="S995"/>
      <c r="T995"/>
      <c r="U995"/>
      <c r="V995"/>
      <c r="W995"/>
      <c r="BF995" s="65"/>
      <c r="BG995" s="65"/>
      <c r="BH995" s="65"/>
      <c r="BI995" s="65"/>
      <c r="BJ995" s="65"/>
      <c r="BK995" s="65"/>
      <c r="BL995" s="65"/>
      <c r="BM995" s="65"/>
      <c r="BN995" s="65"/>
      <c r="BO995" s="65"/>
      <c r="BP995" s="65"/>
      <c r="BQ995" s="65"/>
      <c r="BR995" s="65"/>
      <c r="BS995" s="65"/>
    </row>
    <row r="996" spans="1:71" s="64" customFormat="1" outlineLevel="1">
      <c r="A996" s="65"/>
      <c r="B996" s="160"/>
      <c r="C996" s="161"/>
      <c r="D996" s="150"/>
      <c r="E996" s="162"/>
      <c r="F996" s="152"/>
      <c r="G996"/>
      <c r="H996"/>
      <c r="I996"/>
      <c r="J996"/>
      <c r="K996"/>
      <c r="L996"/>
      <c r="M996"/>
      <c r="N996"/>
      <c r="O996"/>
      <c r="P996"/>
      <c r="Q996"/>
      <c r="R996"/>
      <c r="S996"/>
      <c r="T996"/>
      <c r="U996"/>
      <c r="V996"/>
      <c r="W996"/>
      <c r="BF996" s="65"/>
      <c r="BG996" s="65"/>
      <c r="BH996" s="65"/>
      <c r="BI996" s="65"/>
      <c r="BJ996" s="65"/>
      <c r="BK996" s="65"/>
      <c r="BL996" s="65"/>
      <c r="BM996" s="65"/>
      <c r="BN996" s="65"/>
      <c r="BO996" s="65"/>
      <c r="BP996" s="65"/>
      <c r="BQ996" s="65"/>
      <c r="BR996" s="65"/>
      <c r="BS996" s="65"/>
    </row>
    <row r="997" spans="1:71" s="64" customFormat="1" outlineLevel="1">
      <c r="A997" s="65"/>
      <c r="B997" s="148"/>
      <c r="C997" s="149"/>
      <c r="D997" s="150"/>
      <c r="E997" s="151"/>
      <c r="F997" s="152"/>
      <c r="G997"/>
      <c r="H997"/>
      <c r="I997"/>
      <c r="J997"/>
      <c r="K997"/>
      <c r="L997"/>
      <c r="M997"/>
      <c r="N997"/>
      <c r="O997"/>
      <c r="P997"/>
      <c r="Q997"/>
      <c r="R997"/>
      <c r="S997"/>
      <c r="T997"/>
      <c r="U997"/>
      <c r="V997"/>
      <c r="W997"/>
      <c r="BF997" s="65"/>
      <c r="BG997" s="65"/>
      <c r="BH997" s="65"/>
      <c r="BI997" s="65"/>
      <c r="BJ997" s="65"/>
      <c r="BK997" s="65"/>
      <c r="BL997" s="65"/>
      <c r="BM997" s="65"/>
      <c r="BN997" s="65"/>
      <c r="BO997" s="65"/>
      <c r="BP997" s="65"/>
      <c r="BQ997" s="65"/>
      <c r="BR997" s="65"/>
      <c r="BS997" s="65"/>
    </row>
    <row r="998" spans="1:71" s="64" customFormat="1" outlineLevel="1">
      <c r="A998" s="65"/>
      <c r="B998" s="160"/>
      <c r="C998" s="161"/>
      <c r="D998" s="150"/>
      <c r="E998" s="162"/>
      <c r="F998" s="152"/>
      <c r="G998"/>
      <c r="H998"/>
      <c r="I998"/>
      <c r="J998"/>
      <c r="K998"/>
      <c r="L998"/>
      <c r="M998"/>
      <c r="N998"/>
      <c r="O998"/>
      <c r="P998"/>
      <c r="Q998"/>
      <c r="R998"/>
      <c r="S998"/>
      <c r="T998"/>
      <c r="U998"/>
      <c r="V998"/>
      <c r="W998"/>
      <c r="BF998" s="65"/>
      <c r="BG998" s="65"/>
      <c r="BH998" s="65"/>
      <c r="BI998" s="65"/>
      <c r="BJ998" s="65"/>
      <c r="BK998" s="65"/>
      <c r="BL998" s="65"/>
      <c r="BM998" s="65"/>
      <c r="BN998" s="65"/>
      <c r="BO998" s="65"/>
      <c r="BP998" s="65"/>
      <c r="BQ998" s="65"/>
      <c r="BR998" s="65"/>
      <c r="BS998" s="65"/>
    </row>
    <row r="999" spans="1:71" s="64" customFormat="1" outlineLevel="1">
      <c r="A999" s="65"/>
      <c r="B999" s="148"/>
      <c r="C999" s="149"/>
      <c r="D999" s="150"/>
      <c r="E999" s="151"/>
      <c r="F999" s="152"/>
      <c r="G999"/>
      <c r="H999"/>
      <c r="I999"/>
      <c r="J999"/>
      <c r="K999"/>
      <c r="L999"/>
      <c r="M999"/>
      <c r="N999"/>
      <c r="O999"/>
      <c r="P999"/>
      <c r="Q999"/>
      <c r="R999"/>
      <c r="S999"/>
      <c r="T999"/>
      <c r="U999"/>
      <c r="V999"/>
      <c r="W999"/>
      <c r="BF999" s="65"/>
      <c r="BG999" s="65"/>
      <c r="BH999" s="65"/>
      <c r="BI999" s="65"/>
      <c r="BJ999" s="65"/>
      <c r="BK999" s="65"/>
      <c r="BL999" s="65"/>
      <c r="BM999" s="65"/>
      <c r="BN999" s="65"/>
      <c r="BO999" s="65"/>
      <c r="BP999" s="65"/>
      <c r="BQ999" s="65"/>
      <c r="BR999" s="65"/>
      <c r="BS999" s="65"/>
    </row>
    <row r="1000" spans="1:71" s="64" customFormat="1" outlineLevel="1">
      <c r="A1000" s="65"/>
      <c r="B1000" s="160"/>
      <c r="C1000" s="161"/>
      <c r="D1000" s="150"/>
      <c r="E1000" s="162"/>
      <c r="F1000" s="152"/>
      <c r="G1000"/>
      <c r="H1000"/>
      <c r="I1000"/>
      <c r="J1000"/>
      <c r="K1000"/>
      <c r="L1000"/>
      <c r="M1000"/>
      <c r="N1000"/>
      <c r="O1000"/>
      <c r="P1000"/>
      <c r="Q1000"/>
      <c r="R1000"/>
      <c r="S1000"/>
      <c r="T1000"/>
      <c r="U1000"/>
      <c r="V1000"/>
      <c r="W1000"/>
      <c r="BF1000" s="65"/>
      <c r="BG1000" s="65"/>
      <c r="BH1000" s="65"/>
      <c r="BI1000" s="65"/>
      <c r="BJ1000" s="65"/>
      <c r="BK1000" s="65"/>
      <c r="BL1000" s="65"/>
      <c r="BM1000" s="65"/>
      <c r="BN1000" s="65"/>
      <c r="BO1000" s="65"/>
      <c r="BP1000" s="65"/>
      <c r="BQ1000" s="65"/>
      <c r="BR1000" s="65"/>
      <c r="BS1000" s="65"/>
    </row>
    <row r="1001" spans="1:71" s="64" customFormat="1" outlineLevel="1">
      <c r="A1001" s="65"/>
      <c r="B1001" s="148"/>
      <c r="C1001" s="149"/>
      <c r="D1001" s="150"/>
      <c r="E1001" s="151"/>
      <c r="F1001" s="152"/>
      <c r="G1001"/>
      <c r="H1001"/>
      <c r="I1001"/>
      <c r="J1001"/>
      <c r="K1001"/>
      <c r="L1001"/>
      <c r="M1001"/>
      <c r="N1001"/>
      <c r="O1001"/>
      <c r="P1001"/>
      <c r="Q1001"/>
      <c r="R1001"/>
      <c r="S1001"/>
      <c r="T1001"/>
      <c r="U1001"/>
      <c r="V1001"/>
      <c r="W1001"/>
      <c r="BF1001" s="65"/>
      <c r="BG1001" s="65"/>
      <c r="BH1001" s="65"/>
      <c r="BI1001" s="65"/>
      <c r="BJ1001" s="65"/>
      <c r="BK1001" s="65"/>
      <c r="BL1001" s="65"/>
      <c r="BM1001" s="65"/>
      <c r="BN1001" s="65"/>
      <c r="BO1001" s="65"/>
      <c r="BP1001" s="65"/>
      <c r="BQ1001" s="65"/>
      <c r="BR1001" s="65"/>
      <c r="BS1001" s="65"/>
    </row>
    <row r="1002" spans="1:71" s="64" customFormat="1" outlineLevel="1">
      <c r="A1002" s="65"/>
      <c r="B1002" s="160"/>
      <c r="C1002" s="161"/>
      <c r="D1002" s="150"/>
      <c r="E1002" s="162"/>
      <c r="F1002" s="152"/>
      <c r="G1002"/>
      <c r="H1002"/>
      <c r="I1002"/>
      <c r="J1002"/>
      <c r="K1002"/>
      <c r="L1002"/>
      <c r="M1002"/>
      <c r="N1002"/>
      <c r="O1002"/>
      <c r="P1002"/>
      <c r="Q1002"/>
      <c r="R1002"/>
      <c r="S1002"/>
      <c r="T1002"/>
      <c r="U1002"/>
      <c r="V1002"/>
      <c r="W1002"/>
      <c r="BF1002" s="65"/>
      <c r="BG1002" s="65"/>
      <c r="BH1002" s="65"/>
      <c r="BI1002" s="65"/>
      <c r="BJ1002" s="65"/>
      <c r="BK1002" s="65"/>
      <c r="BL1002" s="65"/>
      <c r="BM1002" s="65"/>
      <c r="BN1002" s="65"/>
      <c r="BO1002" s="65"/>
      <c r="BP1002" s="65"/>
      <c r="BQ1002" s="65"/>
      <c r="BR1002" s="65"/>
      <c r="BS1002" s="65"/>
    </row>
    <row r="1003" spans="1:71" s="64" customFormat="1" outlineLevel="1">
      <c r="A1003" s="65"/>
      <c r="B1003" s="148"/>
      <c r="C1003" s="149"/>
      <c r="D1003" s="150"/>
      <c r="E1003" s="151"/>
      <c r="F1003" s="152"/>
      <c r="G1003"/>
      <c r="H1003"/>
      <c r="I1003"/>
      <c r="J1003"/>
      <c r="K1003"/>
      <c r="L1003"/>
      <c r="M1003"/>
      <c r="N1003"/>
      <c r="O1003"/>
      <c r="P1003"/>
      <c r="Q1003"/>
      <c r="R1003"/>
      <c r="S1003"/>
      <c r="T1003"/>
      <c r="U1003"/>
      <c r="V1003"/>
      <c r="W1003"/>
      <c r="BF1003" s="65"/>
      <c r="BG1003" s="65"/>
      <c r="BH1003" s="65"/>
      <c r="BI1003" s="65"/>
      <c r="BJ1003" s="65"/>
      <c r="BK1003" s="65"/>
      <c r="BL1003" s="65"/>
      <c r="BM1003" s="65"/>
      <c r="BN1003" s="65"/>
      <c r="BO1003" s="65"/>
      <c r="BP1003" s="65"/>
      <c r="BQ1003" s="65"/>
      <c r="BR1003" s="65"/>
      <c r="BS1003" s="65"/>
    </row>
    <row r="1004" spans="1:71" s="64" customFormat="1" outlineLevel="1">
      <c r="A1004" s="65"/>
      <c r="B1004" s="160"/>
      <c r="C1004" s="161"/>
      <c r="D1004" s="150"/>
      <c r="E1004" s="162"/>
      <c r="F1004" s="152"/>
      <c r="G1004"/>
      <c r="H1004"/>
      <c r="I1004"/>
      <c r="J1004"/>
      <c r="K1004"/>
      <c r="L1004"/>
      <c r="M1004"/>
      <c r="N1004"/>
      <c r="O1004"/>
      <c r="P1004"/>
      <c r="Q1004"/>
      <c r="R1004"/>
      <c r="S1004"/>
      <c r="T1004"/>
      <c r="U1004"/>
      <c r="V1004"/>
      <c r="W1004"/>
      <c r="BF1004" s="65"/>
      <c r="BG1004" s="65"/>
      <c r="BH1004" s="65"/>
      <c r="BI1004" s="65"/>
      <c r="BJ1004" s="65"/>
      <c r="BK1004" s="65"/>
      <c r="BL1004" s="65"/>
      <c r="BM1004" s="65"/>
      <c r="BN1004" s="65"/>
      <c r="BO1004" s="65"/>
      <c r="BP1004" s="65"/>
      <c r="BQ1004" s="65"/>
      <c r="BR1004" s="65"/>
      <c r="BS1004" s="65"/>
    </row>
    <row r="1005" spans="1:71" s="64" customFormat="1" outlineLevel="1">
      <c r="A1005" s="65"/>
      <c r="B1005" s="148"/>
      <c r="C1005" s="149"/>
      <c r="D1005" s="150"/>
      <c r="E1005" s="151"/>
      <c r="F1005" s="152"/>
      <c r="G1005"/>
      <c r="H1005"/>
      <c r="I1005"/>
      <c r="J1005"/>
      <c r="K1005"/>
      <c r="L1005"/>
      <c r="M1005"/>
      <c r="N1005"/>
      <c r="O1005"/>
      <c r="P1005"/>
      <c r="Q1005"/>
      <c r="R1005"/>
      <c r="S1005"/>
      <c r="T1005"/>
      <c r="U1005"/>
      <c r="V1005"/>
      <c r="W1005"/>
      <c r="BF1005" s="65"/>
      <c r="BG1005" s="65"/>
      <c r="BH1005" s="65"/>
      <c r="BI1005" s="65"/>
      <c r="BJ1005" s="65"/>
      <c r="BK1005" s="65"/>
      <c r="BL1005" s="65"/>
      <c r="BM1005" s="65"/>
      <c r="BN1005" s="65"/>
      <c r="BO1005" s="65"/>
      <c r="BP1005" s="65"/>
      <c r="BQ1005" s="65"/>
      <c r="BR1005" s="65"/>
      <c r="BS1005" s="65"/>
    </row>
    <row r="1006" spans="1:71" s="64" customFormat="1" outlineLevel="1">
      <c r="A1006" s="65"/>
      <c r="B1006" s="160"/>
      <c r="C1006" s="161"/>
      <c r="D1006" s="150"/>
      <c r="E1006" s="162"/>
      <c r="F1006" s="152"/>
      <c r="G1006"/>
      <c r="H1006"/>
      <c r="I1006"/>
      <c r="J1006"/>
      <c r="K1006"/>
      <c r="L1006"/>
      <c r="M1006"/>
      <c r="N1006"/>
      <c r="O1006"/>
      <c r="P1006"/>
      <c r="Q1006"/>
      <c r="R1006"/>
      <c r="S1006"/>
      <c r="T1006"/>
      <c r="U1006"/>
      <c r="V1006"/>
      <c r="W1006"/>
      <c r="BF1006" s="65"/>
      <c r="BG1006" s="65"/>
      <c r="BH1006" s="65"/>
      <c r="BI1006" s="65"/>
      <c r="BJ1006" s="65"/>
      <c r="BK1006" s="65"/>
      <c r="BL1006" s="65"/>
      <c r="BM1006" s="65"/>
      <c r="BN1006" s="65"/>
      <c r="BO1006" s="65"/>
      <c r="BP1006" s="65"/>
      <c r="BQ1006" s="65"/>
      <c r="BR1006" s="65"/>
      <c r="BS1006" s="65"/>
    </row>
    <row r="1007" spans="1:71" s="64" customFormat="1" outlineLevel="1">
      <c r="A1007" s="65"/>
      <c r="B1007" s="148"/>
      <c r="C1007" s="149"/>
      <c r="D1007" s="150"/>
      <c r="E1007" s="151"/>
      <c r="F1007" s="152"/>
      <c r="G1007"/>
      <c r="H1007"/>
      <c r="I1007"/>
      <c r="J1007"/>
      <c r="K1007"/>
      <c r="L1007"/>
      <c r="M1007"/>
      <c r="N1007"/>
      <c r="O1007"/>
      <c r="P1007"/>
      <c r="Q1007"/>
      <c r="R1007"/>
      <c r="S1007"/>
      <c r="T1007"/>
      <c r="U1007"/>
      <c r="V1007"/>
      <c r="W1007"/>
      <c r="BF1007" s="65"/>
      <c r="BG1007" s="65"/>
      <c r="BH1007" s="65"/>
      <c r="BI1007" s="65"/>
      <c r="BJ1007" s="65"/>
      <c r="BK1007" s="65"/>
      <c r="BL1007" s="65"/>
      <c r="BM1007" s="65"/>
      <c r="BN1007" s="65"/>
      <c r="BO1007" s="65"/>
      <c r="BP1007" s="65"/>
      <c r="BQ1007" s="65"/>
      <c r="BR1007" s="65"/>
      <c r="BS1007" s="65"/>
    </row>
    <row r="1008" spans="1:71" s="64" customFormat="1" outlineLevel="1">
      <c r="A1008" s="65"/>
      <c r="B1008" s="160"/>
      <c r="C1008" s="161"/>
      <c r="D1008" s="150"/>
      <c r="E1008" s="162"/>
      <c r="F1008" s="152"/>
      <c r="G1008"/>
      <c r="H1008"/>
      <c r="I1008"/>
      <c r="J1008"/>
      <c r="K1008"/>
      <c r="L1008"/>
      <c r="M1008"/>
      <c r="N1008"/>
      <c r="O1008"/>
      <c r="P1008"/>
      <c r="Q1008"/>
      <c r="R1008"/>
      <c r="S1008"/>
      <c r="T1008"/>
      <c r="U1008"/>
      <c r="V1008"/>
      <c r="W1008"/>
      <c r="BF1008" s="65"/>
      <c r="BG1008" s="65"/>
      <c r="BH1008" s="65"/>
      <c r="BI1008" s="65"/>
      <c r="BJ1008" s="65"/>
      <c r="BK1008" s="65"/>
      <c r="BL1008" s="65"/>
      <c r="BM1008" s="65"/>
      <c r="BN1008" s="65"/>
      <c r="BO1008" s="65"/>
      <c r="BP1008" s="65"/>
      <c r="BQ1008" s="65"/>
      <c r="BR1008" s="65"/>
      <c r="BS1008" s="65"/>
    </row>
    <row r="1009" spans="1:71" s="64" customFormat="1" outlineLevel="1">
      <c r="A1009" s="65"/>
      <c r="B1009" s="148"/>
      <c r="C1009" s="149"/>
      <c r="D1009" s="150"/>
      <c r="E1009" s="151"/>
      <c r="F1009" s="152"/>
      <c r="G1009"/>
      <c r="H1009"/>
      <c r="I1009"/>
      <c r="J1009"/>
      <c r="K1009"/>
      <c r="L1009"/>
      <c r="M1009"/>
      <c r="N1009"/>
      <c r="O1009"/>
      <c r="P1009"/>
      <c r="Q1009"/>
      <c r="R1009"/>
      <c r="S1009"/>
      <c r="T1009"/>
      <c r="U1009"/>
      <c r="V1009"/>
      <c r="W1009"/>
      <c r="BF1009" s="65"/>
      <c r="BG1009" s="65"/>
      <c r="BH1009" s="65"/>
      <c r="BI1009" s="65"/>
      <c r="BJ1009" s="65"/>
      <c r="BK1009" s="65"/>
      <c r="BL1009" s="65"/>
      <c r="BM1009" s="65"/>
      <c r="BN1009" s="65"/>
      <c r="BO1009" s="65"/>
      <c r="BP1009" s="65"/>
      <c r="BQ1009" s="65"/>
      <c r="BR1009" s="65"/>
      <c r="BS1009" s="65"/>
    </row>
    <row r="1010" spans="1:71" s="64" customFormat="1" outlineLevel="1">
      <c r="A1010" s="65"/>
      <c r="B1010" s="160"/>
      <c r="C1010" s="161"/>
      <c r="D1010" s="150"/>
      <c r="E1010" s="162"/>
      <c r="F1010" s="152"/>
      <c r="G1010"/>
      <c r="H1010"/>
      <c r="I1010"/>
      <c r="J1010"/>
      <c r="K1010"/>
      <c r="L1010"/>
      <c r="M1010"/>
      <c r="N1010"/>
      <c r="O1010"/>
      <c r="P1010"/>
      <c r="Q1010"/>
      <c r="R1010"/>
      <c r="S1010"/>
      <c r="T1010"/>
      <c r="U1010"/>
      <c r="V1010"/>
      <c r="W1010"/>
      <c r="BF1010" s="65"/>
      <c r="BG1010" s="65"/>
      <c r="BH1010" s="65"/>
      <c r="BI1010" s="65"/>
      <c r="BJ1010" s="65"/>
      <c r="BK1010" s="65"/>
      <c r="BL1010" s="65"/>
      <c r="BM1010" s="65"/>
      <c r="BN1010" s="65"/>
      <c r="BO1010" s="65"/>
      <c r="BP1010" s="65"/>
      <c r="BQ1010" s="65"/>
      <c r="BR1010" s="65"/>
      <c r="BS1010" s="65"/>
    </row>
    <row r="1011" spans="1:71" s="64" customFormat="1" outlineLevel="1">
      <c r="A1011" s="65"/>
      <c r="B1011" s="148"/>
      <c r="C1011" s="149"/>
      <c r="D1011" s="150"/>
      <c r="E1011" s="151"/>
      <c r="F1011" s="152"/>
      <c r="G1011"/>
      <c r="H1011"/>
      <c r="I1011"/>
      <c r="J1011"/>
      <c r="K1011"/>
      <c r="L1011"/>
      <c r="M1011"/>
      <c r="N1011"/>
      <c r="O1011"/>
      <c r="P1011"/>
      <c r="Q1011"/>
      <c r="R1011"/>
      <c r="S1011"/>
      <c r="T1011"/>
      <c r="U1011"/>
      <c r="V1011"/>
      <c r="W1011"/>
      <c r="BF1011" s="65"/>
      <c r="BG1011" s="65"/>
      <c r="BH1011" s="65"/>
      <c r="BI1011" s="65"/>
      <c r="BJ1011" s="65"/>
      <c r="BK1011" s="65"/>
      <c r="BL1011" s="65"/>
      <c r="BM1011" s="65"/>
      <c r="BN1011" s="65"/>
      <c r="BO1011" s="65"/>
      <c r="BP1011" s="65"/>
      <c r="BQ1011" s="65"/>
      <c r="BR1011" s="65"/>
      <c r="BS1011" s="65"/>
    </row>
    <row r="1012" spans="1:71" s="64" customFormat="1" outlineLevel="1">
      <c r="A1012" s="65"/>
      <c r="B1012" s="160"/>
      <c r="C1012" s="161"/>
      <c r="D1012" s="150"/>
      <c r="E1012" s="162"/>
      <c r="F1012" s="152"/>
      <c r="G1012"/>
      <c r="H1012"/>
      <c r="I1012"/>
      <c r="J1012"/>
      <c r="K1012"/>
      <c r="L1012"/>
      <c r="M1012"/>
      <c r="N1012"/>
      <c r="O1012"/>
      <c r="P1012"/>
      <c r="Q1012"/>
      <c r="R1012"/>
      <c r="S1012"/>
      <c r="T1012"/>
      <c r="U1012"/>
      <c r="V1012"/>
      <c r="W1012"/>
      <c r="BF1012" s="65"/>
      <c r="BG1012" s="65"/>
      <c r="BH1012" s="65"/>
      <c r="BI1012" s="65"/>
      <c r="BJ1012" s="65"/>
      <c r="BK1012" s="65"/>
      <c r="BL1012" s="65"/>
      <c r="BM1012" s="65"/>
      <c r="BN1012" s="65"/>
      <c r="BO1012" s="65"/>
      <c r="BP1012" s="65"/>
      <c r="BQ1012" s="65"/>
      <c r="BR1012" s="65"/>
      <c r="BS1012" s="65"/>
    </row>
    <row r="1013" spans="1:71" s="64" customFormat="1" outlineLevel="1">
      <c r="A1013" s="65"/>
      <c r="B1013" s="148"/>
      <c r="C1013" s="149"/>
      <c r="D1013" s="150"/>
      <c r="E1013" s="151"/>
      <c r="F1013" s="152"/>
      <c r="G1013"/>
      <c r="H1013"/>
      <c r="I1013"/>
      <c r="J1013"/>
      <c r="K1013"/>
      <c r="L1013"/>
      <c r="M1013"/>
      <c r="N1013"/>
      <c r="O1013"/>
      <c r="P1013"/>
      <c r="Q1013"/>
      <c r="R1013"/>
      <c r="S1013"/>
      <c r="T1013"/>
      <c r="U1013"/>
      <c r="V1013"/>
      <c r="W1013"/>
      <c r="BF1013" s="65"/>
      <c r="BG1013" s="65"/>
      <c r="BH1013" s="65"/>
      <c r="BI1013" s="65"/>
      <c r="BJ1013" s="65"/>
      <c r="BK1013" s="65"/>
      <c r="BL1013" s="65"/>
      <c r="BM1013" s="65"/>
      <c r="BN1013" s="65"/>
      <c r="BO1013" s="65"/>
      <c r="BP1013" s="65"/>
      <c r="BQ1013" s="65"/>
      <c r="BR1013" s="65"/>
      <c r="BS1013" s="65"/>
    </row>
    <row r="1014" spans="1:71" s="64" customFormat="1" outlineLevel="1">
      <c r="A1014" s="65"/>
      <c r="B1014" s="160"/>
      <c r="C1014" s="161"/>
      <c r="D1014" s="150"/>
      <c r="E1014" s="162"/>
      <c r="F1014" s="152"/>
      <c r="G1014"/>
      <c r="H1014"/>
      <c r="I1014"/>
      <c r="J1014"/>
      <c r="K1014"/>
      <c r="L1014"/>
      <c r="M1014"/>
      <c r="N1014"/>
      <c r="O1014"/>
      <c r="P1014"/>
      <c r="Q1014"/>
      <c r="R1014"/>
      <c r="S1014"/>
      <c r="T1014"/>
      <c r="U1014"/>
      <c r="V1014"/>
      <c r="W1014"/>
      <c r="BF1014" s="65"/>
      <c r="BG1014" s="65"/>
      <c r="BH1014" s="65"/>
      <c r="BI1014" s="65"/>
      <c r="BJ1014" s="65"/>
      <c r="BK1014" s="65"/>
      <c r="BL1014" s="65"/>
      <c r="BM1014" s="65"/>
      <c r="BN1014" s="65"/>
      <c r="BO1014" s="65"/>
      <c r="BP1014" s="65"/>
      <c r="BQ1014" s="65"/>
      <c r="BR1014" s="65"/>
      <c r="BS1014" s="65"/>
    </row>
    <row r="1015" spans="1:71" s="64" customFormat="1" outlineLevel="1">
      <c r="A1015" s="65"/>
      <c r="B1015" s="148"/>
      <c r="C1015" s="149"/>
      <c r="D1015" s="150"/>
      <c r="E1015" s="151"/>
      <c r="F1015" s="152"/>
      <c r="G1015"/>
      <c r="H1015"/>
      <c r="I1015"/>
      <c r="J1015"/>
      <c r="K1015"/>
      <c r="L1015"/>
      <c r="M1015"/>
      <c r="N1015"/>
      <c r="O1015"/>
      <c r="P1015"/>
      <c r="Q1015"/>
      <c r="R1015"/>
      <c r="S1015"/>
      <c r="T1015"/>
      <c r="U1015"/>
      <c r="V1015"/>
      <c r="W1015"/>
      <c r="BF1015" s="65"/>
      <c r="BG1015" s="65"/>
      <c r="BH1015" s="65"/>
      <c r="BI1015" s="65"/>
      <c r="BJ1015" s="65"/>
      <c r="BK1015" s="65"/>
      <c r="BL1015" s="65"/>
      <c r="BM1015" s="65"/>
      <c r="BN1015" s="65"/>
      <c r="BO1015" s="65"/>
      <c r="BP1015" s="65"/>
      <c r="BQ1015" s="65"/>
      <c r="BR1015" s="65"/>
      <c r="BS1015" s="65"/>
    </row>
    <row r="1016" spans="1:71" s="64" customFormat="1" outlineLevel="1">
      <c r="A1016" s="65"/>
      <c r="B1016" s="160"/>
      <c r="C1016" s="161"/>
      <c r="D1016" s="150"/>
      <c r="E1016" s="162"/>
      <c r="F1016" s="152"/>
      <c r="G1016"/>
      <c r="H1016"/>
      <c r="I1016"/>
      <c r="J1016"/>
      <c r="K1016"/>
      <c r="L1016"/>
      <c r="M1016"/>
      <c r="N1016"/>
      <c r="O1016"/>
      <c r="P1016"/>
      <c r="Q1016"/>
      <c r="R1016"/>
      <c r="S1016"/>
      <c r="T1016"/>
      <c r="U1016"/>
      <c r="V1016"/>
      <c r="W1016"/>
      <c r="BF1016" s="65"/>
      <c r="BG1016" s="65"/>
      <c r="BH1016" s="65"/>
      <c r="BI1016" s="65"/>
      <c r="BJ1016" s="65"/>
      <c r="BK1016" s="65"/>
      <c r="BL1016" s="65"/>
      <c r="BM1016" s="65"/>
      <c r="BN1016" s="65"/>
      <c r="BO1016" s="65"/>
      <c r="BP1016" s="65"/>
      <c r="BQ1016" s="65"/>
      <c r="BR1016" s="65"/>
      <c r="BS1016" s="65"/>
    </row>
    <row r="1017" spans="1:71" s="64" customFormat="1" outlineLevel="1">
      <c r="A1017" s="65"/>
      <c r="B1017" s="148"/>
      <c r="C1017" s="149"/>
      <c r="D1017" s="150"/>
      <c r="E1017" s="151"/>
      <c r="F1017" s="152"/>
      <c r="G1017"/>
      <c r="H1017"/>
      <c r="I1017"/>
      <c r="J1017"/>
      <c r="K1017"/>
      <c r="L1017"/>
      <c r="M1017"/>
      <c r="N1017"/>
      <c r="O1017"/>
      <c r="P1017"/>
      <c r="Q1017"/>
      <c r="R1017"/>
      <c r="S1017"/>
      <c r="T1017"/>
      <c r="U1017"/>
      <c r="V1017"/>
      <c r="W1017"/>
      <c r="BF1017" s="65"/>
      <c r="BG1017" s="65"/>
      <c r="BH1017" s="65"/>
      <c r="BI1017" s="65"/>
      <c r="BJ1017" s="65"/>
      <c r="BK1017" s="65"/>
      <c r="BL1017" s="65"/>
      <c r="BM1017" s="65"/>
      <c r="BN1017" s="65"/>
      <c r="BO1017" s="65"/>
      <c r="BP1017" s="65"/>
      <c r="BQ1017" s="65"/>
      <c r="BR1017" s="65"/>
      <c r="BS1017" s="65"/>
    </row>
    <row r="1018" spans="1:71" s="64" customFormat="1" outlineLevel="1">
      <c r="A1018" s="65"/>
      <c r="B1018" s="160"/>
      <c r="C1018" s="161"/>
      <c r="D1018" s="150"/>
      <c r="E1018" s="162"/>
      <c r="F1018" s="152"/>
      <c r="G1018"/>
      <c r="H1018"/>
      <c r="I1018"/>
      <c r="J1018"/>
      <c r="K1018"/>
      <c r="L1018"/>
      <c r="M1018"/>
      <c r="N1018"/>
      <c r="O1018"/>
      <c r="P1018"/>
      <c r="Q1018"/>
      <c r="R1018"/>
      <c r="S1018"/>
      <c r="T1018"/>
      <c r="U1018"/>
      <c r="V1018"/>
      <c r="W1018"/>
      <c r="BF1018" s="65"/>
      <c r="BG1018" s="65"/>
      <c r="BH1018" s="65"/>
      <c r="BI1018" s="65"/>
      <c r="BJ1018" s="65"/>
      <c r="BK1018" s="65"/>
      <c r="BL1018" s="65"/>
      <c r="BM1018" s="65"/>
      <c r="BN1018" s="65"/>
      <c r="BO1018" s="65"/>
      <c r="BP1018" s="65"/>
      <c r="BQ1018" s="65"/>
      <c r="BR1018" s="65"/>
      <c r="BS1018" s="65"/>
    </row>
    <row r="1019" spans="1:71" s="64" customFormat="1" outlineLevel="1">
      <c r="A1019" s="65"/>
      <c r="B1019" s="148"/>
      <c r="C1019" s="149"/>
      <c r="D1019" s="150"/>
      <c r="E1019" s="151"/>
      <c r="F1019" s="152"/>
      <c r="G1019"/>
      <c r="H1019"/>
      <c r="I1019"/>
      <c r="J1019"/>
      <c r="K1019"/>
      <c r="L1019"/>
      <c r="M1019"/>
      <c r="N1019"/>
      <c r="O1019"/>
      <c r="P1019"/>
      <c r="Q1019"/>
      <c r="R1019"/>
      <c r="S1019"/>
      <c r="T1019"/>
      <c r="U1019"/>
      <c r="V1019"/>
      <c r="W1019"/>
      <c r="BF1019" s="65"/>
      <c r="BG1019" s="65"/>
      <c r="BH1019" s="65"/>
      <c r="BI1019" s="65"/>
      <c r="BJ1019" s="65"/>
      <c r="BK1019" s="65"/>
      <c r="BL1019" s="65"/>
      <c r="BM1019" s="65"/>
      <c r="BN1019" s="65"/>
      <c r="BO1019" s="65"/>
      <c r="BP1019" s="65"/>
      <c r="BQ1019" s="65"/>
      <c r="BR1019" s="65"/>
      <c r="BS1019" s="65"/>
    </row>
    <row r="1020" spans="1:71" s="64" customFormat="1" outlineLevel="1">
      <c r="A1020" s="65"/>
      <c r="B1020" s="160"/>
      <c r="C1020" s="161"/>
      <c r="D1020" s="150"/>
      <c r="E1020" s="162"/>
      <c r="F1020" s="152"/>
      <c r="G1020"/>
      <c r="H1020"/>
      <c r="I1020"/>
      <c r="J1020"/>
      <c r="K1020"/>
      <c r="L1020"/>
      <c r="M1020"/>
      <c r="N1020"/>
      <c r="O1020"/>
      <c r="P1020"/>
      <c r="Q1020"/>
      <c r="R1020"/>
      <c r="S1020"/>
      <c r="T1020"/>
      <c r="U1020"/>
      <c r="V1020"/>
      <c r="W1020"/>
      <c r="BF1020" s="65"/>
      <c r="BG1020" s="65"/>
      <c r="BH1020" s="65"/>
      <c r="BI1020" s="65"/>
      <c r="BJ1020" s="65"/>
      <c r="BK1020" s="65"/>
      <c r="BL1020" s="65"/>
      <c r="BM1020" s="65"/>
      <c r="BN1020" s="65"/>
      <c r="BO1020" s="65"/>
      <c r="BP1020" s="65"/>
      <c r="BQ1020" s="65"/>
      <c r="BR1020" s="65"/>
      <c r="BS1020" s="65"/>
    </row>
    <row r="1021" spans="1:71" s="64" customFormat="1" outlineLevel="1">
      <c r="A1021" s="65"/>
      <c r="B1021" s="148"/>
      <c r="C1021" s="149"/>
      <c r="D1021" s="150"/>
      <c r="E1021" s="151"/>
      <c r="F1021" s="152"/>
      <c r="G1021"/>
      <c r="H1021"/>
      <c r="I1021"/>
      <c r="J1021"/>
      <c r="K1021"/>
      <c r="L1021"/>
      <c r="M1021"/>
      <c r="N1021"/>
      <c r="O1021"/>
      <c r="P1021"/>
      <c r="Q1021"/>
      <c r="R1021"/>
      <c r="S1021"/>
      <c r="T1021"/>
      <c r="U1021"/>
      <c r="V1021"/>
      <c r="W1021"/>
      <c r="BF1021" s="65"/>
      <c r="BG1021" s="65"/>
      <c r="BH1021" s="65"/>
      <c r="BI1021" s="65"/>
      <c r="BJ1021" s="65"/>
      <c r="BK1021" s="65"/>
      <c r="BL1021" s="65"/>
      <c r="BM1021" s="65"/>
      <c r="BN1021" s="65"/>
      <c r="BO1021" s="65"/>
      <c r="BP1021" s="65"/>
      <c r="BQ1021" s="65"/>
      <c r="BR1021" s="65"/>
      <c r="BS1021" s="65"/>
    </row>
    <row r="1022" spans="1:71" s="64" customFormat="1" outlineLevel="1">
      <c r="A1022" s="65"/>
      <c r="B1022" s="160"/>
      <c r="C1022" s="161"/>
      <c r="D1022" s="150"/>
      <c r="E1022" s="162"/>
      <c r="F1022" s="152"/>
      <c r="G1022"/>
      <c r="H1022"/>
      <c r="I1022"/>
      <c r="J1022"/>
      <c r="K1022"/>
      <c r="L1022"/>
      <c r="M1022"/>
      <c r="N1022"/>
      <c r="O1022"/>
      <c r="P1022"/>
      <c r="Q1022"/>
      <c r="R1022"/>
      <c r="S1022"/>
      <c r="T1022"/>
      <c r="U1022"/>
      <c r="V1022"/>
      <c r="W1022"/>
      <c r="BF1022" s="65"/>
      <c r="BG1022" s="65"/>
      <c r="BH1022" s="65"/>
      <c r="BI1022" s="65"/>
      <c r="BJ1022" s="65"/>
      <c r="BK1022" s="65"/>
      <c r="BL1022" s="65"/>
      <c r="BM1022" s="65"/>
      <c r="BN1022" s="65"/>
      <c r="BO1022" s="65"/>
      <c r="BP1022" s="65"/>
      <c r="BQ1022" s="65"/>
      <c r="BR1022" s="65"/>
      <c r="BS1022" s="65"/>
    </row>
    <row r="1023" spans="1:71" s="64" customFormat="1" outlineLevel="1">
      <c r="A1023" s="65"/>
      <c r="B1023" s="148"/>
      <c r="C1023" s="149"/>
      <c r="D1023" s="150"/>
      <c r="E1023" s="151"/>
      <c r="F1023" s="152"/>
      <c r="G1023"/>
      <c r="H1023"/>
      <c r="I1023"/>
      <c r="J1023"/>
      <c r="K1023"/>
      <c r="L1023"/>
      <c r="M1023"/>
      <c r="N1023"/>
      <c r="O1023"/>
      <c r="P1023"/>
      <c r="Q1023"/>
      <c r="R1023"/>
      <c r="S1023"/>
      <c r="T1023"/>
      <c r="U1023"/>
      <c r="V1023"/>
      <c r="W1023"/>
      <c r="BF1023" s="65"/>
      <c r="BG1023" s="65"/>
      <c r="BH1023" s="65"/>
      <c r="BI1023" s="65"/>
      <c r="BJ1023" s="65"/>
      <c r="BK1023" s="65"/>
      <c r="BL1023" s="65"/>
      <c r="BM1023" s="65"/>
      <c r="BN1023" s="65"/>
      <c r="BO1023" s="65"/>
      <c r="BP1023" s="65"/>
      <c r="BQ1023" s="65"/>
      <c r="BR1023" s="65"/>
      <c r="BS1023" s="65"/>
    </row>
    <row r="1024" spans="1:71" s="64" customFormat="1" outlineLevel="1">
      <c r="A1024" s="65"/>
      <c r="B1024" s="160"/>
      <c r="C1024" s="161"/>
      <c r="D1024" s="150"/>
      <c r="E1024" s="162"/>
      <c r="F1024" s="152"/>
      <c r="G1024"/>
      <c r="H1024"/>
      <c r="I1024"/>
      <c r="J1024"/>
      <c r="K1024"/>
      <c r="L1024"/>
      <c r="M1024"/>
      <c r="N1024"/>
      <c r="O1024"/>
      <c r="P1024"/>
      <c r="Q1024"/>
      <c r="R1024"/>
      <c r="S1024"/>
      <c r="T1024"/>
      <c r="U1024"/>
      <c r="V1024"/>
      <c r="W1024"/>
      <c r="BF1024" s="65"/>
      <c r="BG1024" s="65"/>
      <c r="BH1024" s="65"/>
      <c r="BI1024" s="65"/>
      <c r="BJ1024" s="65"/>
      <c r="BK1024" s="65"/>
      <c r="BL1024" s="65"/>
      <c r="BM1024" s="65"/>
      <c r="BN1024" s="65"/>
      <c r="BO1024" s="65"/>
      <c r="BP1024" s="65"/>
      <c r="BQ1024" s="65"/>
      <c r="BR1024" s="65"/>
      <c r="BS1024" s="65"/>
    </row>
    <row r="1025" spans="1:71" s="64" customFormat="1" outlineLevel="1">
      <c r="A1025" s="65"/>
      <c r="B1025" s="148"/>
      <c r="C1025" s="149"/>
      <c r="D1025" s="150"/>
      <c r="E1025" s="151"/>
      <c r="F1025" s="152"/>
      <c r="G1025"/>
      <c r="H1025"/>
      <c r="I1025"/>
      <c r="J1025"/>
      <c r="K1025"/>
      <c r="L1025"/>
      <c r="M1025"/>
      <c r="N1025"/>
      <c r="O1025"/>
      <c r="P1025"/>
      <c r="Q1025"/>
      <c r="R1025"/>
      <c r="S1025"/>
      <c r="T1025"/>
      <c r="U1025"/>
      <c r="V1025"/>
      <c r="W1025"/>
      <c r="BF1025" s="65"/>
      <c r="BG1025" s="65"/>
      <c r="BH1025" s="65"/>
      <c r="BI1025" s="65"/>
      <c r="BJ1025" s="65"/>
      <c r="BK1025" s="65"/>
      <c r="BL1025" s="65"/>
      <c r="BM1025" s="65"/>
      <c r="BN1025" s="65"/>
      <c r="BO1025" s="65"/>
      <c r="BP1025" s="65"/>
      <c r="BQ1025" s="65"/>
      <c r="BR1025" s="65"/>
      <c r="BS1025" s="65"/>
    </row>
    <row r="1026" spans="1:71" s="64" customFormat="1" outlineLevel="1">
      <c r="A1026" s="65"/>
      <c r="B1026" s="160"/>
      <c r="C1026" s="161"/>
      <c r="D1026" s="150"/>
      <c r="E1026" s="162"/>
      <c r="F1026" s="152"/>
      <c r="G1026"/>
      <c r="H1026"/>
      <c r="I1026"/>
      <c r="J1026"/>
      <c r="K1026"/>
      <c r="L1026"/>
      <c r="M1026"/>
      <c r="N1026"/>
      <c r="O1026"/>
      <c r="P1026"/>
      <c r="Q1026"/>
      <c r="R1026"/>
      <c r="S1026"/>
      <c r="T1026"/>
      <c r="U1026"/>
      <c r="V1026"/>
      <c r="W1026"/>
      <c r="BF1026" s="65"/>
      <c r="BG1026" s="65"/>
      <c r="BH1026" s="65"/>
      <c r="BI1026" s="65"/>
      <c r="BJ1026" s="65"/>
      <c r="BK1026" s="65"/>
      <c r="BL1026" s="65"/>
      <c r="BM1026" s="65"/>
      <c r="BN1026" s="65"/>
      <c r="BO1026" s="65"/>
      <c r="BP1026" s="65"/>
      <c r="BQ1026" s="65"/>
      <c r="BR1026" s="65"/>
      <c r="BS1026" s="65"/>
    </row>
    <row r="1027" spans="1:71" s="64" customFormat="1" outlineLevel="1">
      <c r="A1027" s="65"/>
      <c r="B1027" s="148"/>
      <c r="C1027" s="149"/>
      <c r="D1027" s="150"/>
      <c r="E1027" s="151"/>
      <c r="F1027" s="152"/>
      <c r="G1027"/>
      <c r="H1027"/>
      <c r="I1027"/>
      <c r="J1027"/>
      <c r="K1027"/>
      <c r="L1027"/>
      <c r="M1027"/>
      <c r="N1027"/>
      <c r="O1027"/>
      <c r="P1027"/>
      <c r="Q1027"/>
      <c r="R1027"/>
      <c r="S1027"/>
      <c r="T1027"/>
      <c r="U1027"/>
      <c r="V1027"/>
      <c r="W1027"/>
      <c r="BF1027" s="65"/>
      <c r="BG1027" s="65"/>
      <c r="BH1027" s="65"/>
      <c r="BI1027" s="65"/>
      <c r="BJ1027" s="65"/>
      <c r="BK1027" s="65"/>
      <c r="BL1027" s="65"/>
      <c r="BM1027" s="65"/>
      <c r="BN1027" s="65"/>
      <c r="BO1027" s="65"/>
      <c r="BP1027" s="65"/>
      <c r="BQ1027" s="65"/>
      <c r="BR1027" s="65"/>
      <c r="BS1027" s="65"/>
    </row>
    <row r="1028" spans="1:71" s="64" customFormat="1" outlineLevel="1">
      <c r="A1028" s="65"/>
      <c r="B1028" s="160"/>
      <c r="C1028" s="161"/>
      <c r="D1028" s="150"/>
      <c r="E1028" s="162"/>
      <c r="F1028" s="152"/>
      <c r="G1028"/>
      <c r="H1028"/>
      <c r="I1028"/>
      <c r="J1028"/>
      <c r="K1028"/>
      <c r="L1028"/>
      <c r="M1028"/>
      <c r="N1028"/>
      <c r="O1028"/>
      <c r="P1028"/>
      <c r="Q1028"/>
      <c r="R1028"/>
      <c r="S1028"/>
      <c r="T1028"/>
      <c r="U1028"/>
      <c r="V1028"/>
      <c r="W1028"/>
      <c r="BF1028" s="65"/>
      <c r="BG1028" s="65"/>
      <c r="BH1028" s="65"/>
      <c r="BI1028" s="65"/>
      <c r="BJ1028" s="65"/>
      <c r="BK1028" s="65"/>
      <c r="BL1028" s="65"/>
      <c r="BM1028" s="65"/>
      <c r="BN1028" s="65"/>
      <c r="BO1028" s="65"/>
      <c r="BP1028" s="65"/>
      <c r="BQ1028" s="65"/>
      <c r="BR1028" s="65"/>
      <c r="BS1028" s="65"/>
    </row>
    <row r="1029" spans="1:71" s="64" customFormat="1" outlineLevel="1">
      <c r="A1029" s="65"/>
      <c r="B1029" s="148"/>
      <c r="C1029" s="149"/>
      <c r="D1029" s="150"/>
      <c r="E1029" s="151"/>
      <c r="F1029" s="152"/>
      <c r="G1029"/>
      <c r="H1029"/>
      <c r="I1029"/>
      <c r="J1029"/>
      <c r="K1029"/>
      <c r="L1029"/>
      <c r="M1029"/>
      <c r="N1029"/>
      <c r="O1029"/>
      <c r="P1029"/>
      <c r="Q1029"/>
      <c r="R1029"/>
      <c r="S1029"/>
      <c r="T1029"/>
      <c r="U1029"/>
      <c r="V1029"/>
      <c r="W1029"/>
      <c r="BF1029" s="65"/>
      <c r="BG1029" s="65"/>
      <c r="BH1029" s="65"/>
      <c r="BI1029" s="65"/>
      <c r="BJ1029" s="65"/>
      <c r="BK1029" s="65"/>
      <c r="BL1029" s="65"/>
      <c r="BM1029" s="65"/>
      <c r="BN1029" s="65"/>
      <c r="BO1029" s="65"/>
      <c r="BP1029" s="65"/>
      <c r="BQ1029" s="65"/>
      <c r="BR1029" s="65"/>
      <c r="BS1029" s="65"/>
    </row>
    <row r="1030" spans="1:71" s="64" customFormat="1" outlineLevel="1">
      <c r="A1030" s="65"/>
      <c r="B1030" s="160"/>
      <c r="C1030" s="161"/>
      <c r="D1030" s="150"/>
      <c r="E1030" s="162"/>
      <c r="F1030" s="152"/>
      <c r="G1030"/>
      <c r="H1030"/>
      <c r="I1030"/>
      <c r="J1030"/>
      <c r="K1030"/>
      <c r="L1030"/>
      <c r="M1030"/>
      <c r="N1030"/>
      <c r="O1030"/>
      <c r="P1030"/>
      <c r="Q1030"/>
      <c r="R1030"/>
      <c r="S1030"/>
      <c r="T1030"/>
      <c r="U1030"/>
      <c r="V1030"/>
      <c r="W1030"/>
      <c r="BF1030" s="65"/>
      <c r="BG1030" s="65"/>
      <c r="BH1030" s="65"/>
      <c r="BI1030" s="65"/>
      <c r="BJ1030" s="65"/>
      <c r="BK1030" s="65"/>
      <c r="BL1030" s="65"/>
      <c r="BM1030" s="65"/>
      <c r="BN1030" s="65"/>
      <c r="BO1030" s="65"/>
      <c r="BP1030" s="65"/>
      <c r="BQ1030" s="65"/>
      <c r="BR1030" s="65"/>
      <c r="BS1030" s="65"/>
    </row>
    <row r="1031" spans="1:71" s="64" customFormat="1" outlineLevel="1">
      <c r="A1031" s="65"/>
      <c r="B1031" s="148"/>
      <c r="C1031" s="149"/>
      <c r="D1031" s="150"/>
      <c r="E1031" s="151"/>
      <c r="F1031" s="152"/>
      <c r="G1031"/>
      <c r="H1031"/>
      <c r="I1031"/>
      <c r="J1031"/>
      <c r="K1031"/>
      <c r="L1031"/>
      <c r="M1031"/>
      <c r="N1031"/>
      <c r="O1031"/>
      <c r="P1031"/>
      <c r="Q1031"/>
      <c r="R1031"/>
      <c r="S1031"/>
      <c r="T1031"/>
      <c r="U1031"/>
      <c r="V1031"/>
      <c r="W1031"/>
      <c r="BF1031" s="65"/>
      <c r="BG1031" s="65"/>
      <c r="BH1031" s="65"/>
      <c r="BI1031" s="65"/>
      <c r="BJ1031" s="65"/>
      <c r="BK1031" s="65"/>
      <c r="BL1031" s="65"/>
      <c r="BM1031" s="65"/>
      <c r="BN1031" s="65"/>
      <c r="BO1031" s="65"/>
      <c r="BP1031" s="65"/>
      <c r="BQ1031" s="65"/>
      <c r="BR1031" s="65"/>
      <c r="BS1031" s="65"/>
    </row>
    <row r="1032" spans="1:71" s="64" customFormat="1" outlineLevel="1">
      <c r="A1032" s="65"/>
      <c r="B1032" s="160"/>
      <c r="C1032" s="161"/>
      <c r="D1032" s="150"/>
      <c r="E1032" s="162"/>
      <c r="F1032" s="152"/>
      <c r="G1032"/>
      <c r="H1032"/>
      <c r="I1032"/>
      <c r="J1032"/>
      <c r="K1032"/>
      <c r="L1032"/>
      <c r="M1032"/>
      <c r="N1032"/>
      <c r="O1032"/>
      <c r="P1032"/>
      <c r="Q1032"/>
      <c r="R1032"/>
      <c r="S1032"/>
      <c r="T1032"/>
      <c r="U1032"/>
      <c r="V1032"/>
      <c r="W1032"/>
      <c r="BF1032" s="65"/>
      <c r="BG1032" s="65"/>
      <c r="BH1032" s="65"/>
      <c r="BI1032" s="65"/>
      <c r="BJ1032" s="65"/>
      <c r="BK1032" s="65"/>
      <c r="BL1032" s="65"/>
      <c r="BM1032" s="65"/>
      <c r="BN1032" s="65"/>
      <c r="BO1032" s="65"/>
      <c r="BP1032" s="65"/>
      <c r="BQ1032" s="65"/>
      <c r="BR1032" s="65"/>
      <c r="BS1032" s="65"/>
    </row>
    <row r="1033" spans="1:71" s="64" customFormat="1" outlineLevel="1">
      <c r="A1033" s="65"/>
      <c r="B1033" s="148"/>
      <c r="C1033" s="149"/>
      <c r="D1033" s="150"/>
      <c r="E1033" s="151"/>
      <c r="F1033" s="152"/>
      <c r="G1033"/>
      <c r="H1033"/>
      <c r="I1033"/>
      <c r="J1033"/>
      <c r="K1033"/>
      <c r="L1033"/>
      <c r="M1033"/>
      <c r="N1033"/>
      <c r="O1033"/>
      <c r="P1033"/>
      <c r="Q1033"/>
      <c r="R1033"/>
      <c r="S1033"/>
      <c r="T1033"/>
      <c r="U1033"/>
      <c r="V1033"/>
      <c r="W1033"/>
      <c r="BF1033" s="65"/>
      <c r="BG1033" s="65"/>
      <c r="BH1033" s="65"/>
      <c r="BI1033" s="65"/>
      <c r="BJ1033" s="65"/>
      <c r="BK1033" s="65"/>
      <c r="BL1033" s="65"/>
      <c r="BM1033" s="65"/>
      <c r="BN1033" s="65"/>
      <c r="BO1033" s="65"/>
      <c r="BP1033" s="65"/>
      <c r="BQ1033" s="65"/>
      <c r="BR1033" s="65"/>
      <c r="BS1033" s="65"/>
    </row>
    <row r="1034" spans="1:71" s="64" customFormat="1" outlineLevel="1">
      <c r="A1034" s="65"/>
      <c r="B1034" s="160"/>
      <c r="C1034" s="161"/>
      <c r="D1034" s="150"/>
      <c r="E1034" s="162"/>
      <c r="F1034" s="152"/>
      <c r="G1034"/>
      <c r="H1034"/>
      <c r="I1034"/>
      <c r="J1034"/>
      <c r="K1034"/>
      <c r="L1034"/>
      <c r="M1034"/>
      <c r="N1034"/>
      <c r="O1034"/>
      <c r="P1034"/>
      <c r="Q1034"/>
      <c r="R1034"/>
      <c r="S1034"/>
      <c r="T1034"/>
      <c r="U1034"/>
      <c r="V1034"/>
      <c r="W1034"/>
      <c r="BF1034" s="65"/>
      <c r="BG1034" s="65"/>
      <c r="BH1034" s="65"/>
      <c r="BI1034" s="65"/>
      <c r="BJ1034" s="65"/>
      <c r="BK1034" s="65"/>
      <c r="BL1034" s="65"/>
      <c r="BM1034" s="65"/>
      <c r="BN1034" s="65"/>
      <c r="BO1034" s="65"/>
      <c r="BP1034" s="65"/>
      <c r="BQ1034" s="65"/>
      <c r="BR1034" s="65"/>
      <c r="BS1034" s="65"/>
    </row>
    <row r="1035" spans="1:71" s="64" customFormat="1" outlineLevel="1">
      <c r="A1035" s="65"/>
      <c r="B1035" s="148"/>
      <c r="C1035" s="149"/>
      <c r="D1035" s="150"/>
      <c r="E1035" s="151"/>
      <c r="F1035" s="152"/>
      <c r="G1035"/>
      <c r="H1035"/>
      <c r="I1035"/>
      <c r="J1035"/>
      <c r="K1035"/>
      <c r="L1035"/>
      <c r="M1035"/>
      <c r="N1035"/>
      <c r="O1035"/>
      <c r="P1035"/>
      <c r="Q1035"/>
      <c r="R1035"/>
      <c r="S1035"/>
      <c r="T1035"/>
      <c r="U1035"/>
      <c r="V1035"/>
      <c r="W1035"/>
      <c r="BF1035" s="65"/>
      <c r="BG1035" s="65"/>
      <c r="BH1035" s="65"/>
      <c r="BI1035" s="65"/>
      <c r="BJ1035" s="65"/>
      <c r="BK1035" s="65"/>
      <c r="BL1035" s="65"/>
      <c r="BM1035" s="65"/>
      <c r="BN1035" s="65"/>
      <c r="BO1035" s="65"/>
      <c r="BP1035" s="65"/>
      <c r="BQ1035" s="65"/>
      <c r="BR1035" s="65"/>
      <c r="BS1035" s="65"/>
    </row>
    <row r="1036" spans="1:71" s="64" customFormat="1" outlineLevel="1">
      <c r="A1036" s="65"/>
      <c r="B1036" s="160"/>
      <c r="C1036" s="161"/>
      <c r="D1036" s="150"/>
      <c r="E1036" s="162"/>
      <c r="F1036" s="152"/>
      <c r="G1036"/>
      <c r="H1036"/>
      <c r="I1036"/>
      <c r="J1036"/>
      <c r="K1036"/>
      <c r="L1036"/>
      <c r="M1036"/>
      <c r="N1036"/>
      <c r="O1036"/>
      <c r="P1036"/>
      <c r="Q1036"/>
      <c r="R1036"/>
      <c r="S1036"/>
      <c r="T1036"/>
      <c r="U1036"/>
      <c r="V1036"/>
      <c r="W1036"/>
      <c r="BF1036" s="65"/>
      <c r="BG1036" s="65"/>
      <c r="BH1036" s="65"/>
      <c r="BI1036" s="65"/>
      <c r="BJ1036" s="65"/>
      <c r="BK1036" s="65"/>
      <c r="BL1036" s="65"/>
      <c r="BM1036" s="65"/>
      <c r="BN1036" s="65"/>
      <c r="BO1036" s="65"/>
      <c r="BP1036" s="65"/>
      <c r="BQ1036" s="65"/>
      <c r="BR1036" s="65"/>
      <c r="BS1036" s="65"/>
    </row>
    <row r="1037" spans="1:71" s="64" customFormat="1" outlineLevel="1">
      <c r="A1037" s="65"/>
      <c r="B1037" s="148"/>
      <c r="C1037" s="149"/>
      <c r="D1037" s="150"/>
      <c r="E1037" s="151"/>
      <c r="F1037" s="152"/>
      <c r="G1037"/>
      <c r="H1037"/>
      <c r="I1037"/>
      <c r="J1037"/>
      <c r="K1037"/>
      <c r="L1037"/>
      <c r="M1037"/>
      <c r="N1037"/>
      <c r="O1037"/>
      <c r="P1037"/>
      <c r="Q1037"/>
      <c r="R1037"/>
      <c r="S1037"/>
      <c r="T1037"/>
      <c r="U1037"/>
      <c r="V1037"/>
      <c r="W1037"/>
      <c r="BF1037" s="65"/>
      <c r="BG1037" s="65"/>
      <c r="BH1037" s="65"/>
      <c r="BI1037" s="65"/>
      <c r="BJ1037" s="65"/>
      <c r="BK1037" s="65"/>
      <c r="BL1037" s="65"/>
      <c r="BM1037" s="65"/>
      <c r="BN1037" s="65"/>
      <c r="BO1037" s="65"/>
      <c r="BP1037" s="65"/>
      <c r="BQ1037" s="65"/>
      <c r="BR1037" s="65"/>
      <c r="BS1037" s="65"/>
    </row>
    <row r="1038" spans="1:71" s="64" customFormat="1" outlineLevel="1">
      <c r="A1038" s="65"/>
      <c r="B1038" s="160"/>
      <c r="C1038" s="161"/>
      <c r="D1038" s="150"/>
      <c r="E1038" s="162"/>
      <c r="F1038" s="152"/>
      <c r="G1038"/>
      <c r="H1038"/>
      <c r="I1038"/>
      <c r="J1038"/>
      <c r="K1038"/>
      <c r="L1038"/>
      <c r="M1038"/>
      <c r="N1038"/>
      <c r="O1038"/>
      <c r="P1038"/>
      <c r="Q1038"/>
      <c r="R1038"/>
      <c r="S1038"/>
      <c r="T1038"/>
      <c r="U1038"/>
      <c r="V1038"/>
      <c r="W1038"/>
      <c r="BF1038" s="65"/>
      <c r="BG1038" s="65"/>
      <c r="BH1038" s="65"/>
      <c r="BI1038" s="65"/>
      <c r="BJ1038" s="65"/>
      <c r="BK1038" s="65"/>
      <c r="BL1038" s="65"/>
      <c r="BM1038" s="65"/>
      <c r="BN1038" s="65"/>
      <c r="BO1038" s="65"/>
      <c r="BP1038" s="65"/>
      <c r="BQ1038" s="65"/>
      <c r="BR1038" s="65"/>
      <c r="BS1038" s="65"/>
    </row>
    <row r="1039" spans="1:71" s="64" customFormat="1" outlineLevel="1">
      <c r="A1039" s="65"/>
      <c r="B1039" s="148"/>
      <c r="C1039" s="149"/>
      <c r="D1039" s="150"/>
      <c r="E1039" s="151"/>
      <c r="F1039" s="152"/>
      <c r="G1039"/>
      <c r="H1039"/>
      <c r="I1039"/>
      <c r="J1039"/>
      <c r="K1039"/>
      <c r="L1039"/>
      <c r="M1039"/>
      <c r="N1039"/>
      <c r="O1039"/>
      <c r="P1039"/>
      <c r="Q1039"/>
      <c r="R1039"/>
      <c r="S1039"/>
      <c r="T1039"/>
      <c r="U1039"/>
      <c r="V1039"/>
      <c r="W1039"/>
      <c r="BF1039" s="65"/>
      <c r="BG1039" s="65"/>
      <c r="BH1039" s="65"/>
      <c r="BI1039" s="65"/>
      <c r="BJ1039" s="65"/>
      <c r="BK1039" s="65"/>
      <c r="BL1039" s="65"/>
      <c r="BM1039" s="65"/>
      <c r="BN1039" s="65"/>
      <c r="BO1039" s="65"/>
      <c r="BP1039" s="65"/>
      <c r="BQ1039" s="65"/>
      <c r="BR1039" s="65"/>
      <c r="BS1039" s="65"/>
    </row>
    <row r="1040" spans="1:71" s="64" customFormat="1" outlineLevel="1">
      <c r="A1040" s="65"/>
      <c r="B1040" s="160"/>
      <c r="C1040" s="161"/>
      <c r="D1040" s="150"/>
      <c r="E1040" s="162"/>
      <c r="F1040" s="152"/>
      <c r="G1040"/>
      <c r="H1040"/>
      <c r="I1040"/>
      <c r="J1040"/>
      <c r="K1040"/>
      <c r="L1040"/>
      <c r="M1040"/>
      <c r="N1040"/>
      <c r="O1040"/>
      <c r="P1040"/>
      <c r="Q1040"/>
      <c r="R1040"/>
      <c r="S1040"/>
      <c r="T1040"/>
      <c r="U1040"/>
      <c r="V1040"/>
      <c r="W1040"/>
      <c r="BF1040" s="65"/>
      <c r="BG1040" s="65"/>
      <c r="BH1040" s="65"/>
      <c r="BI1040" s="65"/>
      <c r="BJ1040" s="65"/>
      <c r="BK1040" s="65"/>
      <c r="BL1040" s="65"/>
      <c r="BM1040" s="65"/>
      <c r="BN1040" s="65"/>
      <c r="BO1040" s="65"/>
      <c r="BP1040" s="65"/>
      <c r="BQ1040" s="65"/>
      <c r="BR1040" s="65"/>
      <c r="BS1040" s="65"/>
    </row>
    <row r="1041" spans="1:71" s="64" customFormat="1" outlineLevel="1">
      <c r="A1041" s="65"/>
      <c r="B1041" s="148"/>
      <c r="C1041" s="149"/>
      <c r="D1041" s="150"/>
      <c r="E1041" s="151"/>
      <c r="F1041" s="152"/>
      <c r="G1041"/>
      <c r="H1041"/>
      <c r="I1041"/>
      <c r="J1041"/>
      <c r="K1041"/>
      <c r="L1041"/>
      <c r="M1041"/>
      <c r="N1041"/>
      <c r="O1041"/>
      <c r="P1041"/>
      <c r="Q1041"/>
      <c r="R1041"/>
      <c r="S1041"/>
      <c r="T1041"/>
      <c r="U1041"/>
      <c r="V1041"/>
      <c r="W1041"/>
      <c r="BF1041" s="65"/>
      <c r="BG1041" s="65"/>
      <c r="BH1041" s="65"/>
      <c r="BI1041" s="65"/>
      <c r="BJ1041" s="65"/>
      <c r="BK1041" s="65"/>
      <c r="BL1041" s="65"/>
      <c r="BM1041" s="65"/>
      <c r="BN1041" s="65"/>
      <c r="BO1041" s="65"/>
      <c r="BP1041" s="65"/>
      <c r="BQ1041" s="65"/>
      <c r="BR1041" s="65"/>
      <c r="BS1041" s="65"/>
    </row>
    <row r="1042" spans="1:71" s="167" customFormat="1">
      <c r="B1042" s="173" t="s">
        <v>2213</v>
      </c>
      <c r="C1042" s="89"/>
      <c r="D1042" s="90"/>
      <c r="E1042" s="166"/>
      <c r="F1042" s="97"/>
      <c r="G1042" s="179"/>
      <c r="J1042" s="180"/>
      <c r="X1042" s="181"/>
      <c r="Y1042" s="181"/>
      <c r="Z1042" s="181"/>
      <c r="AA1042" s="181"/>
      <c r="AB1042" s="181"/>
      <c r="AC1042" s="181"/>
      <c r="AD1042" s="181"/>
      <c r="AE1042" s="181"/>
      <c r="AF1042" s="181"/>
      <c r="AG1042" s="181"/>
      <c r="AH1042" s="181"/>
      <c r="AI1042" s="181"/>
      <c r="AJ1042" s="181"/>
      <c r="AK1042" s="181"/>
      <c r="AL1042" s="181"/>
      <c r="AM1042" s="181"/>
      <c r="AN1042" s="181"/>
      <c r="AO1042" s="181"/>
      <c r="AP1042" s="181"/>
      <c r="AQ1042" s="181"/>
      <c r="AR1042" s="181"/>
      <c r="AS1042" s="181"/>
      <c r="AT1042" s="181"/>
      <c r="AU1042" s="181"/>
      <c r="AV1042" s="181"/>
      <c r="AW1042" s="181"/>
      <c r="AX1042" s="181"/>
      <c r="AY1042" s="181"/>
      <c r="AZ1042" s="181"/>
      <c r="BA1042" s="181"/>
      <c r="BB1042" s="181"/>
      <c r="BC1042" s="181"/>
      <c r="BD1042" s="181"/>
      <c r="BE1042" s="181"/>
    </row>
    <row r="1043" spans="1:71" s="167" customFormat="1">
      <c r="B1043" s="213"/>
      <c r="C1043" s="181"/>
      <c r="D1043" s="214"/>
      <c r="E1043" s="215"/>
      <c r="F1043" s="181"/>
      <c r="G1043" s="179"/>
      <c r="J1043" s="180"/>
      <c r="X1043" s="181"/>
      <c r="Y1043" s="181"/>
      <c r="Z1043" s="181"/>
      <c r="AA1043" s="181"/>
      <c r="AB1043" s="181"/>
      <c r="AC1043" s="181"/>
      <c r="AD1043" s="181"/>
      <c r="AE1043" s="181"/>
      <c r="AF1043" s="181"/>
      <c r="AG1043" s="181"/>
      <c r="AH1043" s="181"/>
      <c r="AI1043" s="181"/>
      <c r="AJ1043" s="181"/>
      <c r="AK1043" s="181"/>
      <c r="AL1043" s="181"/>
      <c r="AM1043" s="181"/>
      <c r="AN1043" s="181"/>
      <c r="AO1043" s="181"/>
      <c r="AP1043" s="181"/>
      <c r="AQ1043" s="181"/>
      <c r="AR1043" s="181"/>
      <c r="AS1043" s="181"/>
      <c r="AT1043" s="181"/>
      <c r="AU1043" s="181"/>
      <c r="AV1043" s="181"/>
      <c r="AW1043" s="181"/>
      <c r="AX1043" s="181"/>
      <c r="AY1043" s="181"/>
      <c r="AZ1043" s="181"/>
      <c r="BA1043" s="181"/>
      <c r="BB1043" s="181"/>
      <c r="BC1043" s="181"/>
      <c r="BD1043" s="181"/>
      <c r="BE1043" s="181"/>
    </row>
    <row r="1044" spans="1:71" s="167" customFormat="1" ht="28.5" customHeight="1">
      <c r="B1044" s="176" t="s">
        <v>1865</v>
      </c>
      <c r="C1044" s="216" t="s">
        <v>1866</v>
      </c>
      <c r="D1044" s="216"/>
      <c r="E1044" s="216"/>
      <c r="F1044" s="216"/>
      <c r="G1044" s="179"/>
      <c r="J1044" s="180"/>
      <c r="X1044" s="181"/>
      <c r="Y1044" s="181"/>
      <c r="Z1044" s="181"/>
      <c r="AA1044" s="181"/>
      <c r="AB1044" s="181"/>
      <c r="AC1044" s="181"/>
      <c r="AD1044" s="181"/>
      <c r="AE1044" s="181"/>
      <c r="AF1044" s="181"/>
      <c r="AG1044" s="181"/>
      <c r="AH1044" s="181"/>
      <c r="AI1044" s="181"/>
      <c r="AJ1044" s="181"/>
      <c r="AK1044" s="181"/>
      <c r="AL1044" s="181"/>
      <c r="AM1044" s="181"/>
      <c r="AN1044" s="181"/>
      <c r="AO1044" s="181"/>
      <c r="AP1044" s="181"/>
      <c r="AQ1044" s="181"/>
      <c r="AR1044" s="181"/>
      <c r="AS1044" s="181"/>
      <c r="AT1044" s="181"/>
      <c r="AU1044" s="181"/>
      <c r="AV1044" s="181"/>
      <c r="AW1044" s="181"/>
      <c r="AX1044" s="181"/>
      <c r="AY1044" s="181"/>
      <c r="AZ1044" s="181"/>
      <c r="BA1044" s="181"/>
      <c r="BB1044" s="181"/>
      <c r="BC1044" s="181"/>
      <c r="BD1044" s="181"/>
      <c r="BE1044" s="181"/>
    </row>
    <row r="1045" spans="1:71" s="167" customFormat="1" ht="28.5" customHeight="1">
      <c r="B1045" s="217" t="s">
        <v>1032</v>
      </c>
      <c r="C1045" s="218" t="s">
        <v>1867</v>
      </c>
      <c r="D1045" s="219"/>
      <c r="E1045" s="220"/>
      <c r="F1045" s="221" t="s">
        <v>2214</v>
      </c>
      <c r="G1045" s="179"/>
      <c r="J1045" s="180"/>
      <c r="X1045" s="181"/>
      <c r="Y1045" s="181"/>
      <c r="Z1045" s="181"/>
      <c r="AA1045" s="181"/>
      <c r="AB1045" s="181"/>
      <c r="AC1045" s="181"/>
      <c r="AD1045" s="181"/>
      <c r="AE1045" s="181"/>
      <c r="AF1045" s="181"/>
      <c r="AG1045" s="181"/>
      <c r="AH1045" s="181"/>
      <c r="AI1045" s="181"/>
      <c r="AJ1045" s="181"/>
      <c r="AK1045" s="181"/>
      <c r="AL1045" s="181"/>
      <c r="AM1045" s="181"/>
      <c r="AN1045" s="181"/>
      <c r="AO1045" s="181"/>
      <c r="AP1045" s="181"/>
      <c r="AQ1045" s="181"/>
      <c r="AR1045" s="181"/>
      <c r="AS1045" s="181"/>
      <c r="AT1045" s="181"/>
      <c r="AU1045" s="181"/>
      <c r="AV1045" s="181"/>
      <c r="AW1045" s="181"/>
      <c r="AX1045" s="181"/>
      <c r="AY1045" s="181"/>
      <c r="AZ1045" s="181"/>
      <c r="BA1045" s="181"/>
      <c r="BB1045" s="181"/>
      <c r="BC1045" s="181"/>
      <c r="BD1045" s="181"/>
      <c r="BE1045" s="181"/>
    </row>
    <row r="1046" spans="1:71" s="167" customFormat="1">
      <c r="B1046" s="222" t="s">
        <v>1032</v>
      </c>
      <c r="C1046" s="223" t="s">
        <v>1869</v>
      </c>
      <c r="D1046" s="222"/>
      <c r="E1046" s="224"/>
      <c r="F1046" s="225"/>
      <c r="G1046" s="179"/>
      <c r="J1046" s="180"/>
      <c r="X1046" s="181"/>
      <c r="Y1046" s="181"/>
      <c r="Z1046" s="181"/>
      <c r="AA1046" s="181"/>
      <c r="AB1046" s="181"/>
      <c r="AC1046" s="181"/>
      <c r="AD1046" s="181"/>
      <c r="AE1046" s="181"/>
      <c r="AF1046" s="181"/>
      <c r="AG1046" s="181"/>
      <c r="AH1046" s="181"/>
      <c r="AI1046" s="181"/>
      <c r="AJ1046" s="181"/>
      <c r="AK1046" s="181"/>
      <c r="AL1046" s="181"/>
      <c r="AM1046" s="181"/>
      <c r="AN1046" s="181"/>
      <c r="AO1046" s="181"/>
      <c r="AP1046" s="181"/>
      <c r="AQ1046" s="181"/>
      <c r="AR1046" s="181"/>
      <c r="AS1046" s="181"/>
      <c r="AT1046" s="181"/>
      <c r="AU1046" s="181"/>
      <c r="AV1046" s="181"/>
      <c r="AW1046" s="181"/>
      <c r="AX1046" s="181"/>
      <c r="AY1046" s="181"/>
      <c r="AZ1046" s="181"/>
      <c r="BA1046" s="181"/>
      <c r="BB1046" s="181"/>
      <c r="BC1046" s="181"/>
      <c r="BD1046" s="181"/>
      <c r="BE1046" s="181"/>
    </row>
    <row r="1047" spans="1:71" s="167" customFormat="1">
      <c r="B1047" s="93" t="s">
        <v>1622</v>
      </c>
      <c r="C1047" s="94" t="s">
        <v>1624</v>
      </c>
      <c r="D1047" s="513" t="s">
        <v>1625</v>
      </c>
      <c r="E1047" s="511" t="s">
        <v>1870</v>
      </c>
      <c r="F1047" s="97" t="s">
        <v>1871</v>
      </c>
      <c r="G1047" s="179"/>
      <c r="J1047" s="180"/>
      <c r="X1047" s="181"/>
      <c r="Y1047" s="181"/>
      <c r="Z1047" s="181"/>
      <c r="AA1047" s="181"/>
      <c r="AB1047" s="181"/>
      <c r="AC1047" s="181"/>
      <c r="AD1047" s="181"/>
      <c r="AE1047" s="181"/>
      <c r="AF1047" s="181"/>
      <c r="AG1047" s="181"/>
      <c r="AH1047" s="181"/>
      <c r="AI1047" s="181"/>
      <c r="AJ1047" s="181"/>
      <c r="AK1047" s="181"/>
      <c r="AL1047" s="181"/>
      <c r="AM1047" s="181"/>
      <c r="AN1047" s="181"/>
      <c r="AO1047" s="181"/>
      <c r="AP1047" s="181"/>
      <c r="AQ1047" s="181"/>
      <c r="AR1047" s="181"/>
      <c r="AS1047" s="181"/>
      <c r="AT1047" s="181"/>
      <c r="AU1047" s="181"/>
      <c r="AV1047" s="181"/>
      <c r="AW1047" s="181"/>
      <c r="AX1047" s="181"/>
      <c r="AY1047" s="181"/>
      <c r="AZ1047" s="181"/>
      <c r="BA1047" s="181"/>
      <c r="BB1047" s="181"/>
      <c r="BC1047" s="181"/>
      <c r="BD1047" s="181"/>
      <c r="BE1047" s="181"/>
    </row>
    <row r="1048" spans="1:71" s="167" customFormat="1">
      <c r="B1048" s="93" t="s">
        <v>1872</v>
      </c>
      <c r="C1048" s="94"/>
      <c r="D1048" s="95">
        <v>10</v>
      </c>
      <c r="E1048" s="96"/>
      <c r="F1048" s="97"/>
      <c r="G1048" s="179"/>
      <c r="J1048" s="180"/>
      <c r="X1048" s="181"/>
      <c r="Y1048" s="181"/>
      <c r="Z1048" s="181"/>
      <c r="AA1048" s="181"/>
      <c r="AB1048" s="181"/>
      <c r="AC1048" s="181"/>
      <c r="AD1048" s="181"/>
      <c r="AE1048" s="181"/>
      <c r="AF1048" s="181"/>
      <c r="AG1048" s="181"/>
      <c r="AH1048" s="181"/>
      <c r="AI1048" s="181"/>
      <c r="AJ1048" s="181"/>
      <c r="AK1048" s="181"/>
      <c r="AL1048" s="181"/>
      <c r="AM1048" s="181"/>
      <c r="AN1048" s="181"/>
      <c r="AO1048" s="181"/>
      <c r="AP1048" s="181"/>
      <c r="AQ1048" s="181"/>
      <c r="AR1048" s="181"/>
      <c r="AS1048" s="181"/>
      <c r="AT1048" s="181"/>
      <c r="AU1048" s="181"/>
      <c r="AV1048" s="181"/>
      <c r="AW1048" s="181"/>
      <c r="AX1048" s="181"/>
      <c r="AY1048" s="181"/>
      <c r="AZ1048" s="181"/>
      <c r="BA1048" s="181"/>
      <c r="BB1048" s="181"/>
      <c r="BC1048" s="181"/>
      <c r="BD1048" s="181"/>
      <c r="BE1048" s="181"/>
    </row>
    <row r="1049" spans="1:71" s="167" customFormat="1">
      <c r="B1049" s="222" t="s">
        <v>1032</v>
      </c>
      <c r="C1049" s="223" t="s">
        <v>1873</v>
      </c>
      <c r="D1049" s="222"/>
      <c r="E1049" s="224"/>
      <c r="F1049" s="225"/>
      <c r="G1049" s="179"/>
      <c r="J1049" s="180"/>
      <c r="X1049" s="181"/>
      <c r="Y1049" s="181"/>
      <c r="Z1049" s="181"/>
      <c r="AA1049" s="181"/>
      <c r="AB1049" s="181"/>
      <c r="AC1049" s="181"/>
      <c r="AD1049" s="181"/>
      <c r="AE1049" s="181"/>
      <c r="AF1049" s="181"/>
      <c r="AG1049" s="181"/>
      <c r="AH1049" s="181"/>
      <c r="AI1049" s="181"/>
      <c r="AJ1049" s="181"/>
      <c r="AK1049" s="181"/>
      <c r="AL1049" s="181"/>
      <c r="AM1049" s="181"/>
      <c r="AN1049" s="181"/>
      <c r="AO1049" s="181"/>
      <c r="AP1049" s="181"/>
      <c r="AQ1049" s="181"/>
      <c r="AR1049" s="181"/>
      <c r="AS1049" s="181"/>
      <c r="AT1049" s="181"/>
      <c r="AU1049" s="181"/>
      <c r="AV1049" s="181"/>
      <c r="AW1049" s="181"/>
      <c r="AX1049" s="181"/>
      <c r="AY1049" s="181"/>
      <c r="AZ1049" s="181"/>
      <c r="BA1049" s="181"/>
      <c r="BB1049" s="181"/>
      <c r="BC1049" s="181"/>
      <c r="BD1049" s="181"/>
      <c r="BE1049" s="181"/>
    </row>
    <row r="1050" spans="1:71" s="167" customFormat="1">
      <c r="B1050" s="90" t="s">
        <v>1874</v>
      </c>
      <c r="C1050" s="226" t="s">
        <v>1648</v>
      </c>
      <c r="D1050" s="510" t="s">
        <v>1649</v>
      </c>
      <c r="E1050" s="189"/>
      <c r="F1050" s="202" t="s">
        <v>1875</v>
      </c>
      <c r="G1050" s="179"/>
      <c r="J1050" s="180"/>
      <c r="X1050" s="181"/>
      <c r="Y1050" s="181"/>
      <c r="Z1050" s="181"/>
      <c r="AA1050" s="181"/>
      <c r="AB1050" s="181"/>
      <c r="AC1050" s="181"/>
      <c r="AD1050" s="181"/>
      <c r="AE1050" s="181"/>
      <c r="AF1050" s="181"/>
      <c r="AG1050" s="181"/>
      <c r="AH1050" s="181"/>
      <c r="AI1050" s="181"/>
      <c r="AJ1050" s="181"/>
      <c r="AK1050" s="181"/>
      <c r="AL1050" s="181"/>
      <c r="AM1050" s="181"/>
      <c r="AN1050" s="181"/>
      <c r="AO1050" s="181"/>
      <c r="AP1050" s="181"/>
      <c r="AQ1050" s="181"/>
      <c r="AR1050" s="181"/>
      <c r="AS1050" s="181"/>
      <c r="AT1050" s="181"/>
      <c r="AU1050" s="181"/>
      <c r="AV1050" s="181"/>
      <c r="AW1050" s="181"/>
      <c r="AX1050" s="181"/>
      <c r="AY1050" s="181"/>
      <c r="AZ1050" s="181"/>
      <c r="BA1050" s="181"/>
      <c r="BB1050" s="181"/>
      <c r="BC1050" s="181"/>
      <c r="BD1050" s="181"/>
      <c r="BE1050" s="181"/>
    </row>
    <row r="1051" spans="1:71" s="167" customFormat="1">
      <c r="B1051" s="90" t="s">
        <v>1874</v>
      </c>
      <c r="C1051" s="226" t="s">
        <v>1876</v>
      </c>
      <c r="D1051" s="510" t="s">
        <v>1877</v>
      </c>
      <c r="E1051" s="189"/>
      <c r="F1051" s="202" t="s">
        <v>1878</v>
      </c>
      <c r="G1051" s="179"/>
      <c r="J1051" s="180"/>
      <c r="X1051" s="181"/>
      <c r="Y1051" s="181"/>
      <c r="Z1051" s="181"/>
      <c r="AA1051" s="181"/>
      <c r="AB1051" s="181"/>
      <c r="AC1051" s="181"/>
      <c r="AD1051" s="181"/>
      <c r="AE1051" s="181"/>
      <c r="AF1051" s="181"/>
      <c r="AG1051" s="181"/>
      <c r="AH1051" s="181"/>
      <c r="AI1051" s="181"/>
      <c r="AJ1051" s="181"/>
      <c r="AK1051" s="181"/>
      <c r="AL1051" s="181"/>
      <c r="AM1051" s="181"/>
      <c r="AN1051" s="181"/>
      <c r="AO1051" s="181"/>
      <c r="AP1051" s="181"/>
      <c r="AQ1051" s="181"/>
      <c r="AR1051" s="181"/>
      <c r="AS1051" s="181"/>
      <c r="AT1051" s="181"/>
      <c r="AU1051" s="181"/>
      <c r="AV1051" s="181"/>
      <c r="AW1051" s="181"/>
      <c r="AX1051" s="181"/>
      <c r="AY1051" s="181"/>
      <c r="AZ1051" s="181"/>
      <c r="BA1051" s="181"/>
      <c r="BB1051" s="181"/>
      <c r="BC1051" s="181"/>
      <c r="BD1051" s="181"/>
      <c r="BE1051" s="181"/>
    </row>
    <row r="1052" spans="1:71" s="167" customFormat="1">
      <c r="B1052" s="90" t="s">
        <v>1841</v>
      </c>
      <c r="C1052" s="226" t="s">
        <v>1635</v>
      </c>
      <c r="D1052" s="510" t="s">
        <v>1636</v>
      </c>
      <c r="E1052" s="189"/>
      <c r="F1052" s="202" t="s">
        <v>1879</v>
      </c>
      <c r="G1052" s="179"/>
      <c r="J1052" s="180"/>
      <c r="X1052" s="181"/>
      <c r="Y1052" s="181"/>
      <c r="Z1052" s="181"/>
      <c r="AA1052" s="181"/>
      <c r="AB1052" s="181"/>
      <c r="AC1052" s="181"/>
      <c r="AD1052" s="181"/>
      <c r="AE1052" s="181"/>
      <c r="AF1052" s="181"/>
      <c r="AG1052" s="181"/>
      <c r="AH1052" s="181"/>
      <c r="AI1052" s="181"/>
      <c r="AJ1052" s="181"/>
      <c r="AK1052" s="181"/>
      <c r="AL1052" s="181"/>
      <c r="AM1052" s="181"/>
      <c r="AN1052" s="181"/>
      <c r="AO1052" s="181"/>
      <c r="AP1052" s="181"/>
      <c r="AQ1052" s="181"/>
      <c r="AR1052" s="181"/>
      <c r="AS1052" s="181"/>
      <c r="AT1052" s="181"/>
      <c r="AU1052" s="181"/>
      <c r="AV1052" s="181"/>
      <c r="AW1052" s="181"/>
      <c r="AX1052" s="181"/>
      <c r="AY1052" s="181"/>
      <c r="AZ1052" s="181"/>
      <c r="BA1052" s="181"/>
      <c r="BB1052" s="181"/>
      <c r="BC1052" s="181"/>
      <c r="BD1052" s="181"/>
      <c r="BE1052" s="181"/>
    </row>
    <row r="1053" spans="1:71" s="167" customFormat="1">
      <c r="B1053" s="90" t="s">
        <v>1841</v>
      </c>
      <c r="C1053" s="226" t="s">
        <v>1646</v>
      </c>
      <c r="D1053" s="510" t="s">
        <v>1647</v>
      </c>
      <c r="E1053" s="189"/>
      <c r="F1053" s="202" t="s">
        <v>1880</v>
      </c>
      <c r="G1053" s="179"/>
      <c r="J1053" s="180"/>
      <c r="X1053" s="181"/>
      <c r="Y1053" s="181"/>
      <c r="Z1053" s="181"/>
      <c r="AA1053" s="181"/>
      <c r="AB1053" s="181"/>
      <c r="AC1053" s="181"/>
      <c r="AD1053" s="181"/>
      <c r="AE1053" s="181"/>
      <c r="AF1053" s="181"/>
      <c r="AG1053" s="181"/>
      <c r="AH1053" s="181"/>
      <c r="AI1053" s="181"/>
      <c r="AJ1053" s="181"/>
      <c r="AK1053" s="181"/>
      <c r="AL1053" s="181"/>
      <c r="AM1053" s="181"/>
      <c r="AN1053" s="181"/>
      <c r="AO1053" s="181"/>
      <c r="AP1053" s="181"/>
      <c r="AQ1053" s="181"/>
      <c r="AR1053" s="181"/>
      <c r="AS1053" s="181"/>
      <c r="AT1053" s="181"/>
      <c r="AU1053" s="181"/>
      <c r="AV1053" s="181"/>
      <c r="AW1053" s="181"/>
      <c r="AX1053" s="181"/>
      <c r="AY1053" s="181"/>
      <c r="AZ1053" s="181"/>
      <c r="BA1053" s="181"/>
      <c r="BB1053" s="181"/>
      <c r="BC1053" s="181"/>
      <c r="BD1053" s="181"/>
      <c r="BE1053" s="181"/>
    </row>
    <row r="1054" spans="1:71" s="167" customFormat="1">
      <c r="B1054" s="90" t="s">
        <v>1841</v>
      </c>
      <c r="C1054" s="226" t="s">
        <v>1881</v>
      </c>
      <c r="D1054" s="510" t="s">
        <v>1842</v>
      </c>
      <c r="E1054" s="189"/>
      <c r="F1054" s="202" t="s">
        <v>1882</v>
      </c>
      <c r="G1054" s="179"/>
      <c r="J1054" s="180"/>
      <c r="X1054" s="181"/>
      <c r="Y1054" s="181"/>
      <c r="Z1054" s="181"/>
      <c r="AA1054" s="181"/>
      <c r="AB1054" s="181"/>
      <c r="AC1054" s="181"/>
      <c r="AD1054" s="181"/>
      <c r="AE1054" s="181"/>
      <c r="AF1054" s="181"/>
      <c r="AG1054" s="181"/>
      <c r="AH1054" s="181"/>
      <c r="AI1054" s="181"/>
      <c r="AJ1054" s="181"/>
      <c r="AK1054" s="181"/>
      <c r="AL1054" s="181"/>
      <c r="AM1054" s="181"/>
      <c r="AN1054" s="181"/>
      <c r="AO1054" s="181"/>
      <c r="AP1054" s="181"/>
      <c r="AQ1054" s="181"/>
      <c r="AR1054" s="181"/>
      <c r="AS1054" s="181"/>
      <c r="AT1054" s="181"/>
      <c r="AU1054" s="181"/>
      <c r="AV1054" s="181"/>
      <c r="AW1054" s="181"/>
      <c r="AX1054" s="181"/>
      <c r="AY1054" s="181"/>
      <c r="AZ1054" s="181"/>
      <c r="BA1054" s="181"/>
      <c r="BB1054" s="181"/>
      <c r="BC1054" s="181"/>
      <c r="BD1054" s="181"/>
      <c r="BE1054" s="181"/>
    </row>
    <row r="1055" spans="1:71" s="167" customFormat="1">
      <c r="B1055" s="90" t="s">
        <v>1622</v>
      </c>
      <c r="C1055" s="227" t="s">
        <v>1631</v>
      </c>
      <c r="D1055" s="510" t="s">
        <v>1632</v>
      </c>
      <c r="E1055" s="514" t="s">
        <v>1633</v>
      </c>
      <c r="F1055" s="228" t="s">
        <v>1883</v>
      </c>
      <c r="G1055" s="179"/>
      <c r="J1055" s="180"/>
      <c r="X1055" s="181"/>
      <c r="Y1055" s="181"/>
      <c r="Z1055" s="181"/>
      <c r="AA1055" s="181"/>
      <c r="AB1055" s="181"/>
      <c r="AC1055" s="181"/>
      <c r="AD1055" s="181"/>
      <c r="AE1055" s="181"/>
      <c r="AF1055" s="181"/>
      <c r="AG1055" s="181"/>
      <c r="AH1055" s="181"/>
      <c r="AI1055" s="181"/>
      <c r="AJ1055" s="181"/>
      <c r="AK1055" s="181"/>
      <c r="AL1055" s="181"/>
      <c r="AM1055" s="181"/>
      <c r="AN1055" s="181"/>
      <c r="AO1055" s="181"/>
      <c r="AP1055" s="181"/>
      <c r="AQ1055" s="181"/>
      <c r="AR1055" s="181"/>
      <c r="AS1055" s="181"/>
      <c r="AT1055" s="181"/>
      <c r="AU1055" s="181"/>
      <c r="AV1055" s="181"/>
      <c r="AW1055" s="181"/>
      <c r="AX1055" s="181"/>
      <c r="AY1055" s="181"/>
      <c r="AZ1055" s="181"/>
      <c r="BA1055" s="181"/>
      <c r="BB1055" s="181"/>
      <c r="BC1055" s="181"/>
      <c r="BD1055" s="181"/>
      <c r="BE1055" s="181"/>
    </row>
    <row r="1056" spans="1:71" s="167" customFormat="1">
      <c r="B1056" s="90" t="s">
        <v>1035</v>
      </c>
      <c r="C1056" s="226" t="s">
        <v>1635</v>
      </c>
      <c r="D1056" s="510" t="s">
        <v>1636</v>
      </c>
      <c r="E1056" s="514" t="s">
        <v>1042</v>
      </c>
      <c r="F1056" s="228" t="s">
        <v>1884</v>
      </c>
      <c r="G1056" s="179"/>
      <c r="J1056" s="180"/>
      <c r="X1056" s="181"/>
      <c r="Y1056" s="181"/>
      <c r="Z1056" s="181"/>
      <c r="AA1056" s="181"/>
      <c r="AB1056" s="181"/>
      <c r="AC1056" s="181"/>
      <c r="AD1056" s="181"/>
      <c r="AE1056" s="181"/>
      <c r="AF1056" s="181"/>
      <c r="AG1056" s="181"/>
      <c r="AH1056" s="181"/>
      <c r="AI1056" s="181"/>
      <c r="AJ1056" s="181"/>
      <c r="AK1056" s="181"/>
      <c r="AL1056" s="181"/>
      <c r="AM1056" s="181"/>
      <c r="AN1056" s="181"/>
      <c r="AO1056" s="181"/>
      <c r="AP1056" s="181"/>
      <c r="AQ1056" s="181"/>
      <c r="AR1056" s="181"/>
      <c r="AS1056" s="181"/>
      <c r="AT1056" s="181"/>
      <c r="AU1056" s="181"/>
      <c r="AV1056" s="181"/>
      <c r="AW1056" s="181"/>
      <c r="AX1056" s="181"/>
      <c r="AY1056" s="181"/>
      <c r="AZ1056" s="181"/>
      <c r="BA1056" s="181"/>
      <c r="BB1056" s="181"/>
      <c r="BC1056" s="181"/>
      <c r="BD1056" s="181"/>
      <c r="BE1056" s="181"/>
    </row>
    <row r="1057" spans="2:57" s="167" customFormat="1">
      <c r="B1057" s="90" t="s">
        <v>1035</v>
      </c>
      <c r="C1057" s="226" t="s">
        <v>1646</v>
      </c>
      <c r="D1057" s="510" t="s">
        <v>1647</v>
      </c>
      <c r="E1057" s="514" t="s">
        <v>1042</v>
      </c>
      <c r="F1057" s="228" t="s">
        <v>1884</v>
      </c>
      <c r="G1057" s="179"/>
      <c r="J1057" s="180"/>
      <c r="X1057" s="181"/>
      <c r="Y1057" s="181"/>
      <c r="Z1057" s="181"/>
      <c r="AA1057" s="181"/>
      <c r="AB1057" s="181"/>
      <c r="AC1057" s="181"/>
      <c r="AD1057" s="181"/>
      <c r="AE1057" s="181"/>
      <c r="AF1057" s="181"/>
      <c r="AG1057" s="181"/>
      <c r="AH1057" s="181"/>
      <c r="AI1057" s="181"/>
      <c r="AJ1057" s="181"/>
      <c r="AK1057" s="181"/>
      <c r="AL1057" s="181"/>
      <c r="AM1057" s="181"/>
      <c r="AN1057" s="181"/>
      <c r="AO1057" s="181"/>
      <c r="AP1057" s="181"/>
      <c r="AQ1057" s="181"/>
      <c r="AR1057" s="181"/>
      <c r="AS1057" s="181"/>
      <c r="AT1057" s="181"/>
      <c r="AU1057" s="181"/>
      <c r="AV1057" s="181"/>
      <c r="AW1057" s="181"/>
      <c r="AX1057" s="181"/>
      <c r="AY1057" s="181"/>
      <c r="AZ1057" s="181"/>
      <c r="BA1057" s="181"/>
      <c r="BB1057" s="181"/>
      <c r="BC1057" s="181"/>
      <c r="BD1057" s="181"/>
      <c r="BE1057" s="181"/>
    </row>
    <row r="1058" spans="2:57" s="167" customFormat="1">
      <c r="B1058" s="90" t="s">
        <v>1622</v>
      </c>
      <c r="C1058" s="226" t="s">
        <v>1648</v>
      </c>
      <c r="D1058" s="510" t="s">
        <v>1649</v>
      </c>
      <c r="E1058" s="514" t="s">
        <v>1633</v>
      </c>
      <c r="F1058" s="228" t="s">
        <v>1884</v>
      </c>
      <c r="G1058" s="179"/>
      <c r="J1058" s="180"/>
      <c r="X1058" s="181"/>
      <c r="Y1058" s="181"/>
      <c r="Z1058" s="181"/>
      <c r="AA1058" s="181"/>
      <c r="AB1058" s="181"/>
      <c r="AC1058" s="181"/>
      <c r="AD1058" s="181"/>
      <c r="AE1058" s="181"/>
      <c r="AF1058" s="181"/>
      <c r="AG1058" s="181"/>
      <c r="AH1058" s="181"/>
      <c r="AI1058" s="181"/>
      <c r="AJ1058" s="181"/>
      <c r="AK1058" s="181"/>
      <c r="AL1058" s="181"/>
      <c r="AM1058" s="181"/>
      <c r="AN1058" s="181"/>
      <c r="AO1058" s="181"/>
      <c r="AP1058" s="181"/>
      <c r="AQ1058" s="181"/>
      <c r="AR1058" s="181"/>
      <c r="AS1058" s="181"/>
      <c r="AT1058" s="181"/>
      <c r="AU1058" s="181"/>
      <c r="AV1058" s="181"/>
      <c r="AW1058" s="181"/>
      <c r="AX1058" s="181"/>
      <c r="AY1058" s="181"/>
      <c r="AZ1058" s="181"/>
      <c r="BA1058" s="181"/>
      <c r="BB1058" s="181"/>
      <c r="BC1058" s="181"/>
      <c r="BD1058" s="181"/>
      <c r="BE1058" s="181"/>
    </row>
    <row r="1059" spans="2:57" s="167" customFormat="1" ht="57">
      <c r="B1059" s="90"/>
      <c r="C1059" s="226"/>
      <c r="D1059" s="90"/>
      <c r="E1059" s="189"/>
      <c r="F1059" s="229" t="s">
        <v>2215</v>
      </c>
      <c r="G1059" s="179"/>
      <c r="J1059" s="180"/>
      <c r="X1059" s="181"/>
      <c r="Y1059" s="181"/>
      <c r="Z1059" s="181"/>
      <c r="AA1059" s="181"/>
      <c r="AB1059" s="181"/>
      <c r="AC1059" s="181"/>
      <c r="AD1059" s="181"/>
      <c r="AE1059" s="181"/>
      <c r="AF1059" s="181"/>
      <c r="AG1059" s="181"/>
      <c r="AH1059" s="181"/>
      <c r="AI1059" s="181"/>
      <c r="AJ1059" s="181"/>
      <c r="AK1059" s="181"/>
      <c r="AL1059" s="181"/>
      <c r="AM1059" s="181"/>
      <c r="AN1059" s="181"/>
      <c r="AO1059" s="181"/>
      <c r="AP1059" s="181"/>
      <c r="AQ1059" s="181"/>
      <c r="AR1059" s="181"/>
      <c r="AS1059" s="181"/>
      <c r="AT1059" s="181"/>
      <c r="AU1059" s="181"/>
      <c r="AV1059" s="181"/>
      <c r="AW1059" s="181"/>
      <c r="AX1059" s="181"/>
      <c r="AY1059" s="181"/>
      <c r="AZ1059" s="181"/>
      <c r="BA1059" s="181"/>
      <c r="BB1059" s="181"/>
      <c r="BC1059" s="181"/>
      <c r="BD1059" s="181"/>
      <c r="BE1059" s="181"/>
    </row>
    <row r="1060" spans="2:57" s="167" customFormat="1">
      <c r="B1060" s="222" t="s">
        <v>1886</v>
      </c>
      <c r="C1060" s="223" t="s">
        <v>1887</v>
      </c>
      <c r="D1060" s="222"/>
      <c r="E1060" s="224"/>
      <c r="F1060" s="225"/>
      <c r="G1060" s="179"/>
      <c r="J1060" s="180"/>
      <c r="X1060" s="181"/>
      <c r="Y1060" s="181"/>
      <c r="Z1060" s="181"/>
      <c r="AA1060" s="181"/>
      <c r="AB1060" s="181"/>
      <c r="AC1060" s="181"/>
      <c r="AD1060" s="181"/>
      <c r="AE1060" s="181"/>
      <c r="AF1060" s="181"/>
      <c r="AG1060" s="181"/>
      <c r="AH1060" s="181"/>
      <c r="AI1060" s="181"/>
      <c r="AJ1060" s="181"/>
      <c r="AK1060" s="181"/>
      <c r="AL1060" s="181"/>
      <c r="AM1060" s="181"/>
      <c r="AN1060" s="181"/>
      <c r="AO1060" s="181"/>
      <c r="AP1060" s="181"/>
      <c r="AQ1060" s="181"/>
      <c r="AR1060" s="181"/>
      <c r="AS1060" s="181"/>
      <c r="AT1060" s="181"/>
      <c r="AU1060" s="181"/>
      <c r="AV1060" s="181"/>
      <c r="AW1060" s="181"/>
      <c r="AX1060" s="181"/>
      <c r="AY1060" s="181"/>
      <c r="AZ1060" s="181"/>
      <c r="BA1060" s="181"/>
      <c r="BB1060" s="181"/>
      <c r="BC1060" s="181"/>
      <c r="BD1060" s="181"/>
      <c r="BE1060" s="181"/>
    </row>
    <row r="1061" spans="2:57" s="167" customFormat="1">
      <c r="B1061" s="93" t="s">
        <v>2213</v>
      </c>
      <c r="C1061" s="89"/>
      <c r="D1061" s="90"/>
      <c r="E1061" s="166"/>
      <c r="F1061" s="97"/>
      <c r="G1061" s="179"/>
      <c r="J1061" s="180"/>
      <c r="X1061" s="181"/>
      <c r="Y1061" s="181"/>
      <c r="Z1061" s="181"/>
      <c r="AA1061" s="181"/>
      <c r="AB1061" s="181"/>
      <c r="AC1061" s="181"/>
      <c r="AD1061" s="181"/>
      <c r="AE1061" s="181"/>
      <c r="AF1061" s="181"/>
      <c r="AG1061" s="181"/>
      <c r="AH1061" s="181"/>
      <c r="AI1061" s="181"/>
      <c r="AJ1061" s="181"/>
      <c r="AK1061" s="181"/>
      <c r="AL1061" s="181"/>
      <c r="AM1061" s="181"/>
      <c r="AN1061" s="181"/>
      <c r="AO1061" s="181"/>
      <c r="AP1061" s="181"/>
      <c r="AQ1061" s="181"/>
      <c r="AR1061" s="181"/>
      <c r="AS1061" s="181"/>
      <c r="AT1061" s="181"/>
      <c r="AU1061" s="181"/>
      <c r="AV1061" s="181"/>
      <c r="AW1061" s="181"/>
      <c r="AX1061" s="181"/>
      <c r="AY1061" s="181"/>
      <c r="AZ1061" s="181"/>
      <c r="BA1061" s="181"/>
      <c r="BB1061" s="181"/>
      <c r="BC1061" s="181"/>
      <c r="BD1061" s="181"/>
      <c r="BE1061" s="181"/>
    </row>
    <row r="1062" spans="2:57" s="167" customFormat="1">
      <c r="B1062" s="213"/>
      <c r="C1062" s="181"/>
      <c r="D1062" s="214"/>
      <c r="E1062" s="215"/>
      <c r="F1062" s="181"/>
      <c r="G1062" s="179"/>
      <c r="J1062" s="180"/>
      <c r="X1062" s="181"/>
      <c r="Y1062" s="181"/>
      <c r="Z1062" s="181"/>
      <c r="AA1062" s="181"/>
      <c r="AB1062" s="181"/>
      <c r="AC1062" s="181"/>
      <c r="AD1062" s="181"/>
      <c r="AE1062" s="181"/>
      <c r="AF1062" s="181"/>
      <c r="AG1062" s="181"/>
      <c r="AH1062" s="181"/>
      <c r="AI1062" s="181"/>
      <c r="AJ1062" s="181"/>
      <c r="AK1062" s="181"/>
      <c r="AL1062" s="181"/>
      <c r="AM1062" s="181"/>
      <c r="AN1062" s="181"/>
      <c r="AO1062" s="181"/>
      <c r="AP1062" s="181"/>
      <c r="AQ1062" s="181"/>
      <c r="AR1062" s="181"/>
      <c r="AS1062" s="181"/>
      <c r="AT1062" s="181"/>
      <c r="AU1062" s="181"/>
      <c r="AV1062" s="181"/>
      <c r="AW1062" s="181"/>
      <c r="AX1062" s="181"/>
      <c r="AY1062" s="181"/>
      <c r="AZ1062" s="181"/>
      <c r="BA1062" s="181"/>
      <c r="BB1062" s="181"/>
      <c r="BC1062" s="181"/>
      <c r="BD1062" s="181"/>
      <c r="BE1062" s="181"/>
    </row>
    <row r="1063" spans="2:57" s="167" customFormat="1">
      <c r="B1063" s="213"/>
      <c r="C1063" s="181"/>
      <c r="D1063" s="214"/>
      <c r="E1063" s="215"/>
      <c r="F1063" s="181"/>
      <c r="G1063" s="179"/>
      <c r="J1063" s="180"/>
      <c r="X1063" s="181"/>
      <c r="Y1063" s="181"/>
      <c r="Z1063" s="181"/>
      <c r="AA1063" s="181"/>
      <c r="AB1063" s="181"/>
      <c r="AC1063" s="181"/>
      <c r="AD1063" s="181"/>
      <c r="AE1063" s="181"/>
      <c r="AF1063" s="181"/>
      <c r="AG1063" s="181"/>
      <c r="AH1063" s="181"/>
      <c r="AI1063" s="181"/>
      <c r="AJ1063" s="181"/>
      <c r="AK1063" s="181"/>
      <c r="AL1063" s="181"/>
      <c r="AM1063" s="181"/>
      <c r="AN1063" s="181"/>
      <c r="AO1063" s="181"/>
      <c r="AP1063" s="181"/>
      <c r="AQ1063" s="181"/>
      <c r="AR1063" s="181"/>
      <c r="AS1063" s="181"/>
      <c r="AT1063" s="181"/>
      <c r="AU1063" s="181"/>
      <c r="AV1063" s="181"/>
      <c r="AW1063" s="181"/>
      <c r="AX1063" s="181"/>
      <c r="AY1063" s="181"/>
      <c r="AZ1063" s="181"/>
      <c r="BA1063" s="181"/>
      <c r="BB1063" s="181"/>
      <c r="BC1063" s="181"/>
      <c r="BD1063" s="181"/>
      <c r="BE1063" s="181"/>
    </row>
    <row r="1064" spans="2:57" s="167" customFormat="1">
      <c r="B1064" s="213"/>
      <c r="C1064" s="181"/>
      <c r="D1064" s="214"/>
      <c r="E1064" s="215"/>
      <c r="F1064" s="181"/>
      <c r="G1064" s="179"/>
      <c r="J1064" s="180"/>
      <c r="X1064" s="181"/>
      <c r="Y1064" s="181"/>
      <c r="Z1064" s="181"/>
      <c r="AA1064" s="181"/>
      <c r="AB1064" s="181"/>
      <c r="AC1064" s="181"/>
      <c r="AD1064" s="181"/>
      <c r="AE1064" s="181"/>
      <c r="AF1064" s="181"/>
      <c r="AG1064" s="181"/>
      <c r="AH1064" s="181"/>
      <c r="AI1064" s="181"/>
      <c r="AJ1064" s="181"/>
      <c r="AK1064" s="181"/>
      <c r="AL1064" s="181"/>
      <c r="AM1064" s="181"/>
      <c r="AN1064" s="181"/>
      <c r="AO1064" s="181"/>
      <c r="AP1064" s="181"/>
      <c r="AQ1064" s="181"/>
      <c r="AR1064" s="181"/>
      <c r="AS1064" s="181"/>
      <c r="AT1064" s="181"/>
      <c r="AU1064" s="181"/>
      <c r="AV1064" s="181"/>
      <c r="AW1064" s="181"/>
      <c r="AX1064" s="181"/>
      <c r="AY1064" s="181"/>
      <c r="AZ1064" s="181"/>
      <c r="BA1064" s="181"/>
      <c r="BB1064" s="181"/>
      <c r="BC1064" s="181"/>
      <c r="BD1064" s="181"/>
      <c r="BE1064" s="181"/>
    </row>
    <row r="1065" spans="2:57" s="167" customFormat="1">
      <c r="B1065" s="213"/>
      <c r="C1065" s="181"/>
      <c r="D1065" s="214"/>
      <c r="E1065" s="215"/>
      <c r="F1065" s="181"/>
      <c r="G1065" s="179"/>
      <c r="J1065" s="180"/>
      <c r="X1065" s="181"/>
      <c r="Y1065" s="181"/>
      <c r="Z1065" s="181"/>
      <c r="AA1065" s="181"/>
      <c r="AB1065" s="181"/>
      <c r="AC1065" s="181"/>
      <c r="AD1065" s="181"/>
      <c r="AE1065" s="181"/>
      <c r="AF1065" s="181"/>
      <c r="AG1065" s="181"/>
      <c r="AH1065" s="181"/>
      <c r="AI1065" s="181"/>
      <c r="AJ1065" s="181"/>
      <c r="AK1065" s="181"/>
      <c r="AL1065" s="181"/>
      <c r="AM1065" s="181"/>
      <c r="AN1065" s="181"/>
      <c r="AO1065" s="181"/>
      <c r="AP1065" s="181"/>
      <c r="AQ1065" s="181"/>
      <c r="AR1065" s="181"/>
      <c r="AS1065" s="181"/>
      <c r="AT1065" s="181"/>
      <c r="AU1065" s="181"/>
      <c r="AV1065" s="181"/>
      <c r="AW1065" s="181"/>
      <c r="AX1065" s="181"/>
      <c r="AY1065" s="181"/>
      <c r="AZ1065" s="181"/>
      <c r="BA1065" s="181"/>
      <c r="BB1065" s="181"/>
      <c r="BC1065" s="181"/>
      <c r="BD1065" s="181"/>
      <c r="BE1065" s="181"/>
    </row>
    <row r="1066" spans="2:57" s="167" customFormat="1">
      <c r="B1066" s="213"/>
      <c r="C1066" s="181"/>
      <c r="D1066" s="214"/>
      <c r="E1066" s="215"/>
      <c r="F1066" s="181"/>
      <c r="G1066" s="179"/>
      <c r="J1066" s="180"/>
      <c r="X1066" s="181"/>
      <c r="Y1066" s="181"/>
      <c r="Z1066" s="181"/>
      <c r="AA1066" s="181"/>
      <c r="AB1066" s="181"/>
      <c r="AC1066" s="181"/>
      <c r="AD1066" s="181"/>
      <c r="AE1066" s="181"/>
      <c r="AF1066" s="181"/>
      <c r="AG1066" s="181"/>
      <c r="AH1066" s="181"/>
      <c r="AI1066" s="181"/>
      <c r="AJ1066" s="181"/>
      <c r="AK1066" s="181"/>
      <c r="AL1066" s="181"/>
      <c r="AM1066" s="181"/>
      <c r="AN1066" s="181"/>
      <c r="AO1066" s="181"/>
      <c r="AP1066" s="181"/>
      <c r="AQ1066" s="181"/>
      <c r="AR1066" s="181"/>
      <c r="AS1066" s="181"/>
      <c r="AT1066" s="181"/>
      <c r="AU1066" s="181"/>
      <c r="AV1066" s="181"/>
      <c r="AW1066" s="181"/>
      <c r="AX1066" s="181"/>
      <c r="AY1066" s="181"/>
      <c r="AZ1066" s="181"/>
      <c r="BA1066" s="181"/>
      <c r="BB1066" s="181"/>
      <c r="BC1066" s="181"/>
      <c r="BD1066" s="181"/>
      <c r="BE1066" s="181"/>
    </row>
    <row r="1067" spans="2:57" s="167" customFormat="1">
      <c r="B1067" s="213"/>
      <c r="C1067" s="181"/>
      <c r="D1067" s="214"/>
      <c r="E1067" s="215"/>
      <c r="F1067" s="181"/>
      <c r="G1067" s="179"/>
      <c r="J1067" s="180"/>
      <c r="X1067" s="181"/>
      <c r="Y1067" s="181"/>
      <c r="Z1067" s="181"/>
      <c r="AA1067" s="181"/>
      <c r="AB1067" s="181"/>
      <c r="AC1067" s="181"/>
      <c r="AD1067" s="181"/>
      <c r="AE1067" s="181"/>
      <c r="AF1067" s="181"/>
      <c r="AG1067" s="181"/>
      <c r="AH1067" s="181"/>
      <c r="AI1067" s="181"/>
      <c r="AJ1067" s="181"/>
      <c r="AK1067" s="181"/>
      <c r="AL1067" s="181"/>
      <c r="AM1067" s="181"/>
      <c r="AN1067" s="181"/>
      <c r="AO1067" s="181"/>
      <c r="AP1067" s="181"/>
      <c r="AQ1067" s="181"/>
      <c r="AR1067" s="181"/>
      <c r="AS1067" s="181"/>
      <c r="AT1067" s="181"/>
      <c r="AU1067" s="181"/>
      <c r="AV1067" s="181"/>
      <c r="AW1067" s="181"/>
      <c r="AX1067" s="181"/>
      <c r="AY1067" s="181"/>
      <c r="AZ1067" s="181"/>
      <c r="BA1067" s="181"/>
      <c r="BB1067" s="181"/>
      <c r="BC1067" s="181"/>
      <c r="BD1067" s="181"/>
      <c r="BE1067" s="181"/>
    </row>
    <row r="1068" spans="2:57" s="167" customFormat="1">
      <c r="B1068" s="213"/>
      <c r="C1068" s="181"/>
      <c r="D1068" s="214"/>
      <c r="E1068" s="215"/>
      <c r="F1068" s="181"/>
      <c r="G1068" s="179"/>
      <c r="J1068" s="180"/>
      <c r="X1068" s="181"/>
      <c r="Y1068" s="181"/>
      <c r="Z1068" s="181"/>
      <c r="AA1068" s="181"/>
      <c r="AB1068" s="181"/>
      <c r="AC1068" s="181"/>
      <c r="AD1068" s="181"/>
      <c r="AE1068" s="181"/>
      <c r="AF1068" s="181"/>
      <c r="AG1068" s="181"/>
      <c r="AH1068" s="181"/>
      <c r="AI1068" s="181"/>
      <c r="AJ1068" s="181"/>
      <c r="AK1068" s="181"/>
      <c r="AL1068" s="181"/>
      <c r="AM1068" s="181"/>
      <c r="AN1068" s="181"/>
      <c r="AO1068" s="181"/>
      <c r="AP1068" s="181"/>
      <c r="AQ1068" s="181"/>
      <c r="AR1068" s="181"/>
      <c r="AS1068" s="181"/>
      <c r="AT1068" s="181"/>
      <c r="AU1068" s="181"/>
      <c r="AV1068" s="181"/>
      <c r="AW1068" s="181"/>
      <c r="AX1068" s="181"/>
      <c r="AY1068" s="181"/>
      <c r="AZ1068" s="181"/>
      <c r="BA1068" s="181"/>
      <c r="BB1068" s="181"/>
      <c r="BC1068" s="181"/>
      <c r="BD1068" s="181"/>
      <c r="BE1068" s="181"/>
    </row>
    <row r="1069" spans="2:57" s="167" customFormat="1">
      <c r="B1069" s="213"/>
      <c r="C1069" s="181"/>
      <c r="D1069" s="214"/>
      <c r="E1069" s="215"/>
      <c r="F1069" s="181"/>
      <c r="G1069" s="179"/>
      <c r="J1069" s="180"/>
      <c r="X1069" s="181"/>
      <c r="Y1069" s="181"/>
      <c r="Z1069" s="181"/>
      <c r="AA1069" s="181"/>
      <c r="AB1069" s="181"/>
      <c r="AC1069" s="181"/>
      <c r="AD1069" s="181"/>
      <c r="AE1069" s="181"/>
      <c r="AF1069" s="181"/>
      <c r="AG1069" s="181"/>
      <c r="AH1069" s="181"/>
      <c r="AI1069" s="181"/>
      <c r="AJ1069" s="181"/>
      <c r="AK1069" s="181"/>
      <c r="AL1069" s="181"/>
      <c r="AM1069" s="181"/>
      <c r="AN1069" s="181"/>
      <c r="AO1069" s="181"/>
      <c r="AP1069" s="181"/>
      <c r="AQ1069" s="181"/>
      <c r="AR1069" s="181"/>
      <c r="AS1069" s="181"/>
      <c r="AT1069" s="181"/>
      <c r="AU1069" s="181"/>
      <c r="AV1069" s="181"/>
      <c r="AW1069" s="181"/>
      <c r="AX1069" s="181"/>
      <c r="AY1069" s="181"/>
      <c r="AZ1069" s="181"/>
      <c r="BA1069" s="181"/>
      <c r="BB1069" s="181"/>
      <c r="BC1069" s="181"/>
      <c r="BD1069" s="181"/>
      <c r="BE1069" s="181"/>
    </row>
    <row r="1070" spans="2:57" s="167" customFormat="1">
      <c r="B1070" s="213"/>
      <c r="C1070" s="181"/>
      <c r="D1070" s="214"/>
      <c r="E1070" s="215"/>
      <c r="F1070" s="181"/>
      <c r="G1070" s="179"/>
      <c r="J1070" s="180"/>
      <c r="X1070" s="181"/>
      <c r="Y1070" s="181"/>
      <c r="Z1070" s="181"/>
      <c r="AA1070" s="181"/>
      <c r="AB1070" s="181"/>
      <c r="AC1070" s="181"/>
      <c r="AD1070" s="181"/>
      <c r="AE1070" s="181"/>
      <c r="AF1070" s="181"/>
      <c r="AG1070" s="181"/>
      <c r="AH1070" s="181"/>
      <c r="AI1070" s="181"/>
      <c r="AJ1070" s="181"/>
      <c r="AK1070" s="181"/>
      <c r="AL1070" s="181"/>
      <c r="AM1070" s="181"/>
      <c r="AN1070" s="181"/>
      <c r="AO1070" s="181"/>
      <c r="AP1070" s="181"/>
      <c r="AQ1070" s="181"/>
      <c r="AR1070" s="181"/>
      <c r="AS1070" s="181"/>
      <c r="AT1070" s="181"/>
      <c r="AU1070" s="181"/>
      <c r="AV1070" s="181"/>
      <c r="AW1070" s="181"/>
      <c r="AX1070" s="181"/>
      <c r="AY1070" s="181"/>
      <c r="AZ1070" s="181"/>
      <c r="BA1070" s="181"/>
      <c r="BB1070" s="181"/>
      <c r="BC1070" s="181"/>
      <c r="BD1070" s="181"/>
      <c r="BE1070" s="181"/>
    </row>
    <row r="1071" spans="2:57" s="167" customFormat="1">
      <c r="B1071" s="213"/>
      <c r="C1071" s="181"/>
      <c r="D1071" s="214"/>
      <c r="E1071" s="215"/>
      <c r="F1071" s="181"/>
      <c r="G1071" s="179"/>
      <c r="J1071" s="180"/>
      <c r="X1071" s="181"/>
      <c r="Y1071" s="181"/>
      <c r="Z1071" s="181"/>
      <c r="AA1071" s="181"/>
      <c r="AB1071" s="181"/>
      <c r="AC1071" s="181"/>
      <c r="AD1071" s="181"/>
      <c r="AE1071" s="181"/>
      <c r="AF1071" s="181"/>
      <c r="AG1071" s="181"/>
      <c r="AH1071" s="181"/>
      <c r="AI1071" s="181"/>
      <c r="AJ1071" s="181"/>
      <c r="AK1071" s="181"/>
      <c r="AL1071" s="181"/>
      <c r="AM1071" s="181"/>
      <c r="AN1071" s="181"/>
      <c r="AO1071" s="181"/>
      <c r="AP1071" s="181"/>
      <c r="AQ1071" s="181"/>
      <c r="AR1071" s="181"/>
      <c r="AS1071" s="181"/>
      <c r="AT1071" s="181"/>
      <c r="AU1071" s="181"/>
      <c r="AV1071" s="181"/>
      <c r="AW1071" s="181"/>
      <c r="AX1071" s="181"/>
      <c r="AY1071" s="181"/>
      <c r="AZ1071" s="181"/>
      <c r="BA1071" s="181"/>
      <c r="BB1071" s="181"/>
      <c r="BC1071" s="181"/>
      <c r="BD1071" s="181"/>
      <c r="BE1071" s="181"/>
    </row>
    <row r="1072" spans="2:57" s="167" customFormat="1">
      <c r="B1072" s="213"/>
      <c r="C1072" s="181"/>
      <c r="D1072" s="214"/>
      <c r="E1072" s="215"/>
      <c r="F1072" s="181"/>
      <c r="G1072" s="179"/>
      <c r="J1072" s="180"/>
      <c r="X1072" s="181"/>
      <c r="Y1072" s="181"/>
      <c r="Z1072" s="181"/>
      <c r="AA1072" s="181"/>
      <c r="AB1072" s="181"/>
      <c r="AC1072" s="181"/>
      <c r="AD1072" s="181"/>
      <c r="AE1072" s="181"/>
      <c r="AF1072" s="181"/>
      <c r="AG1072" s="181"/>
      <c r="AH1072" s="181"/>
      <c r="AI1072" s="181"/>
      <c r="AJ1072" s="181"/>
      <c r="AK1072" s="181"/>
      <c r="AL1072" s="181"/>
      <c r="AM1072" s="181"/>
      <c r="AN1072" s="181"/>
      <c r="AO1072" s="181"/>
      <c r="AP1072" s="181"/>
      <c r="AQ1072" s="181"/>
      <c r="AR1072" s="181"/>
      <c r="AS1072" s="181"/>
      <c r="AT1072" s="181"/>
      <c r="AU1072" s="181"/>
      <c r="AV1072" s="181"/>
      <c r="AW1072" s="181"/>
      <c r="AX1072" s="181"/>
      <c r="AY1072" s="181"/>
      <c r="AZ1072" s="181"/>
      <c r="BA1072" s="181"/>
      <c r="BB1072" s="181"/>
      <c r="BC1072" s="181"/>
      <c r="BD1072" s="181"/>
      <c r="BE1072" s="181"/>
    </row>
    <row r="1073" spans="2:57" s="167" customFormat="1">
      <c r="B1073" s="213"/>
      <c r="C1073" s="181"/>
      <c r="D1073" s="214"/>
      <c r="E1073" s="215"/>
      <c r="F1073" s="181"/>
      <c r="G1073" s="179"/>
      <c r="J1073" s="180"/>
      <c r="X1073" s="181"/>
      <c r="Y1073" s="181"/>
      <c r="Z1073" s="181"/>
      <c r="AA1073" s="181"/>
      <c r="AB1073" s="181"/>
      <c r="AC1073" s="181"/>
      <c r="AD1073" s="181"/>
      <c r="AE1073" s="181"/>
      <c r="AF1073" s="181"/>
      <c r="AG1073" s="181"/>
      <c r="AH1073" s="181"/>
      <c r="AI1073" s="181"/>
      <c r="AJ1073" s="181"/>
      <c r="AK1073" s="181"/>
      <c r="AL1073" s="181"/>
      <c r="AM1073" s="181"/>
      <c r="AN1073" s="181"/>
      <c r="AO1073" s="181"/>
      <c r="AP1073" s="181"/>
      <c r="AQ1073" s="181"/>
      <c r="AR1073" s="181"/>
      <c r="AS1073" s="181"/>
      <c r="AT1073" s="181"/>
      <c r="AU1073" s="181"/>
      <c r="AV1073" s="181"/>
      <c r="AW1073" s="181"/>
      <c r="AX1073" s="181"/>
      <c r="AY1073" s="181"/>
      <c r="AZ1073" s="181"/>
      <c r="BA1073" s="181"/>
      <c r="BB1073" s="181"/>
      <c r="BC1073" s="181"/>
      <c r="BD1073" s="181"/>
      <c r="BE1073" s="181"/>
    </row>
    <row r="1074" spans="2:57" s="167" customFormat="1">
      <c r="B1074" s="213"/>
      <c r="C1074" s="181"/>
      <c r="D1074" s="214"/>
      <c r="E1074" s="215"/>
      <c r="F1074" s="181"/>
      <c r="G1074" s="179"/>
      <c r="J1074" s="180"/>
      <c r="X1074" s="181"/>
      <c r="Y1074" s="181"/>
      <c r="Z1074" s="181"/>
      <c r="AA1074" s="181"/>
      <c r="AB1074" s="181"/>
      <c r="AC1074" s="181"/>
      <c r="AD1074" s="181"/>
      <c r="AE1074" s="181"/>
      <c r="AF1074" s="181"/>
      <c r="AG1074" s="181"/>
      <c r="AH1074" s="181"/>
      <c r="AI1074" s="181"/>
      <c r="AJ1074" s="181"/>
      <c r="AK1074" s="181"/>
      <c r="AL1074" s="181"/>
      <c r="AM1074" s="181"/>
      <c r="AN1074" s="181"/>
      <c r="AO1074" s="181"/>
      <c r="AP1074" s="181"/>
      <c r="AQ1074" s="181"/>
      <c r="AR1074" s="181"/>
      <c r="AS1074" s="181"/>
      <c r="AT1074" s="181"/>
      <c r="AU1074" s="181"/>
      <c r="AV1074" s="181"/>
      <c r="AW1074" s="181"/>
      <c r="AX1074" s="181"/>
      <c r="AY1074" s="181"/>
      <c r="AZ1074" s="181"/>
      <c r="BA1074" s="181"/>
      <c r="BB1074" s="181"/>
      <c r="BC1074" s="181"/>
      <c r="BD1074" s="181"/>
      <c r="BE1074" s="181"/>
    </row>
    <row r="1075" spans="2:57" s="167" customFormat="1">
      <c r="B1075" s="213"/>
      <c r="C1075" s="181"/>
      <c r="D1075" s="214"/>
      <c r="E1075" s="215"/>
      <c r="F1075" s="181"/>
      <c r="G1075" s="179"/>
      <c r="J1075" s="180"/>
      <c r="X1075" s="181"/>
      <c r="Y1075" s="181"/>
      <c r="Z1075" s="181"/>
      <c r="AA1075" s="181"/>
      <c r="AB1075" s="181"/>
      <c r="AC1075" s="181"/>
      <c r="AD1075" s="181"/>
      <c r="AE1075" s="181"/>
      <c r="AF1075" s="181"/>
      <c r="AG1075" s="181"/>
      <c r="AH1075" s="181"/>
      <c r="AI1075" s="181"/>
      <c r="AJ1075" s="181"/>
      <c r="AK1075" s="181"/>
      <c r="AL1075" s="181"/>
      <c r="AM1075" s="181"/>
      <c r="AN1075" s="181"/>
      <c r="AO1075" s="181"/>
      <c r="AP1075" s="181"/>
      <c r="AQ1075" s="181"/>
      <c r="AR1075" s="181"/>
      <c r="AS1075" s="181"/>
      <c r="AT1075" s="181"/>
      <c r="AU1075" s="181"/>
      <c r="AV1075" s="181"/>
      <c r="AW1075" s="181"/>
      <c r="AX1075" s="181"/>
      <c r="AY1075" s="181"/>
      <c r="AZ1075" s="181"/>
      <c r="BA1075" s="181"/>
      <c r="BB1075" s="181"/>
      <c r="BC1075" s="181"/>
      <c r="BD1075" s="181"/>
      <c r="BE1075" s="181"/>
    </row>
    <row r="1076" spans="2:57" s="167" customFormat="1">
      <c r="B1076" s="213"/>
      <c r="C1076" s="181"/>
      <c r="D1076" s="214"/>
      <c r="E1076" s="215"/>
      <c r="F1076" s="181"/>
      <c r="G1076" s="179"/>
      <c r="J1076" s="180"/>
      <c r="X1076" s="181"/>
      <c r="Y1076" s="181"/>
      <c r="Z1076" s="181"/>
      <c r="AA1076" s="181"/>
      <c r="AB1076" s="181"/>
      <c r="AC1076" s="181"/>
      <c r="AD1076" s="181"/>
      <c r="AE1076" s="181"/>
      <c r="AF1076" s="181"/>
      <c r="AG1076" s="181"/>
      <c r="AH1076" s="181"/>
      <c r="AI1076" s="181"/>
      <c r="AJ1076" s="181"/>
      <c r="AK1076" s="181"/>
      <c r="AL1076" s="181"/>
      <c r="AM1076" s="181"/>
      <c r="AN1076" s="181"/>
      <c r="AO1076" s="181"/>
      <c r="AP1076" s="181"/>
      <c r="AQ1076" s="181"/>
      <c r="AR1076" s="181"/>
      <c r="AS1076" s="181"/>
      <c r="AT1076" s="181"/>
      <c r="AU1076" s="181"/>
      <c r="AV1076" s="181"/>
      <c r="AW1076" s="181"/>
      <c r="AX1076" s="181"/>
      <c r="AY1076" s="181"/>
      <c r="AZ1076" s="181"/>
      <c r="BA1076" s="181"/>
      <c r="BB1076" s="181"/>
      <c r="BC1076" s="181"/>
      <c r="BD1076" s="181"/>
      <c r="BE1076" s="181"/>
    </row>
    <row r="1077" spans="2:57" s="167" customFormat="1">
      <c r="B1077" s="213"/>
      <c r="C1077" s="181"/>
      <c r="D1077" s="214"/>
      <c r="E1077" s="215"/>
      <c r="F1077" s="181"/>
      <c r="G1077" s="179"/>
      <c r="J1077" s="180"/>
      <c r="X1077" s="181"/>
      <c r="Y1077" s="181"/>
      <c r="Z1077" s="181"/>
      <c r="AA1077" s="181"/>
      <c r="AB1077" s="181"/>
      <c r="AC1077" s="181"/>
      <c r="AD1077" s="181"/>
      <c r="AE1077" s="181"/>
      <c r="AF1077" s="181"/>
      <c r="AG1077" s="181"/>
      <c r="AH1077" s="181"/>
      <c r="AI1077" s="181"/>
      <c r="AJ1077" s="181"/>
      <c r="AK1077" s="181"/>
      <c r="AL1077" s="181"/>
      <c r="AM1077" s="181"/>
      <c r="AN1077" s="181"/>
      <c r="AO1077" s="181"/>
      <c r="AP1077" s="181"/>
      <c r="AQ1077" s="181"/>
      <c r="AR1077" s="181"/>
      <c r="AS1077" s="181"/>
      <c r="AT1077" s="181"/>
      <c r="AU1077" s="181"/>
      <c r="AV1077" s="181"/>
      <c r="AW1077" s="181"/>
      <c r="AX1077" s="181"/>
      <c r="AY1077" s="181"/>
      <c r="AZ1077" s="181"/>
      <c r="BA1077" s="181"/>
      <c r="BB1077" s="181"/>
      <c r="BC1077" s="181"/>
      <c r="BD1077" s="181"/>
      <c r="BE1077" s="181"/>
    </row>
    <row r="1078" spans="2:57" s="167" customFormat="1">
      <c r="B1078" s="213"/>
      <c r="C1078" s="181"/>
      <c r="D1078" s="214"/>
      <c r="E1078" s="215"/>
      <c r="F1078" s="181"/>
      <c r="G1078" s="179"/>
      <c r="J1078" s="180"/>
      <c r="X1078" s="181"/>
      <c r="Y1078" s="181"/>
      <c r="Z1078" s="181"/>
      <c r="AA1078" s="181"/>
      <c r="AB1078" s="181"/>
      <c r="AC1078" s="181"/>
      <c r="AD1078" s="181"/>
      <c r="AE1078" s="181"/>
      <c r="AF1078" s="181"/>
      <c r="AG1078" s="181"/>
      <c r="AH1078" s="181"/>
      <c r="AI1078" s="181"/>
      <c r="AJ1078" s="181"/>
      <c r="AK1078" s="181"/>
      <c r="AL1078" s="181"/>
      <c r="AM1078" s="181"/>
      <c r="AN1078" s="181"/>
      <c r="AO1078" s="181"/>
      <c r="AP1078" s="181"/>
      <c r="AQ1078" s="181"/>
      <c r="AR1078" s="181"/>
      <c r="AS1078" s="181"/>
      <c r="AT1078" s="181"/>
      <c r="AU1078" s="181"/>
      <c r="AV1078" s="181"/>
      <c r="AW1078" s="181"/>
      <c r="AX1078" s="181"/>
      <c r="AY1078" s="181"/>
      <c r="AZ1078" s="181"/>
      <c r="BA1078" s="181"/>
      <c r="BB1078" s="181"/>
      <c r="BC1078" s="181"/>
      <c r="BD1078" s="181"/>
      <c r="BE1078" s="181"/>
    </row>
    <row r="1079" spans="2:57" s="167" customFormat="1">
      <c r="B1079" s="213"/>
      <c r="C1079" s="181"/>
      <c r="D1079" s="214"/>
      <c r="E1079" s="215"/>
      <c r="F1079" s="181"/>
      <c r="G1079" s="179"/>
      <c r="J1079" s="180"/>
      <c r="X1079" s="181"/>
      <c r="Y1079" s="181"/>
      <c r="Z1079" s="181"/>
      <c r="AA1079" s="181"/>
      <c r="AB1079" s="181"/>
      <c r="AC1079" s="181"/>
      <c r="AD1079" s="181"/>
      <c r="AE1079" s="181"/>
      <c r="AF1079" s="181"/>
      <c r="AG1079" s="181"/>
      <c r="AH1079" s="181"/>
      <c r="AI1079" s="181"/>
      <c r="AJ1079" s="181"/>
      <c r="AK1079" s="181"/>
      <c r="AL1079" s="181"/>
      <c r="AM1079" s="181"/>
      <c r="AN1079" s="181"/>
      <c r="AO1079" s="181"/>
      <c r="AP1079" s="181"/>
      <c r="AQ1079" s="181"/>
      <c r="AR1079" s="181"/>
      <c r="AS1079" s="181"/>
      <c r="AT1079" s="181"/>
      <c r="AU1079" s="181"/>
      <c r="AV1079" s="181"/>
      <c r="AW1079" s="181"/>
      <c r="AX1079" s="181"/>
      <c r="AY1079" s="181"/>
      <c r="AZ1079" s="181"/>
      <c r="BA1079" s="181"/>
      <c r="BB1079" s="181"/>
      <c r="BC1079" s="181"/>
      <c r="BD1079" s="181"/>
      <c r="BE1079" s="181"/>
    </row>
    <row r="1080" spans="2:57" s="167" customFormat="1">
      <c r="B1080" s="213"/>
      <c r="C1080" s="181"/>
      <c r="D1080" s="214"/>
      <c r="E1080" s="215"/>
      <c r="F1080" s="181"/>
      <c r="G1080" s="179"/>
      <c r="J1080" s="180"/>
      <c r="X1080" s="181"/>
      <c r="Y1080" s="181"/>
      <c r="Z1080" s="181"/>
      <c r="AA1080" s="181"/>
      <c r="AB1080" s="181"/>
      <c r="AC1080" s="181"/>
      <c r="AD1080" s="181"/>
      <c r="AE1080" s="181"/>
      <c r="AF1080" s="181"/>
      <c r="AG1080" s="181"/>
      <c r="AH1080" s="181"/>
      <c r="AI1080" s="181"/>
      <c r="AJ1080" s="181"/>
      <c r="AK1080" s="181"/>
      <c r="AL1080" s="181"/>
      <c r="AM1080" s="181"/>
      <c r="AN1080" s="181"/>
      <c r="AO1080" s="181"/>
      <c r="AP1080" s="181"/>
      <c r="AQ1080" s="181"/>
      <c r="AR1080" s="181"/>
      <c r="AS1080" s="181"/>
      <c r="AT1080" s="181"/>
      <c r="AU1080" s="181"/>
      <c r="AV1080" s="181"/>
      <c r="AW1080" s="181"/>
      <c r="AX1080" s="181"/>
      <c r="AY1080" s="181"/>
      <c r="AZ1080" s="181"/>
      <c r="BA1080" s="181"/>
      <c r="BB1080" s="181"/>
      <c r="BC1080" s="181"/>
      <c r="BD1080" s="181"/>
      <c r="BE1080" s="181"/>
    </row>
    <row r="1081" spans="2:57" s="167" customFormat="1">
      <c r="B1081" s="213"/>
      <c r="C1081" s="181"/>
      <c r="D1081" s="214"/>
      <c r="E1081" s="215"/>
      <c r="F1081" s="181"/>
      <c r="G1081" s="179"/>
      <c r="J1081" s="180"/>
      <c r="X1081" s="181"/>
      <c r="Y1081" s="181"/>
      <c r="Z1081" s="181"/>
      <c r="AA1081" s="181"/>
      <c r="AB1081" s="181"/>
      <c r="AC1081" s="181"/>
      <c r="AD1081" s="181"/>
      <c r="AE1081" s="181"/>
      <c r="AF1081" s="181"/>
      <c r="AG1081" s="181"/>
      <c r="AH1081" s="181"/>
      <c r="AI1081" s="181"/>
      <c r="AJ1081" s="181"/>
      <c r="AK1081" s="181"/>
      <c r="AL1081" s="181"/>
      <c r="AM1081" s="181"/>
      <c r="AN1081" s="181"/>
      <c r="AO1081" s="181"/>
      <c r="AP1081" s="181"/>
      <c r="AQ1081" s="181"/>
      <c r="AR1081" s="181"/>
      <c r="AS1081" s="181"/>
      <c r="AT1081" s="181"/>
      <c r="AU1081" s="181"/>
      <c r="AV1081" s="181"/>
      <c r="AW1081" s="181"/>
      <c r="AX1081" s="181"/>
      <c r="AY1081" s="181"/>
      <c r="AZ1081" s="181"/>
      <c r="BA1081" s="181"/>
      <c r="BB1081" s="181"/>
      <c r="BC1081" s="181"/>
      <c r="BD1081" s="181"/>
      <c r="BE1081" s="181"/>
    </row>
    <row r="1082" spans="2:57" s="167" customFormat="1">
      <c r="B1082" s="213"/>
      <c r="C1082" s="181"/>
      <c r="D1082" s="214"/>
      <c r="E1082" s="215"/>
      <c r="F1082" s="181"/>
      <c r="G1082" s="179"/>
      <c r="J1082" s="180"/>
      <c r="X1082" s="181"/>
      <c r="Y1082" s="181"/>
      <c r="Z1082" s="181"/>
      <c r="AA1082" s="181"/>
      <c r="AB1082" s="181"/>
      <c r="AC1082" s="181"/>
      <c r="AD1082" s="181"/>
      <c r="AE1082" s="181"/>
      <c r="AF1082" s="181"/>
      <c r="AG1082" s="181"/>
      <c r="AH1082" s="181"/>
      <c r="AI1082" s="181"/>
      <c r="AJ1082" s="181"/>
      <c r="AK1082" s="181"/>
      <c r="AL1082" s="181"/>
      <c r="AM1082" s="181"/>
      <c r="AN1082" s="181"/>
      <c r="AO1082" s="181"/>
      <c r="AP1082" s="181"/>
      <c r="AQ1082" s="181"/>
      <c r="AR1082" s="181"/>
      <c r="AS1082" s="181"/>
      <c r="AT1082" s="181"/>
      <c r="AU1082" s="181"/>
      <c r="AV1082" s="181"/>
      <c r="AW1082" s="181"/>
      <c r="AX1082" s="181"/>
      <c r="AY1082" s="181"/>
      <c r="AZ1082" s="181"/>
      <c r="BA1082" s="181"/>
      <c r="BB1082" s="181"/>
      <c r="BC1082" s="181"/>
      <c r="BD1082" s="181"/>
      <c r="BE1082" s="181"/>
    </row>
    <row r="1083" spans="2:57" s="167" customFormat="1">
      <c r="B1083" s="213"/>
      <c r="C1083" s="181"/>
      <c r="D1083" s="214"/>
      <c r="E1083" s="215"/>
      <c r="F1083" s="181"/>
      <c r="G1083" s="179"/>
      <c r="J1083" s="180"/>
      <c r="X1083" s="181"/>
      <c r="Y1083" s="181"/>
      <c r="Z1083" s="181"/>
      <c r="AA1083" s="181"/>
      <c r="AB1083" s="181"/>
      <c r="AC1083" s="181"/>
      <c r="AD1083" s="181"/>
      <c r="AE1083" s="181"/>
      <c r="AF1083" s="181"/>
      <c r="AG1083" s="181"/>
      <c r="AH1083" s="181"/>
      <c r="AI1083" s="181"/>
      <c r="AJ1083" s="181"/>
      <c r="AK1083" s="181"/>
      <c r="AL1083" s="181"/>
      <c r="AM1083" s="181"/>
      <c r="AN1083" s="181"/>
      <c r="AO1083" s="181"/>
      <c r="AP1083" s="181"/>
      <c r="AQ1083" s="181"/>
      <c r="AR1083" s="181"/>
      <c r="AS1083" s="181"/>
      <c r="AT1083" s="181"/>
      <c r="AU1083" s="181"/>
      <c r="AV1083" s="181"/>
      <c r="AW1083" s="181"/>
      <c r="AX1083" s="181"/>
      <c r="AY1083" s="181"/>
      <c r="AZ1083" s="181"/>
      <c r="BA1083" s="181"/>
      <c r="BB1083" s="181"/>
      <c r="BC1083" s="181"/>
      <c r="BD1083" s="181"/>
      <c r="BE1083" s="181"/>
    </row>
    <row r="1084" spans="2:57" s="167" customFormat="1">
      <c r="B1084" s="213"/>
      <c r="C1084" s="181"/>
      <c r="D1084" s="214"/>
      <c r="E1084" s="215"/>
      <c r="F1084" s="181"/>
      <c r="G1084" s="179"/>
      <c r="J1084" s="180"/>
      <c r="X1084" s="181"/>
      <c r="Y1084" s="181"/>
      <c r="Z1084" s="181"/>
      <c r="AA1084" s="181"/>
      <c r="AB1084" s="181"/>
      <c r="AC1084" s="181"/>
      <c r="AD1084" s="181"/>
      <c r="AE1084" s="181"/>
      <c r="AF1084" s="181"/>
      <c r="AG1084" s="181"/>
      <c r="AH1084" s="181"/>
      <c r="AI1084" s="181"/>
      <c r="AJ1084" s="181"/>
      <c r="AK1084" s="181"/>
      <c r="AL1084" s="181"/>
      <c r="AM1084" s="181"/>
      <c r="AN1084" s="181"/>
      <c r="AO1084" s="181"/>
      <c r="AP1084" s="181"/>
      <c r="AQ1084" s="181"/>
      <c r="AR1084" s="181"/>
      <c r="AS1084" s="181"/>
      <c r="AT1084" s="181"/>
      <c r="AU1084" s="181"/>
      <c r="AV1084" s="181"/>
      <c r="AW1084" s="181"/>
      <c r="AX1084" s="181"/>
      <c r="AY1084" s="181"/>
      <c r="AZ1084" s="181"/>
      <c r="BA1084" s="181"/>
      <c r="BB1084" s="181"/>
      <c r="BC1084" s="181"/>
      <c r="BD1084" s="181"/>
      <c r="BE1084" s="181"/>
    </row>
    <row r="1085" spans="2:57" s="167" customFormat="1">
      <c r="B1085" s="213"/>
      <c r="C1085" s="181"/>
      <c r="D1085" s="214"/>
      <c r="E1085" s="215"/>
      <c r="F1085" s="181"/>
      <c r="G1085" s="179"/>
      <c r="J1085" s="180"/>
      <c r="X1085" s="181"/>
      <c r="Y1085" s="181"/>
      <c r="Z1085" s="181"/>
      <c r="AA1085" s="181"/>
      <c r="AB1085" s="181"/>
      <c r="AC1085" s="181"/>
      <c r="AD1085" s="181"/>
      <c r="AE1085" s="181"/>
      <c r="AF1085" s="181"/>
      <c r="AG1085" s="181"/>
      <c r="AH1085" s="181"/>
      <c r="AI1085" s="181"/>
      <c r="AJ1085" s="181"/>
      <c r="AK1085" s="181"/>
      <c r="AL1085" s="181"/>
      <c r="AM1085" s="181"/>
      <c r="AN1085" s="181"/>
      <c r="AO1085" s="181"/>
      <c r="AP1085" s="181"/>
      <c r="AQ1085" s="181"/>
      <c r="AR1085" s="181"/>
      <c r="AS1085" s="181"/>
      <c r="AT1085" s="181"/>
      <c r="AU1085" s="181"/>
      <c r="AV1085" s="181"/>
      <c r="AW1085" s="181"/>
      <c r="AX1085" s="181"/>
      <c r="AY1085" s="181"/>
      <c r="AZ1085" s="181"/>
      <c r="BA1085" s="181"/>
      <c r="BB1085" s="181"/>
      <c r="BC1085" s="181"/>
      <c r="BD1085" s="181"/>
      <c r="BE1085" s="181"/>
    </row>
    <row r="1086" spans="2:57" s="167" customFormat="1">
      <c r="B1086" s="213"/>
      <c r="C1086" s="181"/>
      <c r="D1086" s="214"/>
      <c r="E1086" s="215"/>
      <c r="F1086" s="181"/>
      <c r="G1086" s="179"/>
      <c r="J1086" s="180"/>
      <c r="X1086" s="181"/>
      <c r="Y1086" s="181"/>
      <c r="Z1086" s="181"/>
      <c r="AA1086" s="181"/>
      <c r="AB1086" s="181"/>
      <c r="AC1086" s="181"/>
      <c r="AD1086" s="181"/>
      <c r="AE1086" s="181"/>
      <c r="AF1086" s="181"/>
      <c r="AG1086" s="181"/>
      <c r="AH1086" s="181"/>
      <c r="AI1086" s="181"/>
      <c r="AJ1086" s="181"/>
      <c r="AK1086" s="181"/>
      <c r="AL1086" s="181"/>
      <c r="AM1086" s="181"/>
      <c r="AN1086" s="181"/>
      <c r="AO1086" s="181"/>
      <c r="AP1086" s="181"/>
      <c r="AQ1086" s="181"/>
      <c r="AR1086" s="181"/>
      <c r="AS1086" s="181"/>
      <c r="AT1086" s="181"/>
      <c r="AU1086" s="181"/>
      <c r="AV1086" s="181"/>
      <c r="AW1086" s="181"/>
      <c r="AX1086" s="181"/>
      <c r="AY1086" s="181"/>
      <c r="AZ1086" s="181"/>
      <c r="BA1086" s="181"/>
      <c r="BB1086" s="181"/>
      <c r="BC1086" s="181"/>
      <c r="BD1086" s="181"/>
      <c r="BE1086" s="181"/>
    </row>
    <row r="1087" spans="2:57" s="167" customFormat="1">
      <c r="B1087" s="213"/>
      <c r="C1087" s="181"/>
      <c r="D1087" s="214"/>
      <c r="E1087" s="215"/>
      <c r="F1087" s="181"/>
      <c r="G1087" s="179"/>
      <c r="J1087" s="180"/>
      <c r="X1087" s="181"/>
      <c r="Y1087" s="181"/>
      <c r="Z1087" s="181"/>
      <c r="AA1087" s="181"/>
      <c r="AB1087" s="181"/>
      <c r="AC1087" s="181"/>
      <c r="AD1087" s="181"/>
      <c r="AE1087" s="181"/>
      <c r="AF1087" s="181"/>
      <c r="AG1087" s="181"/>
      <c r="AH1087" s="181"/>
      <c r="AI1087" s="181"/>
      <c r="AJ1087" s="181"/>
      <c r="AK1087" s="181"/>
      <c r="AL1087" s="181"/>
      <c r="AM1087" s="181"/>
      <c r="AN1087" s="181"/>
      <c r="AO1087" s="181"/>
      <c r="AP1087" s="181"/>
      <c r="AQ1087" s="181"/>
      <c r="AR1087" s="181"/>
      <c r="AS1087" s="181"/>
      <c r="AT1087" s="181"/>
      <c r="AU1087" s="181"/>
      <c r="AV1087" s="181"/>
      <c r="AW1087" s="181"/>
      <c r="AX1087" s="181"/>
      <c r="AY1087" s="181"/>
      <c r="AZ1087" s="181"/>
      <c r="BA1087" s="181"/>
      <c r="BB1087" s="181"/>
      <c r="BC1087" s="181"/>
      <c r="BD1087" s="181"/>
      <c r="BE1087" s="181"/>
    </row>
    <row r="1088" spans="2:57" s="167" customFormat="1">
      <c r="B1088" s="213"/>
      <c r="C1088" s="181"/>
      <c r="D1088" s="214"/>
      <c r="E1088" s="215"/>
      <c r="F1088" s="181"/>
      <c r="G1088" s="179"/>
      <c r="J1088" s="180"/>
      <c r="X1088" s="181"/>
      <c r="Y1088" s="181"/>
      <c r="Z1088" s="181"/>
      <c r="AA1088" s="181"/>
      <c r="AB1088" s="181"/>
      <c r="AC1088" s="181"/>
      <c r="AD1088" s="181"/>
      <c r="AE1088" s="181"/>
      <c r="AF1088" s="181"/>
      <c r="AG1088" s="181"/>
      <c r="AH1088" s="181"/>
      <c r="AI1088" s="181"/>
      <c r="AJ1088" s="181"/>
      <c r="AK1088" s="181"/>
      <c r="AL1088" s="181"/>
      <c r="AM1088" s="181"/>
      <c r="AN1088" s="181"/>
      <c r="AO1088" s="181"/>
      <c r="AP1088" s="181"/>
      <c r="AQ1088" s="181"/>
      <c r="AR1088" s="181"/>
      <c r="AS1088" s="181"/>
      <c r="AT1088" s="181"/>
      <c r="AU1088" s="181"/>
      <c r="AV1088" s="181"/>
      <c r="AW1088" s="181"/>
      <c r="AX1088" s="181"/>
      <c r="AY1088" s="181"/>
      <c r="AZ1088" s="181"/>
      <c r="BA1088" s="181"/>
      <c r="BB1088" s="181"/>
      <c r="BC1088" s="181"/>
      <c r="BD1088" s="181"/>
      <c r="BE1088" s="181"/>
    </row>
  </sheetData>
  <sheetProtection algorithmName="SHA-512" hashValue="zl+LMpmQjgi8AkLN1GRLjNIb9Hb/dCNHdiCtkZdEtk6t+tgDJGnw9u/zXqqafsf7ldUduuwzV6IjI5I9NpTtAw==" saltValue="0eHY9l3j6PnOGLOM2RnHoA==" spinCount="100000" sheet="1" objects="1" scenarios="1"/>
  <mergeCells count="37">
    <mergeCell ref="L32:N32"/>
    <mergeCell ref="T41:V41"/>
    <mergeCell ref="H42:U42"/>
    <mergeCell ref="T306:V306"/>
    <mergeCell ref="U307:V307"/>
    <mergeCell ref="J315:N315"/>
    <mergeCell ref="T315:V315"/>
    <mergeCell ref="T318:V318"/>
    <mergeCell ref="H387:J387"/>
    <mergeCell ref="L387:N387"/>
    <mergeCell ref="T387:V387"/>
    <mergeCell ref="H398:J398"/>
    <mergeCell ref="H401:J401"/>
    <mergeCell ref="H402:J402"/>
    <mergeCell ref="H403:J403"/>
    <mergeCell ref="H404:J404"/>
    <mergeCell ref="H405:J405"/>
    <mergeCell ref="H406:J406"/>
    <mergeCell ref="H407:J407"/>
    <mergeCell ref="H408:J408"/>
    <mergeCell ref="H411:J411"/>
    <mergeCell ref="H413:J413"/>
    <mergeCell ref="H421:J421"/>
    <mergeCell ref="H424:I424"/>
    <mergeCell ref="H449:J449"/>
    <mergeCell ref="H452:J452"/>
    <mergeCell ref="H453:J453"/>
    <mergeCell ref="H454:J454"/>
    <mergeCell ref="H455:J455"/>
    <mergeCell ref="H456:J456"/>
    <mergeCell ref="H457:J457"/>
    <mergeCell ref="H475:I475"/>
    <mergeCell ref="H458:J458"/>
    <mergeCell ref="H459:J459"/>
    <mergeCell ref="H462:J462"/>
    <mergeCell ref="H464:J464"/>
    <mergeCell ref="H472:J472"/>
  </mergeCells>
  <phoneticPr fontId="59" type="noConversion"/>
  <conditionalFormatting sqref="G27 G22">
    <cfRule type="expression" dxfId="37" priority="1" stopIfTrue="1">
      <formula>G22="Enable"</formula>
    </cfRule>
  </conditionalFormatting>
  <conditionalFormatting sqref="G24:G26">
    <cfRule type="expression" dxfId="36" priority="2" stopIfTrue="1">
      <formula>G24="Enable"</formula>
    </cfRule>
  </conditionalFormatting>
  <conditionalFormatting sqref="G23">
    <cfRule type="expression" dxfId="35" priority="3" stopIfTrue="1">
      <formula>G23="Enable"</formula>
    </cfRule>
  </conditionalFormatting>
  <conditionalFormatting sqref="G325">
    <cfRule type="expression" dxfId="34" priority="4" stopIfTrue="1">
      <formula>G325="Enable"</formula>
    </cfRule>
  </conditionalFormatting>
  <conditionalFormatting sqref="G351">
    <cfRule type="expression" dxfId="33" priority="5" stopIfTrue="1">
      <formula>G351="Enable"</formula>
    </cfRule>
  </conditionalFormatting>
  <conditionalFormatting sqref="G400">
    <cfRule type="expression" dxfId="32" priority="6" stopIfTrue="1">
      <formula>G400="Enable"</formula>
    </cfRule>
  </conditionalFormatting>
  <conditionalFormatting sqref="G412">
    <cfRule type="expression" dxfId="31" priority="7" stopIfTrue="1">
      <formula>G412="Enable"</formula>
    </cfRule>
  </conditionalFormatting>
  <conditionalFormatting sqref="G415">
    <cfRule type="expression" dxfId="30" priority="8" stopIfTrue="1">
      <formula>G415="Enable"</formula>
    </cfRule>
  </conditionalFormatting>
  <conditionalFormatting sqref="G419:G426">
    <cfRule type="expression" dxfId="29" priority="9" stopIfTrue="1">
      <formula>G419="Enable"</formula>
    </cfRule>
  </conditionalFormatting>
  <conditionalFormatting sqref="G437:G438">
    <cfRule type="expression" dxfId="28" priority="10" stopIfTrue="1">
      <formula>G437="Enable"</formula>
    </cfRule>
  </conditionalFormatting>
  <conditionalFormatting sqref="G451">
    <cfRule type="expression" dxfId="27" priority="11" stopIfTrue="1">
      <formula>G451="Enable"</formula>
    </cfRule>
  </conditionalFormatting>
  <conditionalFormatting sqref="G463">
    <cfRule type="expression" dxfId="26" priority="12" stopIfTrue="1">
      <formula>G463="Enable"</formula>
    </cfRule>
  </conditionalFormatting>
  <conditionalFormatting sqref="G466">
    <cfRule type="expression" dxfId="25" priority="13" stopIfTrue="1">
      <formula>G466="Enable"</formula>
    </cfRule>
  </conditionalFormatting>
  <conditionalFormatting sqref="G470:G477">
    <cfRule type="expression" dxfId="24" priority="14" stopIfTrue="1">
      <formula>G470="Enable"</formula>
    </cfRule>
  </conditionalFormatting>
  <conditionalFormatting sqref="G488:G489">
    <cfRule type="expression" dxfId="23" priority="15" stopIfTrue="1">
      <formula>G488="Enable"</formula>
    </cfRule>
  </conditionalFormatting>
  <conditionalFormatting sqref="G779">
    <cfRule type="expression" dxfId="22" priority="16" stopIfTrue="1">
      <formula>G779="Enable"</formula>
    </cfRule>
  </conditionalFormatting>
  <conditionalFormatting sqref="G493">
    <cfRule type="expression" dxfId="21" priority="17" stopIfTrue="1">
      <formula>G493="Enable"</formula>
    </cfRule>
  </conditionalFormatting>
  <conditionalFormatting sqref="G494">
    <cfRule type="expression" dxfId="20" priority="18" stopIfTrue="1">
      <formula>G494="Enable"</formula>
    </cfRule>
  </conditionalFormatting>
  <dataValidations count="56">
    <dataValidation type="list" allowBlank="1" showInputMessage="1" showErrorMessage="1" sqref="M391 O391 M442 O442">
      <formula1>"HSCK/2,HSCK/4,HSCK/8"</formula1>
    </dataValidation>
    <dataValidation type="list" allowBlank="1" showInputMessage="1" showErrorMessage="1" sqref="W30">
      <formula1>"Suspend,Normal"</formula1>
    </dataValidation>
    <dataValidation type="list" allowBlank="1" showInputMessage="1" showErrorMessage="1" sqref="I22 I24:I27 K22:K27 M22:M24 M26:M27 O22:O27 Q22:Q27 S22:S27 U22:U27 W22:W27">
      <formula1>"Mask Off, Mask On"</formula1>
    </dataValidation>
    <dataValidation type="list" allowBlank="1" showInputMessage="1" showErrorMessage="1" sqref="W29">
      <formula1>"Manual,DDC5V Det"</formula1>
    </dataValidation>
    <dataValidation type="list" allowBlank="1" showInputMessage="1" showErrorMessage="1" sqref="I314 K314 M314 O314 Q314 S314 U314 W314">
      <formula1>"Mute,Not Mute"</formula1>
    </dataValidation>
    <dataValidation type="list" allowBlank="1" showInputMessage="1" showErrorMessage="1" sqref="O32">
      <formula1>"HiZ,L-Fix,H-Fix,Normal"</formula1>
    </dataValidation>
    <dataValidation type="list" allowBlank="1" showInputMessage="1" showErrorMessage="1" sqref="O426 Q426 S426 U426 W426 O477 Q477 S477 U477 W477">
      <formula1>"0,1,2,3,4,5,6,7,8,9,10,11,12,13,14,15"</formula1>
    </dataValidation>
    <dataValidation type="list" allowBlank="1" showInputMessage="1" showErrorMessage="1" sqref="W415 W466">
      <formula1>"By Reg, By PORT"</formula1>
    </dataValidation>
    <dataValidation type="list" allowBlank="1" showInputMessage="1" showErrorMessage="1" sqref="S306">
      <formula1>"INIT_END,HotPlug"</formula1>
    </dataValidation>
    <dataValidation type="list" allowBlank="1" showInputMessage="1" showErrorMessage="1" sqref="W32">
      <formula1>"ON,OFF"</formula1>
    </dataValidation>
    <dataValidation type="list" allowBlank="1" showInputMessage="1" showErrorMessage="1" sqref="M409 M460">
      <formula1>"Forced to STOP, Keep Operation"</formula1>
    </dataValidation>
    <dataValidation type="list" allowBlank="1" showInputMessage="1" showErrorMessage="1" sqref="L325 L351 L779">
      <formula1>"DSITX1 MSK,DSITX1 Enb"</formula1>
    </dataValidation>
    <dataValidation type="list" allowBlank="1" showInputMessage="1" showErrorMessage="1" sqref="W315">
      <formula1>"Right Jstfd,Left Jstfd, I2S"</formula1>
    </dataValidation>
    <dataValidation type="list" allowBlank="1" showInputMessage="1" showErrorMessage="1" sqref="W307">
      <formula1>"L Out,H Out"</formula1>
    </dataValidation>
    <dataValidation type="list" allowBlank="1" showInputMessage="1" showErrorMessage="1" sqref="W33">
      <formula1>"PDOWN,Normal"</formula1>
    </dataValidation>
    <dataValidation type="list" allowBlank="1" showInputMessage="1" showErrorMessage="1" sqref="W41">
      <formula1>"EEPROM,RAM+DDC2B,RAM+E-DDC"</formula1>
    </dataValidation>
    <dataValidation type="list" allowBlank="1" showInputMessage="1" showErrorMessage="1" sqref="P399 P450">
      <formula1>"DSILPTX Int Enb,DSILPTX Int Dis"</formula1>
    </dataValidation>
    <dataValidation type="list" allowBlank="1" showInputMessage="1" showErrorMessage="1" sqref="M302">
      <formula1>"AutoRes On,AutoRes Off"</formula1>
    </dataValidation>
    <dataValidation type="list" allowBlank="1" showInputMessage="1" showErrorMessage="1" sqref="W318:W323">
      <formula1>"Normal Aud,HBR Aud,DSD Aud"</formula1>
    </dataValidation>
    <dataValidation type="list" allowBlank="1" showInputMessage="1" showErrorMessage="1" sqref="O302">
      <formula1>"57clk,58clk"</formula1>
    </dataValidation>
    <dataValidation type="list" allowBlank="1" showInputMessage="1" showErrorMessage="1" sqref="Q399 Q450">
      <formula1>"DSIrTrg Int Enb,DSIrTrg Int Dis"</formula1>
    </dataValidation>
    <dataValidation type="list" allowBlank="1" showInputMessage="1" showErrorMessage="1" sqref="U325 U351 U779">
      <formula1>"CEC-RX MSK, CEC-RX Enb"</formula1>
    </dataValidation>
    <dataValidation type="list" allowBlank="1" showInputMessage="1" showErrorMessage="1" sqref="S302">
      <formula1>"No, AutoCLR"</formula1>
    </dataValidation>
    <dataValidation type="list" allowBlank="1" showInputMessage="1" showErrorMessage="1" sqref="W306">
      <formula1>"0ms,50ms,100ms,200ms"</formula1>
    </dataValidation>
    <dataValidation type="list" allowBlank="1" showInputMessage="1" showErrorMessage="1" sqref="O307">
      <formula1>"manual, Auto"</formula1>
    </dataValidation>
    <dataValidation type="list" allowBlank="1" showInputMessage="1" showErrorMessage="1" sqref="O309 W309">
      <formula1>"OFF,ON"</formula1>
    </dataValidation>
    <dataValidation type="list" allowBlank="1" showInputMessage="1" showErrorMessage="1" sqref="I310 K310 M310 O310 Q310 S310:S311 U310:U311 W310:W311">
      <formula1>"Set,Not Set"</formula1>
    </dataValidation>
    <dataValidation type="list" allowBlank="1" showInputMessage="1" showErrorMessage="1" sqref="Q312">
      <formula1>"Not Clear, Clear"</formula1>
    </dataValidation>
    <dataValidation type="list" allowBlank="1" showInputMessage="1" showErrorMessage="1" sqref="S412 U412 W412 O419 I423 K423 M423 O423 W423 J424:O424 T424 M425 O425 W425 S463 U463 W463 O470 I474 K474 M474 O474 W474 J475:O475 T475 M476 O476 W476 Q419:Q420 Q422:Q424 Q470:Q471 Q473:Q475 S419:S420 S423:S424 S470:S471 S474:S475 U419:U420 U422:U423 U470:U471 U473:U474 W419:W420 W470:W471">
      <formula1>"Mask,No Mask"</formula1>
    </dataValidation>
    <dataValidation type="list" allowBlank="1" showInputMessage="1" showErrorMessage="1" sqref="S312">
      <formula1>"Not Issue, Issue"</formula1>
    </dataValidation>
    <dataValidation type="list" allowBlank="1" showInputMessage="1" showErrorMessage="1" sqref="O315">
      <formula1>"16b_8bDscd,16b_8+1Dscd,18b_6bDscd,18b_6+1Dscd,20b_4bDscd,20b_4+1Dscd,24b,Mute"</formula1>
    </dataValidation>
    <dataValidation type="list" allowBlank="1" showInputMessage="1" showErrorMessage="1" sqref="G325 G351 G400 O409 U410 W410 G412 G415 G451 O460 U461 W461 G463 G466 G779 G22:G27 G419:G426 G437:G438 G470:G477 G488:G489 G493:G494 Q409:Q410 Q460:Q461 S409:S410 S460:S461">
      <formula1>"Enable,Disable"</formula1>
    </dataValidation>
    <dataValidation type="list" allowBlank="1" showInputMessage="1" showErrorMessage="1" sqref="M325 M351 M779">
      <formula1>"AMUTE MSK,AMUTE Enb"</formula1>
    </dataValidation>
    <dataValidation type="list" allowBlank="1" showInputMessage="1" showErrorMessage="1" sqref="N325 N351 N779">
      <formula1>"HDMI MSK,HDMI Enb"</formula1>
    </dataValidation>
    <dataValidation type="list" allowBlank="1" showInputMessage="1" showErrorMessage="1" sqref="O325 O351 O779">
      <formula1>"DSITX0 MSK,DSITX0 Enb"</formula1>
    </dataValidation>
    <dataValidation type="list" allowBlank="1" showInputMessage="1" showErrorMessage="1" sqref="W391 W442">
      <formula1>"Disable,Enable"</formula1>
    </dataValidation>
    <dataValidation type="list" allowBlank="1" showInputMessage="1" showErrorMessage="1" sqref="V325 V351 V779">
      <formula1>"IR_Er MSK, IR_Er Enb"</formula1>
    </dataValidation>
    <dataValidation type="list" allowBlank="1" showInputMessage="1" showErrorMessage="1" sqref="R325 R351 R779">
      <formula1>"SYS MSK,SYS Enb"</formula1>
    </dataValidation>
    <dataValidation type="list" allowBlank="1" showInputMessage="1" showErrorMessage="1" sqref="S325 S351 S779">
      <formula1>"CEC-Er MSK, CEC-Er Enb"</formula1>
    </dataValidation>
    <dataValidation type="list" allowBlank="1" showInputMessage="1" showErrorMessage="1" sqref="T325 T351 T779">
      <formula1>"CEC-TX MSK, CEC-TX Enb"</formula1>
    </dataValidation>
    <dataValidation type="list" allowBlank="1" showInputMessage="1" showErrorMessage="1" sqref="W325 W351 W779">
      <formula1>"IR_Dat MSK, IR_Dat Enb"</formula1>
    </dataValidation>
    <dataValidation type="list" allowBlank="1" showInputMessage="1" showErrorMessage="1" sqref="B328 B347 B354 B373 B1042">
      <formula1>"END,CONT"</formula1>
    </dataValidation>
    <dataValidation type="list" allowBlank="1" showInputMessage="1" showErrorMessage="1" sqref="K387 O387 U415 O438 Q438 S438 U438 W438 U466 O489 Q489 S489 U489 W489">
      <formula1>"0,1,2,3"</formula1>
    </dataValidation>
    <dataValidation type="list" allowBlank="1" showInputMessage="1" showErrorMessage="1" sqref="L399 L450">
      <formula1>"INIT Int Enb,INIT Int Dis"</formula1>
    </dataValidation>
    <dataValidation type="list" allowBlank="1" showInputMessage="1" showErrorMessage="1" sqref="M399 M450">
      <formula1>"ApErr Int Enb, ApErrInt Dis"</formula1>
    </dataValidation>
    <dataValidation type="list" allowBlank="1" showInputMessage="1" showErrorMessage="1" sqref="S399 S450">
      <formula1>"PR_TO Enb,PR_TO Dis"</formula1>
    </dataValidation>
    <dataValidation type="list" allowBlank="1" showInputMessage="1" showErrorMessage="1" sqref="N399 N450">
      <formula1>"DSIPrto Int Enb,DSIPrto Inte Dis"</formula1>
    </dataValidation>
    <dataValidation type="list" allowBlank="1" showInputMessage="1" showErrorMessage="1" sqref="O399 O450">
      <formula1>"DSIrErr Int Enb,DSIrErr Int Dis"</formula1>
    </dataValidation>
    <dataValidation type="list" allowBlank="1" showInputMessage="1" showErrorMessage="1" sqref="R399 R450">
      <formula1>"DSIrStat Int Enb,DSIrStat Int Dis"</formula1>
    </dataValidation>
    <dataValidation type="list" allowBlank="1" showInputMessage="1" showErrorMessage="1" sqref="W400 W451">
      <formula1>"Register,Input"</formula1>
    </dataValidation>
    <dataValidation type="list" allowBlank="1" showInputMessage="1" showErrorMessage="1" sqref="T399 T450">
      <formula1>"HSTX_TO Enb,HSTX_TO Dis"</formula1>
    </dataValidation>
    <dataValidation type="list" allowBlank="1" showInputMessage="1" showErrorMessage="1" sqref="U399 U450">
      <formula1>"IND_TO Enb,IND_TO Dis"</formula1>
    </dataValidation>
    <dataValidation type="list" allowBlank="1" showInputMessage="1" showErrorMessage="1" sqref="W399 W450">
      <formula1>"VHDELAY PRT,VHDELAY Reg"</formula1>
    </dataValidation>
    <dataValidation type="list" allowBlank="1" showInputMessage="1" showErrorMessage="1" sqref="U400 U451">
      <formula1>"VFP, Specified Line, Immediate"</formula1>
    </dataValidation>
    <dataValidation type="list" allowBlank="1" showInputMessage="1" showErrorMessage="1" sqref="O437 Q437 S437 U437 W437 O488 Q488 S488 U488 W488">
      <formula1>"No Add,25% Add,50% Add"</formula1>
    </dataValidation>
    <dataValidation type="list" allowBlank="1" showInputMessage="1" showErrorMessage="1" sqref="O493:O494 O784:O785">
      <formula1>"LP,HS"</formula1>
    </dataValidation>
  </dataValidations>
  <pageMargins left="0.75" right="0.75" top="1" bottom="1" header="0.5" footer="0.5"/>
  <pageSetup paperSize="9"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7" tint="-0.249977111117893"/>
  </sheetPr>
  <dimension ref="A1:BS430"/>
  <sheetViews>
    <sheetView showGridLines="0" zoomScale="75" zoomScaleNormal="75" workbookViewId="0">
      <selection activeCell="L380" sqref="L380"/>
    </sheetView>
  </sheetViews>
  <sheetFormatPr defaultColWidth="9" defaultRowHeight="14.25" outlineLevelRow="1"/>
  <cols>
    <col min="1" max="1" width="3.375" style="65" customWidth="1"/>
    <col min="2" max="2" width="7.875" style="65" customWidth="1"/>
    <col min="3" max="3" width="29" style="65" customWidth="1"/>
    <col min="4" max="4" width="11" style="65" customWidth="1"/>
    <col min="5" max="5" width="12.625" style="66" customWidth="1"/>
    <col min="6" max="6" width="41.25" style="65" customWidth="1"/>
    <col min="7" max="7" width="7.25" style="65" customWidth="1"/>
    <col min="8" max="8" width="16.5" style="65" customWidth="1"/>
    <col min="9" max="9" width="13" style="65" customWidth="1"/>
    <col min="10" max="10" width="15.75" style="65" customWidth="1"/>
    <col min="11" max="11" width="12.625" style="65" customWidth="1"/>
    <col min="12" max="12" width="15.75" style="65" customWidth="1"/>
    <col min="13" max="13" width="14.5" style="65" customWidth="1"/>
    <col min="14" max="14" width="16.125" style="65" customWidth="1"/>
    <col min="15" max="15" width="12.625" style="65" customWidth="1"/>
    <col min="16" max="16" width="15.5" style="65" customWidth="1"/>
    <col min="17" max="17" width="12.625" style="65" customWidth="1"/>
    <col min="18" max="18" width="14.375" style="65" customWidth="1"/>
    <col min="19" max="19" width="12.625" style="65" customWidth="1"/>
    <col min="20" max="20" width="14" style="65" customWidth="1"/>
    <col min="21" max="21" width="12.625" style="65" customWidth="1"/>
    <col min="22" max="22" width="14" style="65" customWidth="1"/>
    <col min="23" max="23" width="13.75" style="65" customWidth="1"/>
    <col min="24" max="24" width="7.875" style="64" hidden="1" customWidth="1"/>
    <col min="25" max="31" width="4" style="64" hidden="1" customWidth="1"/>
    <col min="32" max="32" width="5" style="64" hidden="1" customWidth="1"/>
    <col min="33" max="38" width="4" style="64" hidden="1" customWidth="1"/>
    <col min="39" max="39" width="5" style="64" hidden="1" customWidth="1"/>
    <col min="40" max="40" width="4" style="64" hidden="1" customWidth="1"/>
    <col min="41" max="41" width="7.125" style="64" hidden="1" customWidth="1"/>
    <col min="42" max="42" width="2.875" style="64" hidden="1" customWidth="1"/>
    <col min="43" max="43" width="3" style="64" hidden="1" customWidth="1"/>
    <col min="44" max="44" width="3.625" style="64" hidden="1" customWidth="1"/>
    <col min="45" max="45" width="3.375" style="64" hidden="1" customWidth="1"/>
    <col min="46" max="46" width="3.5" style="64" hidden="1" customWidth="1"/>
    <col min="47" max="47" width="3" style="64" hidden="1" customWidth="1"/>
    <col min="48" max="48" width="3.5" style="64" hidden="1" customWidth="1"/>
    <col min="49" max="49" width="3" style="64" hidden="1" customWidth="1"/>
    <col min="50" max="50" width="3.125" style="64" hidden="1" customWidth="1"/>
    <col min="51" max="51" width="2.875" style="64" hidden="1" customWidth="1"/>
    <col min="52" max="52" width="3.5" style="64" hidden="1" customWidth="1"/>
    <col min="53" max="53" width="3" style="64" hidden="1" customWidth="1"/>
    <col min="54" max="54" width="3.375" style="64" hidden="1" customWidth="1"/>
    <col min="55" max="55" width="3.125" style="64" hidden="1" customWidth="1"/>
    <col min="56" max="56" width="3.875" style="64" hidden="1" customWidth="1"/>
    <col min="57" max="57" width="11.375" style="64" hidden="1" customWidth="1"/>
    <col min="58" max="16384" width="9" style="65"/>
  </cols>
  <sheetData>
    <row r="1" spans="1:57" ht="18">
      <c r="B1" s="67" t="s">
        <v>2216</v>
      </c>
      <c r="C1" s="67"/>
      <c r="F1" s="68"/>
      <c r="G1" s="69" t="s">
        <v>17</v>
      </c>
      <c r="H1" s="70" t="s">
        <v>696</v>
      </c>
      <c r="I1" s="42"/>
      <c r="J1" s="108"/>
      <c r="K1"/>
      <c r="L1" s="1"/>
    </row>
    <row r="2" spans="1:57" ht="18">
      <c r="B2" s="65" t="s">
        <v>1611</v>
      </c>
      <c r="H2" s="68" t="s">
        <v>695</v>
      </c>
      <c r="I2"/>
      <c r="J2"/>
      <c r="K2"/>
      <c r="L2"/>
      <c r="M2"/>
      <c r="N2"/>
      <c r="O2"/>
      <c r="P2"/>
    </row>
    <row r="3" spans="1:57">
      <c r="B3" s="65" t="s">
        <v>1612</v>
      </c>
      <c r="C3" s="71"/>
      <c r="D3" s="72"/>
      <c r="E3" s="73"/>
      <c r="F3" s="72"/>
      <c r="G3" s="72"/>
      <c r="H3" s="72"/>
      <c r="I3"/>
      <c r="J3"/>
      <c r="K3"/>
      <c r="L3"/>
      <c r="M3"/>
      <c r="N3"/>
      <c r="O3"/>
      <c r="P3"/>
      <c r="Q3"/>
      <c r="R3"/>
      <c r="S3"/>
      <c r="T3"/>
      <c r="U3"/>
      <c r="V3"/>
      <c r="W3"/>
      <c r="X3" s="131"/>
      <c r="AH3" s="131"/>
    </row>
    <row r="4" spans="1:57" ht="15">
      <c r="B4" s="74"/>
      <c r="C4" s="71"/>
      <c r="D4" s="72"/>
      <c r="E4" s="73"/>
      <c r="F4" s="72"/>
      <c r="G4" s="72"/>
      <c r="H4" s="75"/>
      <c r="I4"/>
      <c r="J4"/>
      <c r="K4"/>
      <c r="L4"/>
      <c r="M4"/>
      <c r="N4"/>
      <c r="O4"/>
      <c r="P4"/>
      <c r="Q4"/>
      <c r="R4"/>
      <c r="S4"/>
      <c r="T4"/>
      <c r="U4"/>
      <c r="V4"/>
      <c r="W4"/>
      <c r="X4" s="131"/>
      <c r="AH4" s="131"/>
    </row>
    <row r="5" spans="1:57" s="64" customFormat="1" ht="18.75">
      <c r="A5" s="65"/>
      <c r="B5" s="76" t="s">
        <v>2217</v>
      </c>
      <c r="C5" s="77"/>
      <c r="D5" s="77"/>
      <c r="E5" s="78"/>
      <c r="F5" s="79"/>
      <c r="G5" s="65"/>
      <c r="H5" s="65"/>
      <c r="I5"/>
      <c r="J5"/>
      <c r="K5"/>
      <c r="L5"/>
      <c r="M5"/>
      <c r="N5"/>
      <c r="O5"/>
      <c r="P5"/>
      <c r="Q5"/>
      <c r="R5"/>
      <c r="S5"/>
      <c r="T5"/>
      <c r="U5"/>
      <c r="V5"/>
      <c r="W5"/>
      <c r="X5" s="131"/>
      <c r="AH5" s="131"/>
    </row>
    <row r="6" spans="1:57" ht="25.5" customHeight="1">
      <c r="B6" s="168" t="s">
        <v>1032</v>
      </c>
      <c r="C6" s="169" t="s">
        <v>2218</v>
      </c>
      <c r="D6" s="170"/>
      <c r="E6" s="171"/>
      <c r="F6" s="172" t="s">
        <v>2219</v>
      </c>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row>
    <row r="7" spans="1:57" s="64" customFormat="1" ht="15">
      <c r="A7" s="65"/>
      <c r="B7" s="80" t="s">
        <v>1614</v>
      </c>
      <c r="C7" s="80" t="s">
        <v>1615</v>
      </c>
      <c r="D7" s="80" t="s">
        <v>1616</v>
      </c>
      <c r="E7" s="81" t="s">
        <v>1617</v>
      </c>
      <c r="F7" s="82" t="s">
        <v>1618</v>
      </c>
      <c r="G7" s="83"/>
      <c r="H7"/>
      <c r="I7"/>
      <c r="J7"/>
      <c r="K7"/>
      <c r="L7"/>
      <c r="M7"/>
      <c r="N7"/>
      <c r="O7"/>
      <c r="P7"/>
      <c r="Q7"/>
      <c r="R7"/>
      <c r="S7"/>
      <c r="T7"/>
      <c r="U7"/>
      <c r="V7"/>
      <c r="W7"/>
      <c r="X7" s="131"/>
      <c r="AH7" s="131"/>
    </row>
    <row r="8" spans="1:57" s="64" customFormat="1">
      <c r="A8" s="65"/>
      <c r="B8" s="84" t="s">
        <v>1032</v>
      </c>
      <c r="C8" s="85" t="s">
        <v>1621</v>
      </c>
      <c r="D8" s="85"/>
      <c r="E8" s="86"/>
      <c r="F8" s="87"/>
      <c r="G8"/>
      <c r="H8"/>
      <c r="I8"/>
      <c r="J8"/>
      <c r="K8"/>
      <c r="L8"/>
      <c r="M8"/>
      <c r="N8"/>
      <c r="O8"/>
      <c r="P8"/>
      <c r="Q8"/>
      <c r="R8"/>
      <c r="S8"/>
      <c r="T8"/>
      <c r="U8"/>
      <c r="V8"/>
      <c r="W8"/>
      <c r="X8" s="131"/>
      <c r="AH8" s="131"/>
    </row>
    <row r="9" spans="1:57" s="64" customFormat="1">
      <c r="A9" s="65"/>
      <c r="B9" s="88" t="s">
        <v>1622</v>
      </c>
      <c r="C9" s="89" t="s">
        <v>1623</v>
      </c>
      <c r="D9" s="510" t="s">
        <v>954</v>
      </c>
      <c r="E9" s="91" t="str">
        <f>DEC2HEX(Main_Parameters!$D$119-3,4)</f>
        <v>0C34</v>
      </c>
      <c r="F9" s="92"/>
      <c r="G9"/>
      <c r="H9"/>
      <c r="I9"/>
      <c r="J9"/>
      <c r="K9"/>
      <c r="L9"/>
      <c r="M9"/>
      <c r="N9"/>
      <c r="O9"/>
      <c r="P9"/>
      <c r="Q9"/>
      <c r="R9"/>
      <c r="S9"/>
      <c r="T9"/>
      <c r="U9"/>
      <c r="V9"/>
      <c r="W9"/>
      <c r="X9" s="131"/>
      <c r="AH9" s="131"/>
    </row>
    <row r="10" spans="1:57" s="64" customFormat="1">
      <c r="A10" s="65"/>
      <c r="B10" s="88" t="s">
        <v>1622</v>
      </c>
      <c r="C10" s="89" t="s">
        <v>1629</v>
      </c>
      <c r="D10" s="510" t="s">
        <v>955</v>
      </c>
      <c r="E10" s="91" t="str">
        <f>DEC2HEX(Main_Parameters!$D$120+2^3,4)</f>
        <v>0008</v>
      </c>
      <c r="F10" s="92"/>
      <c r="G10"/>
      <c r="H10"/>
      <c r="I10"/>
      <c r="J10"/>
      <c r="K10"/>
      <c r="L10"/>
      <c r="M10"/>
      <c r="N10"/>
      <c r="O10"/>
      <c r="P10"/>
      <c r="Q10"/>
      <c r="R10"/>
      <c r="S10"/>
      <c r="T10"/>
      <c r="U10"/>
      <c r="V10"/>
      <c r="W10"/>
      <c r="X10" s="131"/>
      <c r="AH10" s="131"/>
    </row>
    <row r="11" spans="1:57" s="64" customFormat="1">
      <c r="A11" s="65"/>
      <c r="B11" s="93" t="s">
        <v>1622</v>
      </c>
      <c r="C11" s="94" t="s">
        <v>1624</v>
      </c>
      <c r="D11" s="513" t="s">
        <v>1625</v>
      </c>
      <c r="E11" s="511" t="s">
        <v>1906</v>
      </c>
      <c r="F11" s="97" t="s">
        <v>1907</v>
      </c>
      <c r="G11"/>
      <c r="H11"/>
      <c r="I11"/>
      <c r="J11"/>
      <c r="K11"/>
      <c r="L11"/>
      <c r="M11"/>
      <c r="N11"/>
      <c r="O11"/>
      <c r="P11"/>
      <c r="Q11"/>
      <c r="R11"/>
      <c r="S11"/>
      <c r="T11"/>
      <c r="U11"/>
      <c r="V11"/>
      <c r="W11"/>
      <c r="X11" s="131"/>
      <c r="AH11" s="131"/>
    </row>
    <row r="12" spans="1:57" s="64" customFormat="1">
      <c r="A12" s="65"/>
      <c r="B12" s="93" t="s">
        <v>1622</v>
      </c>
      <c r="C12" s="94" t="s">
        <v>1624</v>
      </c>
      <c r="D12" s="513" t="s">
        <v>1625</v>
      </c>
      <c r="E12" s="511" t="s">
        <v>1870</v>
      </c>
      <c r="F12" s="97" t="s">
        <v>1908</v>
      </c>
      <c r="G12"/>
      <c r="H12"/>
      <c r="I12"/>
      <c r="J12"/>
      <c r="K12"/>
      <c r="L12"/>
      <c r="M12"/>
      <c r="N12"/>
      <c r="O12"/>
      <c r="P12"/>
      <c r="Q12"/>
      <c r="R12"/>
      <c r="S12"/>
      <c r="T12"/>
      <c r="U12"/>
      <c r="V12"/>
      <c r="W12"/>
      <c r="X12" s="131"/>
      <c r="AH12" s="131"/>
    </row>
    <row r="13" spans="1:57" s="64" customFormat="1">
      <c r="A13" s="65"/>
      <c r="B13" s="93" t="s">
        <v>1622</v>
      </c>
      <c r="C13" s="89" t="s">
        <v>1629</v>
      </c>
      <c r="D13" s="510" t="s">
        <v>955</v>
      </c>
      <c r="E13" s="512" t="str">
        <f>Main_Parameters!$C$121</f>
        <v>0000</v>
      </c>
      <c r="F13" s="97"/>
      <c r="G13"/>
      <c r="H13"/>
      <c r="I13" s="109"/>
      <c r="J13" s="65"/>
      <c r="K13" s="65"/>
      <c r="L13" s="65"/>
      <c r="M13" s="65"/>
      <c r="N13" s="65"/>
      <c r="O13" s="65"/>
      <c r="P13" s="65"/>
      <c r="Q13" s="65"/>
      <c r="R13" s="65"/>
      <c r="S13" s="65"/>
      <c r="T13" s="65"/>
      <c r="U13" s="65"/>
      <c r="V13" s="65"/>
      <c r="W13" s="65"/>
    </row>
    <row r="14" spans="1:57" s="64" customFormat="1">
      <c r="A14" s="65"/>
      <c r="B14" s="88" t="s">
        <v>1622</v>
      </c>
      <c r="C14" s="98" t="s">
        <v>2220</v>
      </c>
      <c r="D14" s="513" t="s">
        <v>1007</v>
      </c>
      <c r="E14" s="511" t="s">
        <v>2221</v>
      </c>
      <c r="F14" s="92"/>
      <c r="G14"/>
      <c r="H14"/>
      <c r="I14"/>
      <c r="J14"/>
      <c r="K14"/>
      <c r="L14"/>
      <c r="M14"/>
      <c r="N14"/>
      <c r="O14"/>
      <c r="P14"/>
      <c r="Q14"/>
      <c r="R14"/>
      <c r="S14"/>
      <c r="T14"/>
      <c r="U14"/>
      <c r="V14"/>
      <c r="W14"/>
    </row>
    <row r="15" spans="1:57" s="64" customFormat="1">
      <c r="A15" s="65"/>
      <c r="B15" s="84" t="s">
        <v>1032</v>
      </c>
      <c r="C15" s="99" t="s">
        <v>2095</v>
      </c>
      <c r="D15" s="84"/>
      <c r="E15" s="100"/>
      <c r="F15" s="87"/>
      <c r="G15"/>
      <c r="H15"/>
      <c r="I15"/>
      <c r="J15"/>
      <c r="K15"/>
      <c r="L15"/>
      <c r="M15"/>
      <c r="N15"/>
      <c r="O15"/>
      <c r="P15"/>
      <c r="Q15"/>
      <c r="R15"/>
      <c r="S15"/>
      <c r="T15"/>
      <c r="U15"/>
      <c r="V15"/>
      <c r="W15"/>
      <c r="X15" s="131"/>
      <c r="AH15" s="131"/>
    </row>
    <row r="16" spans="1:57" s="64" customFormat="1">
      <c r="A16" s="65"/>
      <c r="B16" s="101" t="str">
        <f>IF(Main_Parameters!$C$43="TX0 Enable","REMend","WR32")</f>
        <v>WR32</v>
      </c>
      <c r="C16" s="102" t="s">
        <v>1919</v>
      </c>
      <c r="D16" s="515" t="s">
        <v>2096</v>
      </c>
      <c r="E16" s="511" t="s">
        <v>1921</v>
      </c>
      <c r="F16" s="92"/>
      <c r="G16"/>
      <c r="H16"/>
      <c r="I16"/>
      <c r="J16"/>
      <c r="K16"/>
      <c r="L16"/>
      <c r="M16"/>
      <c r="N16"/>
      <c r="O16"/>
      <c r="P16"/>
      <c r="Q16"/>
      <c r="R16"/>
      <c r="S16"/>
      <c r="T16"/>
      <c r="U16"/>
      <c r="V16"/>
      <c r="W16"/>
      <c r="X16" s="131"/>
      <c r="Y16" s="64">
        <v>31</v>
      </c>
      <c r="Z16" s="64">
        <v>30</v>
      </c>
      <c r="AA16" s="64">
        <v>29</v>
      </c>
      <c r="AB16" s="64">
        <v>28</v>
      </c>
      <c r="AC16" s="64">
        <v>27</v>
      </c>
      <c r="AD16" s="64">
        <v>26</v>
      </c>
      <c r="AE16" s="64">
        <v>25</v>
      </c>
      <c r="AF16" s="64">
        <v>24</v>
      </c>
      <c r="AG16" s="64">
        <v>23</v>
      </c>
      <c r="AH16" s="131">
        <v>22</v>
      </c>
      <c r="AI16" s="64">
        <v>21</v>
      </c>
      <c r="AJ16" s="64">
        <v>20</v>
      </c>
      <c r="AK16" s="64">
        <v>19</v>
      </c>
      <c r="AL16" s="64">
        <v>18</v>
      </c>
      <c r="AM16" s="64">
        <v>17</v>
      </c>
      <c r="AN16" s="64">
        <v>16</v>
      </c>
      <c r="AO16" s="64">
        <v>15</v>
      </c>
      <c r="AP16" s="64">
        <v>14</v>
      </c>
      <c r="AQ16" s="64">
        <v>13</v>
      </c>
      <c r="AR16" s="64">
        <v>12</v>
      </c>
      <c r="AS16" s="64">
        <v>11</v>
      </c>
      <c r="AT16" s="64">
        <v>10</v>
      </c>
      <c r="AU16" s="64">
        <v>9</v>
      </c>
      <c r="AV16" s="64">
        <v>8</v>
      </c>
      <c r="AW16" s="64">
        <v>7</v>
      </c>
      <c r="AX16" s="64">
        <v>6</v>
      </c>
      <c r="AY16" s="64">
        <v>5</v>
      </c>
      <c r="AZ16" s="64">
        <v>4</v>
      </c>
      <c r="BA16" s="64">
        <v>3</v>
      </c>
      <c r="BB16" s="64">
        <v>2</v>
      </c>
      <c r="BC16" s="64">
        <v>1</v>
      </c>
      <c r="BD16" s="64">
        <v>0</v>
      </c>
    </row>
    <row r="17" spans="1:57" s="64" customFormat="1">
      <c r="A17" s="65"/>
      <c r="B17" s="101" t="str">
        <f>IF(Main_Parameters!$C$43="TX0 Enable","REMend","WR32")</f>
        <v>WR32</v>
      </c>
      <c r="C17" s="102" t="s">
        <v>1922</v>
      </c>
      <c r="D17" s="515" t="s">
        <v>2097</v>
      </c>
      <c r="E17" s="91" t="str">
        <f>DEC2HEX(Y17*2^31+Z17*2^30+AA17*2^29+AB17*2^28+AC17*2^27+AD17*2^26+AE17*2^25+AF17*2^24+AG17*2^23+AH17*2^22+AI17*2^21+AJ17*2^20+AK17*2^19+AL17*2^18+AM17*2^17+AN17*2^16+AO17*2^15+AP17*2^14+AQ17*2^13+AR17*2^12+AS17*2^11+AT17*2^10+AU17*2^9+AV17*2^8+AW17*2^7+AX17*2^6+AY17*2^5+AZ17*2^4+BA17*2^3+BB17*2^2+BC17*2^1+BD17*2^0,8)</f>
        <v>00000001</v>
      </c>
      <c r="F17" s="92"/>
      <c r="G17" s="20"/>
      <c r="H17" s="103"/>
      <c r="I17" s="110"/>
      <c r="J17" s="110"/>
      <c r="K17" s="111"/>
      <c r="L17" s="112" t="s">
        <v>1924</v>
      </c>
      <c r="M17" s="113" t="s">
        <v>1925</v>
      </c>
      <c r="N17" s="106" t="s">
        <v>1926</v>
      </c>
      <c r="O17" s="113" t="s">
        <v>1925</v>
      </c>
      <c r="P17" s="114"/>
      <c r="Q17" s="114"/>
      <c r="R17" s="114"/>
      <c r="S17" s="114"/>
      <c r="T17" s="114"/>
      <c r="U17" s="132"/>
      <c r="V17" s="112" t="s">
        <v>1927</v>
      </c>
      <c r="W17" s="104" t="s">
        <v>721</v>
      </c>
      <c r="X17" s="63"/>
      <c r="Y17" s="47">
        <v>0</v>
      </c>
      <c r="Z17" s="47">
        <v>0</v>
      </c>
      <c r="AA17" s="47">
        <v>0</v>
      </c>
      <c r="AB17" s="47">
        <v>0</v>
      </c>
      <c r="AC17" s="47">
        <v>0</v>
      </c>
      <c r="AD17" s="47">
        <v>0</v>
      </c>
      <c r="AE17" s="47">
        <v>0</v>
      </c>
      <c r="AF17" s="47">
        <v>0</v>
      </c>
      <c r="AG17" s="47">
        <v>0</v>
      </c>
      <c r="AH17" s="63">
        <v>0</v>
      </c>
      <c r="AI17" s="47">
        <v>0</v>
      </c>
      <c r="AJ17" s="47">
        <v>0</v>
      </c>
      <c r="AK17" s="47">
        <v>0</v>
      </c>
      <c r="AL17" s="47">
        <v>0</v>
      </c>
      <c r="AM17" s="47">
        <v>0</v>
      </c>
      <c r="AN17" s="47">
        <v>0</v>
      </c>
      <c r="AO17" s="47">
        <v>0</v>
      </c>
      <c r="AP17" s="47">
        <v>0</v>
      </c>
      <c r="AQ17" s="47">
        <v>0</v>
      </c>
      <c r="AR17" s="47">
        <v>0</v>
      </c>
      <c r="AS17" s="47">
        <v>0</v>
      </c>
      <c r="AT17" s="47">
        <f>IF(M17="HSCK/8",0,IF(M17="HSCK/4",1,2))</f>
        <v>0</v>
      </c>
      <c r="AU17" s="47">
        <v>0</v>
      </c>
      <c r="AV17" s="47">
        <f>IF(O17="HSCK/8",0,IF(O17="HSCK/4",1,2))</f>
        <v>0</v>
      </c>
      <c r="AW17" s="47">
        <v>0</v>
      </c>
      <c r="AX17" s="47">
        <v>0</v>
      </c>
      <c r="AY17" s="47">
        <v>0</v>
      </c>
      <c r="AZ17" s="47">
        <v>0</v>
      </c>
      <c r="BA17" s="47">
        <v>0</v>
      </c>
      <c r="BB17" s="47">
        <v>0</v>
      </c>
      <c r="BC17" s="47">
        <v>0</v>
      </c>
      <c r="BD17" s="47">
        <f>IF(W17="Enable",1,0)</f>
        <v>1</v>
      </c>
    </row>
    <row r="18" spans="1:57" s="64" customFormat="1">
      <c r="A18" s="65"/>
      <c r="B18" s="101" t="str">
        <f>IF(Main_Parameters!$C$43="TX0 Enable","REMend","WR32")</f>
        <v>WR32</v>
      </c>
      <c r="C18" s="89" t="s">
        <v>1928</v>
      </c>
      <c r="D18" s="513" t="s">
        <v>2098</v>
      </c>
      <c r="E18" s="511" t="s">
        <v>1921</v>
      </c>
      <c r="F18" s="97"/>
      <c r="G18"/>
      <c r="H18"/>
      <c r="I18"/>
      <c r="J18"/>
      <c r="K18"/>
      <c r="L18"/>
      <c r="M18"/>
      <c r="N18"/>
      <c r="O18"/>
      <c r="P18"/>
      <c r="Q18"/>
      <c r="R18"/>
      <c r="S18"/>
      <c r="T18"/>
      <c r="U18"/>
      <c r="V18"/>
      <c r="W18"/>
    </row>
    <row r="19" spans="1:57">
      <c r="B19" s="101" t="str">
        <f>IF(Main_Parameters!$C$43="TX0 Enable","REMend","WR32")</f>
        <v>WR32</v>
      </c>
      <c r="C19" s="102" t="s">
        <v>1930</v>
      </c>
      <c r="D19" s="515" t="s">
        <v>976</v>
      </c>
      <c r="E19" s="91" t="str">
        <f>Main_Parameters!$C$149</f>
        <v>000090CF</v>
      </c>
      <c r="F19" s="92" t="s">
        <v>2099</v>
      </c>
      <c r="G19"/>
      <c r="H19"/>
      <c r="I19"/>
      <c r="J19"/>
      <c r="K19"/>
      <c r="L19"/>
      <c r="M19"/>
      <c r="N19"/>
      <c r="O19"/>
      <c r="P19"/>
      <c r="Q19"/>
      <c r="R19"/>
      <c r="S19"/>
      <c r="T19"/>
      <c r="U19"/>
      <c r="V19"/>
      <c r="W19"/>
      <c r="X19" s="131"/>
      <c r="AH19" s="131"/>
    </row>
    <row r="20" spans="1:57">
      <c r="B20" s="101" t="str">
        <f>IF(Main_Parameters!$C$43="TX0 Enable","REMend","delay")</f>
        <v>delay</v>
      </c>
      <c r="C20" s="102"/>
      <c r="D20" s="96">
        <v>1000</v>
      </c>
      <c r="E20" s="96"/>
      <c r="F20" s="92"/>
      <c r="G20"/>
      <c r="H20"/>
      <c r="I20"/>
      <c r="J20"/>
      <c r="K20"/>
      <c r="L20"/>
      <c r="M20"/>
      <c r="N20"/>
      <c r="O20"/>
      <c r="P20"/>
      <c r="Q20"/>
      <c r="R20"/>
      <c r="S20"/>
      <c r="T20"/>
      <c r="U20"/>
      <c r="V20"/>
      <c r="W20"/>
      <c r="X20" s="131"/>
      <c r="AH20" s="131"/>
    </row>
    <row r="21" spans="1:57">
      <c r="B21" s="101" t="str">
        <f>IF(Main_Parameters!$C$43="TX0 Enable","REMend","WR32")</f>
        <v>WR32</v>
      </c>
      <c r="C21" s="89" t="s">
        <v>1928</v>
      </c>
      <c r="D21" s="513" t="s">
        <v>2098</v>
      </c>
      <c r="E21" s="511" t="s">
        <v>1932</v>
      </c>
      <c r="F21" s="97"/>
      <c r="G21"/>
      <c r="H21"/>
      <c r="I21"/>
      <c r="J21"/>
      <c r="K21"/>
      <c r="L21"/>
      <c r="M21"/>
      <c r="N21"/>
      <c r="O21"/>
      <c r="P21"/>
      <c r="Q21"/>
      <c r="R21"/>
      <c r="S21"/>
      <c r="T21"/>
      <c r="U21"/>
      <c r="V21"/>
      <c r="W21"/>
    </row>
    <row r="22" spans="1:57">
      <c r="B22" s="101" t="str">
        <f>IF(Main_Parameters!$C$43="TX0 Enable","REMend","WR32")</f>
        <v>WR32</v>
      </c>
      <c r="C22" s="102" t="s">
        <v>1933</v>
      </c>
      <c r="D22" s="515" t="s">
        <v>978</v>
      </c>
      <c r="E22" s="91" t="str">
        <f>Main_Parameters!$C$152</f>
        <v>00000014</v>
      </c>
      <c r="F22" s="92"/>
      <c r="G22"/>
      <c r="H22"/>
      <c r="I22"/>
      <c r="J22"/>
      <c r="K22"/>
      <c r="L22"/>
      <c r="M22"/>
      <c r="N22"/>
      <c r="O22"/>
      <c r="P22"/>
      <c r="Q22"/>
      <c r="R22"/>
      <c r="S22"/>
      <c r="T22"/>
      <c r="U22"/>
      <c r="V22"/>
      <c r="W22"/>
      <c r="X22" s="131"/>
      <c r="AH22" s="131"/>
    </row>
    <row r="23" spans="1:57">
      <c r="B23" s="101" t="str">
        <f>IF(Main_Parameters!$C$43="TX0 Enable","REMend","WR32")</f>
        <v>WR32</v>
      </c>
      <c r="C23" s="102" t="s">
        <v>1934</v>
      </c>
      <c r="D23" s="515" t="s">
        <v>979</v>
      </c>
      <c r="E23" s="91" t="str">
        <f>Main_Parameters!$C$153</f>
        <v>00001770</v>
      </c>
      <c r="F23" s="92"/>
      <c r="G23"/>
      <c r="H23"/>
      <c r="I23"/>
      <c r="J23"/>
      <c r="K23"/>
      <c r="L23"/>
      <c r="M23"/>
      <c r="N23"/>
      <c r="O23"/>
      <c r="P23"/>
      <c r="Q23"/>
      <c r="R23"/>
      <c r="S23"/>
      <c r="T23"/>
      <c r="U23"/>
      <c r="V23"/>
      <c r="W23"/>
      <c r="X23" s="131"/>
      <c r="AH23" s="131"/>
    </row>
    <row r="24" spans="1:57" ht="15">
      <c r="B24" s="101" t="str">
        <f>IF(Main_Parameters!$C$43="TX0 Enable","REMend","WR32")</f>
        <v>WR32</v>
      </c>
      <c r="C24" s="102" t="s">
        <v>1935</v>
      </c>
      <c r="D24" s="515" t="s">
        <v>2100</v>
      </c>
      <c r="E24" s="91" t="str">
        <f>DEC2HEX(HEX2DEC(K24),8)</f>
        <v>00000000</v>
      </c>
      <c r="F24" s="92"/>
      <c r="G24"/>
      <c r="H24" s="597" t="s">
        <v>1937</v>
      </c>
      <c r="I24" s="598"/>
      <c r="J24" s="599"/>
      <c r="K24" s="116">
        <v>0</v>
      </c>
      <c r="L24" s="117" t="str">
        <f>IF(HEX2DEC(K24)&lt;0,"NG",IF(HEX2DEC(K24)&gt;4294967295,"NG","OK"))</f>
        <v>OK</v>
      </c>
      <c r="M24" s="103"/>
      <c r="N24" s="110"/>
      <c r="O24" s="110"/>
      <c r="P24" s="110"/>
      <c r="Q24" s="110"/>
      <c r="R24" s="110"/>
      <c r="S24" s="110"/>
      <c r="T24" s="110"/>
      <c r="U24" s="110"/>
      <c r="V24" s="110"/>
      <c r="W24" s="111"/>
      <c r="X24" s="131"/>
      <c r="AH24" s="131"/>
    </row>
    <row r="25" spans="1:57">
      <c r="B25" s="101" t="str">
        <f>IF(Main_Parameters!$C$43="TX0 Enable","REMend","WR32")</f>
        <v>WR32</v>
      </c>
      <c r="C25" s="102" t="s">
        <v>1938</v>
      </c>
      <c r="D25" s="515" t="s">
        <v>2101</v>
      </c>
      <c r="E25" s="91" t="str">
        <f>DEC2HEX(Y25*2^31+Z25*2^30+AA25*2^29+AB25*2^28+AC25*2^27+AD25*2^26+AE25*2^25+AF25*2^24+AG25*2^23+AH25*2^22+AI25*2^21+AJ25*2^20+AK25*2^19+AL25*2^18+AM25*2^17+AN25*2^16+AO25*2^15+AP25*2^14+AQ25*2^13+AR25*2^12+AS25*2^11+AT25*2^10+AU25*2^9+AV25*2^8+AW25*2^7+AX25*2^6+AY25*2^5+AZ25*2^4+BA25*2^3+BB25*2^2+BC25*2^1+BD25*2^0,8)</f>
        <v>00000101</v>
      </c>
      <c r="F25" s="92"/>
      <c r="H25" s="103"/>
      <c r="I25" s="110"/>
      <c r="J25" s="110"/>
      <c r="K25" s="110"/>
      <c r="L25" s="118" t="s">
        <v>1940</v>
      </c>
      <c r="M25" s="118" t="s">
        <v>1941</v>
      </c>
      <c r="N25" s="118" t="s">
        <v>1942</v>
      </c>
      <c r="O25" s="118" t="s">
        <v>1943</v>
      </c>
      <c r="P25" s="118" t="s">
        <v>1944</v>
      </c>
      <c r="Q25" s="118" t="s">
        <v>1945</v>
      </c>
      <c r="R25" s="118" t="s">
        <v>1946</v>
      </c>
      <c r="S25" s="118" t="s">
        <v>1947</v>
      </c>
      <c r="T25" s="118" t="s">
        <v>1948</v>
      </c>
      <c r="U25" s="118" t="s">
        <v>1949</v>
      </c>
      <c r="V25" s="133" t="s">
        <v>1950</v>
      </c>
      <c r="W25" s="104" t="s">
        <v>1951</v>
      </c>
      <c r="X25" s="131"/>
      <c r="Y25" s="64">
        <v>0</v>
      </c>
      <c r="Z25" s="64">
        <v>0</v>
      </c>
      <c r="AA25" s="64">
        <v>0</v>
      </c>
      <c r="AB25" s="64">
        <v>0</v>
      </c>
      <c r="AC25" s="64">
        <v>0</v>
      </c>
      <c r="AD25" s="64">
        <v>0</v>
      </c>
      <c r="AE25" s="64">
        <v>0</v>
      </c>
      <c r="AF25" s="64">
        <v>0</v>
      </c>
      <c r="AG25" s="64">
        <v>0</v>
      </c>
      <c r="AH25" s="131">
        <f>IF(L25="INIT Int Enb",1,0)</f>
        <v>0</v>
      </c>
      <c r="AI25" s="131">
        <f>IF(M25="ApErr Int Enb",1,0)</f>
        <v>0</v>
      </c>
      <c r="AJ25" s="131">
        <f>IF(N25="DSIPrto Int Enb",1,0)</f>
        <v>0</v>
      </c>
      <c r="AK25" s="131">
        <f>IF(O25="DSIrErr Int Enb",1,0)</f>
        <v>0</v>
      </c>
      <c r="AL25" s="131">
        <f>IF(P25="DSILPTX Int Enb",1,0)</f>
        <v>0</v>
      </c>
      <c r="AM25" s="131">
        <f>IF(Q25="DSIrTrg Int Enb",1,0)</f>
        <v>0</v>
      </c>
      <c r="AN25" s="131">
        <f>IF(R25="DSIrStat Int Enb",1,0)</f>
        <v>0</v>
      </c>
      <c r="AO25" s="64">
        <v>0</v>
      </c>
      <c r="AP25" s="131">
        <f>IF(S25="PRESP_TO Enb",1,0)</f>
        <v>0</v>
      </c>
      <c r="AQ25" s="131">
        <v>0</v>
      </c>
      <c r="AR25" s="131">
        <v>0</v>
      </c>
      <c r="AS25" s="131">
        <v>0</v>
      </c>
      <c r="AT25" s="131">
        <f>IF(T25="HSTX_TO Enb",1,0)</f>
        <v>0</v>
      </c>
      <c r="AU25" s="131">
        <f>IF(U25="IND_TO Enb",1,0)</f>
        <v>0</v>
      </c>
      <c r="AV25" s="131">
        <f>IF(V25="INDMdSel Reg",1,0)</f>
        <v>1</v>
      </c>
      <c r="AW25" s="64">
        <v>0</v>
      </c>
      <c r="AX25" s="64">
        <v>0</v>
      </c>
      <c r="AY25" s="64">
        <v>0</v>
      </c>
      <c r="AZ25" s="64">
        <v>0</v>
      </c>
      <c r="BA25" s="64">
        <v>0</v>
      </c>
      <c r="BB25" s="64">
        <v>0</v>
      </c>
      <c r="BC25" s="64">
        <v>0</v>
      </c>
      <c r="BD25" s="131">
        <f>IF(W25="VHDELAY Reg",1,0)</f>
        <v>1</v>
      </c>
    </row>
    <row r="26" spans="1:57" ht="15">
      <c r="B26" s="101" t="str">
        <f>IF(Main_Parameters!$C$43="TX0 Enable","REMend",IF(G26="Disable","REMend","WR32"))</f>
        <v>REMend</v>
      </c>
      <c r="C26" s="102" t="s">
        <v>1952</v>
      </c>
      <c r="D26" s="515" t="s">
        <v>2102</v>
      </c>
      <c r="E26" s="91" t="str">
        <f>DEC2HEX(Y26*2^31+Z26*2^30+AA26*2^29+AB26*2^28+AC26*2^27+AD26*2^26+AE26*2^25+AF26*2^24+AG26*2^23+AH26*2^22+AI26*2^21+AJ26*2^20+AK26*2^19+AL26*2^18+AM26*2^17+AN26*2^16+AO26*2^15+AP26*2^14+AQ26*2^13+AR26*2^12+AS26*2^11+AT26*2^10+AU26*2^9+AV26*2^8+AW26*2^7+AX26*2^6+AY26*2^5+AZ26*2^4+BA26*2^3+BB26*2^2+BC26*2^1+BD26*2^0,8)</f>
        <v>00000004</v>
      </c>
      <c r="F26" s="92"/>
      <c r="G26" s="104" t="s">
        <v>780</v>
      </c>
      <c r="H26" s="103"/>
      <c r="I26" s="110"/>
      <c r="J26" s="110"/>
      <c r="K26" s="110"/>
      <c r="L26" s="110"/>
      <c r="M26" s="110"/>
      <c r="N26" s="119"/>
      <c r="O26" s="119"/>
      <c r="P26" s="119"/>
      <c r="Q26" s="115" t="s">
        <v>1954</v>
      </c>
      <c r="R26" s="120" t="str">
        <f>IF(S26&gt;8191,"NG",IF(S26&lt;0,"NG","OK"))</f>
        <v>OK</v>
      </c>
      <c r="S26" s="134">
        <v>0</v>
      </c>
      <c r="T26" s="112" t="s">
        <v>1955</v>
      </c>
      <c r="U26" s="118" t="s">
        <v>2103</v>
      </c>
      <c r="V26" s="112" t="s">
        <v>1956</v>
      </c>
      <c r="W26" s="104" t="s">
        <v>1957</v>
      </c>
      <c r="X26" s="131"/>
      <c r="Y26" s="64">
        <v>0</v>
      </c>
      <c r="Z26" s="64">
        <v>0</v>
      </c>
      <c r="AA26" s="64">
        <v>0</v>
      </c>
      <c r="AB26" s="64">
        <v>0</v>
      </c>
      <c r="AC26" s="64">
        <v>0</v>
      </c>
      <c r="AD26" s="64">
        <v>0</v>
      </c>
      <c r="AE26" s="64">
        <v>0</v>
      </c>
      <c r="AF26" s="64">
        <v>0</v>
      </c>
      <c r="AG26" s="64">
        <v>0</v>
      </c>
      <c r="AH26" s="64">
        <v>0</v>
      </c>
      <c r="AI26" s="64">
        <v>0</v>
      </c>
      <c r="AJ26" s="64">
        <v>0</v>
      </c>
      <c r="AK26" s="64">
        <v>0</v>
      </c>
      <c r="AL26" s="64">
        <v>0</v>
      </c>
      <c r="AM26" s="64">
        <v>0</v>
      </c>
      <c r="AN26" s="64">
        <v>0</v>
      </c>
      <c r="AO26" s="64">
        <v>0</v>
      </c>
      <c r="AP26" s="64">
        <v>0</v>
      </c>
      <c r="AQ26" s="64">
        <v>0</v>
      </c>
      <c r="AR26" s="64">
        <v>0</v>
      </c>
      <c r="AS26" s="64">
        <v>0</v>
      </c>
      <c r="AT26" s="64">
        <v>0</v>
      </c>
      <c r="AU26" s="64">
        <v>0</v>
      </c>
      <c r="AV26" s="64">
        <v>0</v>
      </c>
      <c r="AW26" s="64">
        <v>0</v>
      </c>
      <c r="AX26" s="64">
        <v>0</v>
      </c>
      <c r="AY26" s="64">
        <v>0</v>
      </c>
      <c r="AZ26" s="64">
        <v>0</v>
      </c>
      <c r="BA26" s="64">
        <f>S26</f>
        <v>0</v>
      </c>
      <c r="BB26" s="64">
        <v>0</v>
      </c>
      <c r="BC26" s="64">
        <f>IF(U26="VFP",0,IF(U26="Immediate",2,1))</f>
        <v>2</v>
      </c>
      <c r="BD26" s="64">
        <f>IF(W26="Input",0,1)</f>
        <v>0</v>
      </c>
      <c r="BE26" s="131"/>
    </row>
    <row r="27" spans="1:57" ht="15">
      <c r="B27" s="101" t="str">
        <f>IF(Main_Parameters!$C$43="TX0 Enable","REMend","WR32")</f>
        <v>WR32</v>
      </c>
      <c r="C27" s="102" t="s">
        <v>1958</v>
      </c>
      <c r="D27" s="515" t="s">
        <v>2104</v>
      </c>
      <c r="E27" s="91" t="str">
        <f t="shared" ref="E27:E34" si="0">DEC2HEX(HEX2DEC(K27),8)</f>
        <v>00010000</v>
      </c>
      <c r="F27" s="92"/>
      <c r="G27"/>
      <c r="H27" s="597" t="s">
        <v>1960</v>
      </c>
      <c r="I27" s="598"/>
      <c r="J27" s="599"/>
      <c r="K27" s="516" t="s">
        <v>1961</v>
      </c>
      <c r="L27" s="120" t="str">
        <f t="shared" ref="L27:L34" si="1">IF(HEX2DEC(K27)&lt;0,"NG",IF(HEX2DEC(K27)&gt;4294967295,"NG","OK"))</f>
        <v>OK</v>
      </c>
      <c r="M27" s="103"/>
      <c r="N27" s="110"/>
      <c r="O27" s="110"/>
      <c r="P27" s="110"/>
      <c r="Q27" s="110"/>
      <c r="R27" s="110"/>
      <c r="S27" s="110"/>
      <c r="T27" s="110"/>
      <c r="U27" s="110"/>
      <c r="V27" s="110"/>
      <c r="W27" s="111"/>
    </row>
    <row r="28" spans="1:57" ht="15">
      <c r="B28" s="101" t="str">
        <f>IF(Main_Parameters!$C$43="TX0 Enable","REMend","WR32")</f>
        <v>WR32</v>
      </c>
      <c r="C28" s="102" t="s">
        <v>1962</v>
      </c>
      <c r="D28" s="515" t="s">
        <v>2105</v>
      </c>
      <c r="E28" s="91" t="str">
        <f t="shared" si="0"/>
        <v>00005000</v>
      </c>
      <c r="F28" s="92"/>
      <c r="G28"/>
      <c r="H28" s="597" t="s">
        <v>1964</v>
      </c>
      <c r="I28" s="598"/>
      <c r="J28" s="599"/>
      <c r="K28" s="516" t="s">
        <v>995</v>
      </c>
      <c r="L28" s="120" t="str">
        <f t="shared" si="1"/>
        <v>OK</v>
      </c>
      <c r="M28" s="103"/>
      <c r="N28" s="110"/>
      <c r="O28" s="110"/>
      <c r="P28" s="110"/>
      <c r="Q28" s="110"/>
      <c r="R28" s="110"/>
      <c r="S28" s="110"/>
      <c r="T28" s="110"/>
      <c r="U28" s="110"/>
      <c r="V28" s="110"/>
      <c r="W28" s="111"/>
      <c r="X28" s="131"/>
      <c r="AH28" s="131"/>
    </row>
    <row r="29" spans="1:57" ht="15">
      <c r="B29" s="101" t="str">
        <f>IF(Main_Parameters!$C$43="TX0 Enable","REMend","WR32")</f>
        <v>WR32</v>
      </c>
      <c r="C29" s="102" t="s">
        <v>1965</v>
      </c>
      <c r="D29" s="515" t="s">
        <v>2106</v>
      </c>
      <c r="E29" s="91" t="str">
        <f t="shared" si="0"/>
        <v>00010000</v>
      </c>
      <c r="F29" s="92"/>
      <c r="G29"/>
      <c r="H29" s="597" t="s">
        <v>1967</v>
      </c>
      <c r="I29" s="598"/>
      <c r="J29" s="599"/>
      <c r="K29" s="516" t="s">
        <v>1961</v>
      </c>
      <c r="L29" s="120" t="str">
        <f t="shared" si="1"/>
        <v>OK</v>
      </c>
      <c r="M29" s="103"/>
      <c r="N29" s="110"/>
      <c r="O29" s="110"/>
      <c r="P29" s="110"/>
      <c r="Q29" s="110"/>
      <c r="R29" s="110"/>
      <c r="S29" s="110"/>
      <c r="T29" s="110"/>
      <c r="U29" s="110"/>
      <c r="V29" s="110"/>
      <c r="W29" s="111"/>
      <c r="X29" s="131"/>
      <c r="AH29" s="131"/>
    </row>
    <row r="30" spans="1:57" ht="15">
      <c r="B30" s="101" t="str">
        <f>IF(Main_Parameters!$C$43="TX0 Enable","REMend","WR32")</f>
        <v>WR32</v>
      </c>
      <c r="C30" s="102" t="s">
        <v>1968</v>
      </c>
      <c r="D30" s="515" t="s">
        <v>2107</v>
      </c>
      <c r="E30" s="91" t="str">
        <f t="shared" si="0"/>
        <v>00010000</v>
      </c>
      <c r="F30" s="92"/>
      <c r="G30"/>
      <c r="H30" s="597" t="s">
        <v>1970</v>
      </c>
      <c r="I30" s="598"/>
      <c r="J30" s="599"/>
      <c r="K30" s="516" t="s">
        <v>1961</v>
      </c>
      <c r="L30" s="120" t="str">
        <f t="shared" si="1"/>
        <v>OK</v>
      </c>
      <c r="M30" s="103"/>
      <c r="N30" s="110"/>
      <c r="O30" s="110"/>
      <c r="P30" s="110"/>
      <c r="Q30" s="110"/>
      <c r="R30" s="110"/>
      <c r="S30" s="110"/>
      <c r="T30" s="110"/>
      <c r="U30" s="110"/>
      <c r="V30" s="110"/>
      <c r="W30" s="111"/>
      <c r="X30" s="131"/>
      <c r="AH30" s="131"/>
    </row>
    <row r="31" spans="1:57" ht="15">
      <c r="B31" s="101" t="str">
        <f>IF(Main_Parameters!$C$43="TX0 Enable","REMend","WR32")</f>
        <v>WR32</v>
      </c>
      <c r="C31" s="102" t="s">
        <v>1971</v>
      </c>
      <c r="D31" s="515" t="s">
        <v>2108</v>
      </c>
      <c r="E31" s="91" t="str">
        <f t="shared" si="0"/>
        <v>00010000</v>
      </c>
      <c r="F31" s="92"/>
      <c r="G31"/>
      <c r="H31" s="597" t="s">
        <v>1973</v>
      </c>
      <c r="I31" s="598"/>
      <c r="J31" s="599"/>
      <c r="K31" s="516" t="s">
        <v>1961</v>
      </c>
      <c r="L31" s="120" t="str">
        <f t="shared" si="1"/>
        <v>OK</v>
      </c>
      <c r="M31" s="103"/>
      <c r="N31" s="110"/>
      <c r="O31" s="110"/>
      <c r="P31" s="110"/>
      <c r="Q31" s="110"/>
      <c r="R31" s="110"/>
      <c r="S31" s="110"/>
      <c r="T31" s="110"/>
      <c r="U31" s="110"/>
      <c r="V31" s="110"/>
      <c r="W31" s="111"/>
      <c r="X31" s="131"/>
      <c r="AH31" s="131"/>
    </row>
    <row r="32" spans="1:57" ht="15">
      <c r="B32" s="101" t="str">
        <f>IF(Main_Parameters!$C$43="TX0 Enable","REMend","WR32")</f>
        <v>WR32</v>
      </c>
      <c r="C32" s="102" t="s">
        <v>1974</v>
      </c>
      <c r="D32" s="515" t="s">
        <v>2109</v>
      </c>
      <c r="E32" s="91" t="str">
        <f t="shared" si="0"/>
        <v>00010000</v>
      </c>
      <c r="F32" s="92"/>
      <c r="G32"/>
      <c r="H32" s="597" t="s">
        <v>1976</v>
      </c>
      <c r="I32" s="598"/>
      <c r="J32" s="599"/>
      <c r="K32" s="516" t="s">
        <v>1961</v>
      </c>
      <c r="L32" s="120" t="str">
        <f t="shared" si="1"/>
        <v>OK</v>
      </c>
      <c r="M32" s="103"/>
      <c r="N32" s="110"/>
      <c r="O32" s="110"/>
      <c r="P32" s="110"/>
      <c r="Q32" s="110"/>
      <c r="R32" s="110"/>
      <c r="S32" s="110"/>
      <c r="T32" s="110"/>
      <c r="U32" s="110"/>
      <c r="V32" s="110"/>
      <c r="W32" s="111"/>
      <c r="X32" s="131"/>
      <c r="AH32" s="131"/>
    </row>
    <row r="33" spans="2:57" ht="15">
      <c r="B33" s="101" t="str">
        <f>IF(Main_Parameters!$C$43="TX0 Enable","REMend","WR32")</f>
        <v>WR32</v>
      </c>
      <c r="C33" s="102" t="s">
        <v>1977</v>
      </c>
      <c r="D33" s="515" t="s">
        <v>2110</v>
      </c>
      <c r="E33" s="91" t="str">
        <f t="shared" si="0"/>
        <v>00001000</v>
      </c>
      <c r="F33" s="92"/>
      <c r="G33"/>
      <c r="H33" s="597" t="s">
        <v>1979</v>
      </c>
      <c r="I33" s="598"/>
      <c r="J33" s="599"/>
      <c r="K33" s="516" t="s">
        <v>1980</v>
      </c>
      <c r="L33" s="120" t="str">
        <f t="shared" si="1"/>
        <v>OK</v>
      </c>
      <c r="M33" s="103"/>
      <c r="N33" s="110"/>
      <c r="O33" s="110"/>
      <c r="P33" s="110"/>
      <c r="Q33" s="110"/>
      <c r="R33" s="110"/>
      <c r="S33" s="110"/>
      <c r="T33" s="110"/>
      <c r="U33" s="110"/>
      <c r="V33" s="110"/>
      <c r="W33" s="111"/>
      <c r="X33" s="131"/>
      <c r="AH33" s="131"/>
    </row>
    <row r="34" spans="2:57" ht="15">
      <c r="B34" s="101" t="str">
        <f>IF(Main_Parameters!$C$43="TX0 Enable","REMend","WR32")</f>
        <v>WR32</v>
      </c>
      <c r="C34" s="102" t="s">
        <v>1981</v>
      </c>
      <c r="D34" s="515" t="s">
        <v>2111</v>
      </c>
      <c r="E34" s="91" t="str">
        <f t="shared" si="0"/>
        <v>00010000</v>
      </c>
      <c r="F34" s="92"/>
      <c r="G34"/>
      <c r="H34" s="597" t="s">
        <v>1983</v>
      </c>
      <c r="I34" s="598"/>
      <c r="J34" s="599"/>
      <c r="K34" s="516" t="s">
        <v>1961</v>
      </c>
      <c r="L34" s="120" t="str">
        <f t="shared" si="1"/>
        <v>OK</v>
      </c>
      <c r="M34" s="103"/>
      <c r="N34" s="110"/>
      <c r="O34" s="110"/>
      <c r="P34" s="110"/>
      <c r="Q34" s="110"/>
      <c r="R34" s="110"/>
      <c r="S34" s="110"/>
      <c r="T34" s="110"/>
      <c r="U34" s="110"/>
      <c r="V34" s="110"/>
      <c r="W34" s="111"/>
      <c r="X34" s="131"/>
      <c r="AH34" s="131"/>
    </row>
    <row r="35" spans="2:57">
      <c r="B35" s="101" t="str">
        <f>IF(Main_Parameters!$C$43="TX0 Enable","REMend","WR32")</f>
        <v>WR32</v>
      </c>
      <c r="C35" s="102" t="s">
        <v>1984</v>
      </c>
      <c r="D35" s="515" t="s">
        <v>2112</v>
      </c>
      <c r="E35" s="91" t="str">
        <f t="shared" ref="E35:E38" si="2">DEC2HEX(Y35*2^31+Z35*2^30+AA35*2^29+AB35*2^28+AC35*2^27+AD35*2^26+AE35*2^25+AF35*2^24+AG35*2^23+AH35*2^22+AI35*2^21+AJ35*2^20+AK35*2^19+AL35*2^18+AM35*2^17+AN35*2^16+AO35*2^15+AP35*2^14+AQ35*2^13+AR35*2^12+AS35*2^11+AT35*2^10+AU35*2^9+AV35*2^8+AW35*2^7+AX35*2^6+AY35*2^5+AZ35*2^4+BA35*2^3+BB35*2^2+BC35*2^1+BD35*2^0,8)</f>
        <v>00000161</v>
      </c>
      <c r="F35" s="92"/>
      <c r="G35"/>
      <c r="H35" s="105"/>
      <c r="I35" s="121"/>
      <c r="J35" s="121"/>
      <c r="K35" s="122"/>
      <c r="L35" s="123" t="s">
        <v>1986</v>
      </c>
      <c r="M35" s="124" t="s">
        <v>1987</v>
      </c>
      <c r="N35" s="123" t="s">
        <v>1988</v>
      </c>
      <c r="O35" s="124" t="s">
        <v>721</v>
      </c>
      <c r="P35" s="125" t="s">
        <v>1989</v>
      </c>
      <c r="Q35" s="113" t="s">
        <v>780</v>
      </c>
      <c r="R35" s="125" t="s">
        <v>1990</v>
      </c>
      <c r="S35" s="113" t="s">
        <v>780</v>
      </c>
      <c r="T35" s="112" t="s">
        <v>1991</v>
      </c>
      <c r="U35" s="135" t="str">
        <f>IF(Main_Parameters!$C$80="Enable","Continuous","Discontinuous")</f>
        <v>Continuous</v>
      </c>
      <c r="V35" s="112" t="s">
        <v>1992</v>
      </c>
      <c r="W35" s="135" t="str">
        <f>IF(Main_Parameters!$C$79="Yes","Yes","No")</f>
        <v>Yes</v>
      </c>
      <c r="X35" s="63"/>
      <c r="Y35" s="47">
        <v>0</v>
      </c>
      <c r="Z35" s="47">
        <v>0</v>
      </c>
      <c r="AA35" s="47">
        <v>0</v>
      </c>
      <c r="AB35" s="47">
        <v>0</v>
      </c>
      <c r="AC35" s="47">
        <v>0</v>
      </c>
      <c r="AD35" s="47">
        <v>0</v>
      </c>
      <c r="AE35" s="47">
        <v>0</v>
      </c>
      <c r="AF35" s="47">
        <v>0</v>
      </c>
      <c r="AG35" s="47">
        <v>0</v>
      </c>
      <c r="AH35" s="63">
        <v>0</v>
      </c>
      <c r="AI35" s="47">
        <v>0</v>
      </c>
      <c r="AJ35" s="47">
        <v>0</v>
      </c>
      <c r="AK35" s="47">
        <v>0</v>
      </c>
      <c r="AL35" s="47">
        <v>0</v>
      </c>
      <c r="AM35" s="47">
        <v>0</v>
      </c>
      <c r="AN35" s="47">
        <v>0</v>
      </c>
      <c r="AO35" s="47">
        <v>0</v>
      </c>
      <c r="AP35" s="47">
        <v>0</v>
      </c>
      <c r="AQ35" s="47">
        <v>0</v>
      </c>
      <c r="AR35" s="47">
        <v>0</v>
      </c>
      <c r="AS35" s="47">
        <v>0</v>
      </c>
      <c r="AT35" s="47">
        <f>IF(M35="Forced to STOP",1,0)</f>
        <v>0</v>
      </c>
      <c r="AU35" s="47">
        <f>IF(O35="Disable",1,0)</f>
        <v>0</v>
      </c>
      <c r="AV35" s="47">
        <f>IF(Q35="Disable",1,0)</f>
        <v>1</v>
      </c>
      <c r="AW35" s="47">
        <v>0</v>
      </c>
      <c r="AX35" s="47">
        <f>IF(S35="Disable",1,0)</f>
        <v>1</v>
      </c>
      <c r="AY35" s="47">
        <f>IF(U35="Continuous",1,0)</f>
        <v>1</v>
      </c>
      <c r="AZ35" s="47">
        <v>0</v>
      </c>
      <c r="BA35" s="47">
        <v>0</v>
      </c>
      <c r="BB35" s="47">
        <v>0</v>
      </c>
      <c r="BC35" s="47">
        <v>0</v>
      </c>
      <c r="BD35" s="47">
        <f>IF(W35="Yes",1,0)</f>
        <v>1</v>
      </c>
    </row>
    <row r="36" spans="2:57">
      <c r="B36" s="101" t="str">
        <f>IF(Main_Parameters!$C$43="TX0 Enable","REMend","WR32")</f>
        <v>WR32</v>
      </c>
      <c r="C36" s="102" t="s">
        <v>1993</v>
      </c>
      <c r="D36" s="515" t="s">
        <v>2113</v>
      </c>
      <c r="E36" s="91" t="str">
        <f t="shared" si="2"/>
        <v>00000001</v>
      </c>
      <c r="F36" s="92"/>
      <c r="G36"/>
      <c r="H36" s="103"/>
      <c r="I36" s="110"/>
      <c r="J36" s="110"/>
      <c r="K36" s="110"/>
      <c r="L36" s="110"/>
      <c r="M36" s="110"/>
      <c r="N36" s="110"/>
      <c r="O36" s="111"/>
      <c r="P36" s="106" t="s">
        <v>1995</v>
      </c>
      <c r="Q36" s="104" t="s">
        <v>780</v>
      </c>
      <c r="R36" s="106" t="s">
        <v>1996</v>
      </c>
      <c r="S36" s="104" t="s">
        <v>780</v>
      </c>
      <c r="T36" s="106" t="s">
        <v>1997</v>
      </c>
      <c r="U36" s="104" t="s">
        <v>780</v>
      </c>
      <c r="V36" s="106" t="s">
        <v>1998</v>
      </c>
      <c r="W36" s="104" t="s">
        <v>721</v>
      </c>
      <c r="X36" s="63"/>
      <c r="Y36" s="47">
        <v>0</v>
      </c>
      <c r="Z36" s="47">
        <v>0</v>
      </c>
      <c r="AA36" s="47">
        <v>0</v>
      </c>
      <c r="AB36" s="47">
        <v>0</v>
      </c>
      <c r="AC36" s="47">
        <v>0</v>
      </c>
      <c r="AD36" s="47">
        <v>0</v>
      </c>
      <c r="AE36" s="47">
        <v>0</v>
      </c>
      <c r="AF36" s="47">
        <v>0</v>
      </c>
      <c r="AG36" s="47">
        <v>0</v>
      </c>
      <c r="AH36" s="63">
        <v>0</v>
      </c>
      <c r="AI36" s="47">
        <v>0</v>
      </c>
      <c r="AJ36" s="47">
        <v>0</v>
      </c>
      <c r="AK36" s="47">
        <v>0</v>
      </c>
      <c r="AL36" s="47">
        <v>0</v>
      </c>
      <c r="AM36" s="47">
        <v>0</v>
      </c>
      <c r="AN36" s="47">
        <v>0</v>
      </c>
      <c r="AO36" s="47">
        <v>0</v>
      </c>
      <c r="AP36" s="47">
        <v>0</v>
      </c>
      <c r="AQ36" s="47">
        <v>0</v>
      </c>
      <c r="AR36" s="47">
        <v>0</v>
      </c>
      <c r="AS36" s="47">
        <v>0</v>
      </c>
      <c r="AT36" s="47">
        <v>0</v>
      </c>
      <c r="AU36" s="47">
        <v>0</v>
      </c>
      <c r="AV36" s="47">
        <v>0</v>
      </c>
      <c r="AW36" s="47">
        <v>0</v>
      </c>
      <c r="AX36" s="47">
        <v>0</v>
      </c>
      <c r="AY36" s="47">
        <v>0</v>
      </c>
      <c r="AZ36" s="47">
        <v>0</v>
      </c>
      <c r="BA36" s="47">
        <f>IF(Q36="Enable",1,0)</f>
        <v>0</v>
      </c>
      <c r="BB36" s="47">
        <f>IF(S36="Enable",1,0)</f>
        <v>0</v>
      </c>
      <c r="BC36" s="47">
        <f>IF(U36="Enable",1,0)</f>
        <v>0</v>
      </c>
      <c r="BD36" s="47">
        <f>IF(W36="Enable",1,0)</f>
        <v>1</v>
      </c>
    </row>
    <row r="37" spans="2:57" ht="15">
      <c r="B37" s="101" t="str">
        <f>IF(Main_Parameters!$C$43="TX0 Enable","REMend","WR32")</f>
        <v>WR32</v>
      </c>
      <c r="C37" s="102" t="s">
        <v>1999</v>
      </c>
      <c r="D37" s="515" t="s">
        <v>2114</v>
      </c>
      <c r="E37" s="91" t="str">
        <f>DEC2HEX(HEX2DEC(K37),8)</f>
        <v>000000C8</v>
      </c>
      <c r="F37" s="92"/>
      <c r="G37"/>
      <c r="H37" s="597" t="s">
        <v>2001</v>
      </c>
      <c r="I37" s="598"/>
      <c r="J37" s="599"/>
      <c r="K37" s="516" t="s">
        <v>2002</v>
      </c>
      <c r="L37" s="120" t="str">
        <f>IF(HEX2DEC(K37)&lt;0,"NG",IF(HEX2DEC(K37)&gt;4294967295,"NG","OK"))</f>
        <v>OK</v>
      </c>
      <c r="M37" s="103"/>
      <c r="N37" s="110"/>
      <c r="O37" s="110"/>
      <c r="P37" s="110"/>
      <c r="Q37" s="110"/>
      <c r="R37" s="110"/>
      <c r="S37" s="110"/>
      <c r="T37" s="110"/>
      <c r="U37" s="110"/>
      <c r="V37" s="110"/>
      <c r="W37" s="111"/>
      <c r="X37" s="131"/>
      <c r="AH37" s="131"/>
    </row>
    <row r="38" spans="2:57">
      <c r="B38" s="101" t="str">
        <f>IF(Main_Parameters!$C$43="TX0 Enable","REMend",IF(G38="Disable","REMend","WR32"))</f>
        <v>REMend</v>
      </c>
      <c r="C38" s="102" t="s">
        <v>2003</v>
      </c>
      <c r="D38" s="515" t="s">
        <v>2115</v>
      </c>
      <c r="E38" s="91" t="str">
        <f t="shared" si="2"/>
        <v>00000015</v>
      </c>
      <c r="F38" s="92"/>
      <c r="G38" s="104" t="s">
        <v>780</v>
      </c>
      <c r="H38" s="103"/>
      <c r="I38" s="110"/>
      <c r="J38" s="110"/>
      <c r="K38" s="110"/>
      <c r="L38" s="110"/>
      <c r="M38" s="110"/>
      <c r="N38" s="114"/>
      <c r="O38" s="114"/>
      <c r="P38" s="119"/>
      <c r="Q38" s="132"/>
      <c r="R38" s="136" t="s">
        <v>2005</v>
      </c>
      <c r="S38" s="104" t="s">
        <v>2006</v>
      </c>
      <c r="T38" s="137" t="s">
        <v>2007</v>
      </c>
      <c r="U38" s="104" t="s">
        <v>2006</v>
      </c>
      <c r="V38" s="137" t="s">
        <v>2008</v>
      </c>
      <c r="W38" s="104" t="s">
        <v>2006</v>
      </c>
      <c r="X38" s="131"/>
      <c r="Y38" s="64">
        <v>0</v>
      </c>
      <c r="Z38" s="64">
        <v>0</v>
      </c>
      <c r="AA38" s="64">
        <v>0</v>
      </c>
      <c r="AB38" s="64">
        <v>0</v>
      </c>
      <c r="AC38" s="64">
        <v>0</v>
      </c>
      <c r="AD38" s="64">
        <v>0</v>
      </c>
      <c r="AE38" s="64">
        <v>0</v>
      </c>
      <c r="AF38" s="64">
        <v>0</v>
      </c>
      <c r="AG38" s="64">
        <v>0</v>
      </c>
      <c r="AH38" s="64">
        <v>0</v>
      </c>
      <c r="AI38" s="64">
        <v>0</v>
      </c>
      <c r="AJ38" s="64">
        <v>0</v>
      </c>
      <c r="AK38" s="64">
        <v>0</v>
      </c>
      <c r="AL38" s="64">
        <v>0</v>
      </c>
      <c r="AM38" s="64">
        <v>0</v>
      </c>
      <c r="AN38" s="64">
        <v>0</v>
      </c>
      <c r="AO38" s="64">
        <v>0</v>
      </c>
      <c r="AP38" s="64">
        <v>0</v>
      </c>
      <c r="AQ38" s="64">
        <v>0</v>
      </c>
      <c r="AR38" s="64">
        <v>0</v>
      </c>
      <c r="AS38" s="64">
        <v>0</v>
      </c>
      <c r="AT38" s="64">
        <v>0</v>
      </c>
      <c r="AU38" s="64">
        <v>0</v>
      </c>
      <c r="AV38" s="64">
        <v>0</v>
      </c>
      <c r="AW38" s="64">
        <v>0</v>
      </c>
      <c r="AX38" s="64">
        <v>0</v>
      </c>
      <c r="AY38" s="64">
        <v>0</v>
      </c>
      <c r="AZ38" s="64">
        <f t="shared" ref="AZ38:BD38" si="3">IF(S38="Mask",1,0)</f>
        <v>1</v>
      </c>
      <c r="BA38" s="64">
        <v>0</v>
      </c>
      <c r="BB38" s="64">
        <f t="shared" si="3"/>
        <v>1</v>
      </c>
      <c r="BC38" s="64">
        <v>0</v>
      </c>
      <c r="BD38" s="64">
        <f t="shared" si="3"/>
        <v>1</v>
      </c>
      <c r="BE38" s="131"/>
    </row>
    <row r="39" spans="2:57" ht="15">
      <c r="B39" s="101" t="str">
        <f>IF(Main_Parameters!$C$43="TX0 Enable","REMend","WR32")</f>
        <v>WR32</v>
      </c>
      <c r="C39" s="102" t="s">
        <v>2010</v>
      </c>
      <c r="D39" s="515" t="s">
        <v>2116</v>
      </c>
      <c r="E39" s="91" t="str">
        <f>DEC2HEX(HEX2DEC(K39),8)</f>
        <v>0000002A</v>
      </c>
      <c r="F39" s="92"/>
      <c r="G39"/>
      <c r="H39" s="597" t="s">
        <v>2012</v>
      </c>
      <c r="I39" s="598"/>
      <c r="J39" s="599"/>
      <c r="K39" s="516" t="s">
        <v>2013</v>
      </c>
      <c r="L39" s="120" t="str">
        <f>IF(HEX2DEC(K39)&lt;0,"NG",IF(HEX2DEC(K39)&gt;65535,"NG","OK"))</f>
        <v>OK</v>
      </c>
      <c r="M39" s="103"/>
      <c r="N39" s="110"/>
      <c r="O39" s="110"/>
      <c r="P39" s="110"/>
      <c r="Q39" s="110"/>
      <c r="R39" s="110"/>
      <c r="S39" s="110"/>
      <c r="T39" s="110"/>
      <c r="U39" s="110"/>
      <c r="V39" s="110"/>
      <c r="W39" s="111"/>
      <c r="X39" s="131"/>
      <c r="AH39" s="131"/>
    </row>
    <row r="40" spans="2:57">
      <c r="B40" s="101" t="str">
        <f>IF(Main_Parameters!$C$43="TX0 Enable","REMend","WR32")</f>
        <v>WR32</v>
      </c>
      <c r="C40" s="102" t="s">
        <v>2014</v>
      </c>
      <c r="D40" s="515" t="s">
        <v>2117</v>
      </c>
      <c r="E40" s="91" t="str">
        <f>Main_Parameters!$C$157</f>
        <v>00000410</v>
      </c>
      <c r="F40" s="92"/>
      <c r="G40"/>
      <c r="H40"/>
      <c r="I40"/>
      <c r="J40"/>
      <c r="K40"/>
      <c r="L40"/>
      <c r="M40"/>
      <c r="N40"/>
      <c r="O40"/>
      <c r="P40"/>
      <c r="Q40"/>
      <c r="R40"/>
      <c r="S40"/>
      <c r="T40"/>
      <c r="U40"/>
      <c r="V40"/>
      <c r="W40"/>
      <c r="X40" s="131"/>
      <c r="AH40" s="131"/>
    </row>
    <row r="41" spans="2:57">
      <c r="B41" s="101" t="str">
        <f>IF(Main_Parameters!$C$43="TX0 Enable","REMend",IF(G41="Disable","REMend","WR32"))</f>
        <v>REMend</v>
      </c>
      <c r="C41" s="102" t="s">
        <v>2016</v>
      </c>
      <c r="D41" s="515" t="s">
        <v>2118</v>
      </c>
      <c r="E41" s="91" t="str">
        <f t="shared" ref="E41:E46" si="4">DEC2HEX(Y41*2^31+Z41*2^30+AA41*2^29+AB41*2^28+AC41*2^27+AD41*2^26+AE41*2^25+AF41*2^24+AG41*2^23+AH41*2^22+AI41*2^21+AJ41*2^20+AK41*2^19+AL41*2^18+AM41*2^17+AN41*2^16+AO41*2^15+AP41*2^14+AQ41*2^13+AR41*2^12+AS41*2^11+AT41*2^10+AU41*2^9+AV41*2^8+AW41*2^7+AX41*2^6+AY41*2^5+AZ41*2^4+BA41*2^3+BB41*2^2+BC41*2^1+BD41*2^0,8)</f>
        <v>00000001</v>
      </c>
      <c r="F41" s="92"/>
      <c r="G41" s="104" t="s">
        <v>780</v>
      </c>
      <c r="H41" s="105"/>
      <c r="I41" s="121"/>
      <c r="J41" s="121"/>
      <c r="K41" s="121"/>
      <c r="L41" s="121"/>
      <c r="M41" s="121"/>
      <c r="N41" s="121"/>
      <c r="O41" s="121"/>
      <c r="P41" s="119"/>
      <c r="Q41" s="119"/>
      <c r="R41" s="138"/>
      <c r="S41" s="126"/>
      <c r="T41" s="126" t="s">
        <v>2018</v>
      </c>
      <c r="U41" s="124">
        <v>0</v>
      </c>
      <c r="V41" s="112" t="s">
        <v>2019</v>
      </c>
      <c r="W41" s="104" t="s">
        <v>2020</v>
      </c>
      <c r="X41" s="63"/>
      <c r="Y41" s="47">
        <v>0</v>
      </c>
      <c r="Z41" s="47">
        <v>0</v>
      </c>
      <c r="AA41" s="47">
        <v>0</v>
      </c>
      <c r="AB41" s="47">
        <v>0</v>
      </c>
      <c r="AC41" s="47">
        <v>0</v>
      </c>
      <c r="AD41" s="47">
        <v>0</v>
      </c>
      <c r="AE41" s="47">
        <v>0</v>
      </c>
      <c r="AF41" s="47">
        <v>0</v>
      </c>
      <c r="AG41" s="47">
        <v>0</v>
      </c>
      <c r="AH41" s="47">
        <v>0</v>
      </c>
      <c r="AI41" s="47">
        <v>0</v>
      </c>
      <c r="AJ41" s="47">
        <v>0</v>
      </c>
      <c r="AK41" s="47">
        <v>0</v>
      </c>
      <c r="AL41" s="47">
        <v>0</v>
      </c>
      <c r="AM41" s="47">
        <v>0</v>
      </c>
      <c r="AN41" s="47">
        <v>0</v>
      </c>
      <c r="AO41" s="47">
        <v>0</v>
      </c>
      <c r="AP41" s="47">
        <v>0</v>
      </c>
      <c r="AQ41" s="47">
        <v>0</v>
      </c>
      <c r="AR41" s="47">
        <v>0</v>
      </c>
      <c r="AS41" s="47">
        <v>0</v>
      </c>
      <c r="AT41" s="47">
        <v>0</v>
      </c>
      <c r="AU41" s="47">
        <v>0</v>
      </c>
      <c r="AV41" s="47">
        <v>0</v>
      </c>
      <c r="AW41" s="47">
        <v>0</v>
      </c>
      <c r="AX41" s="47">
        <v>0</v>
      </c>
      <c r="AY41" s="47">
        <v>0</v>
      </c>
      <c r="AZ41" s="47">
        <v>0</v>
      </c>
      <c r="BA41" s="47">
        <v>0</v>
      </c>
      <c r="BB41" s="47">
        <v>0</v>
      </c>
      <c r="BC41" s="47">
        <f>U41</f>
        <v>0</v>
      </c>
      <c r="BD41" s="47">
        <f>IF(W41="By Reg",1,0)</f>
        <v>1</v>
      </c>
    </row>
    <row r="42" spans="2:57">
      <c r="B42" s="101" t="str">
        <f>IF(Main_Parameters!$C$43="TX0 Enable","REMend","WR32")</f>
        <v>WR32</v>
      </c>
      <c r="C42" s="102" t="s">
        <v>2021</v>
      </c>
      <c r="D42" s="515" t="s">
        <v>983</v>
      </c>
      <c r="E42" s="91" t="str">
        <f>Main_Parameters!$C$158</f>
        <v>00000081</v>
      </c>
      <c r="F42" s="92"/>
      <c r="G42"/>
      <c r="H42"/>
      <c r="I42"/>
      <c r="J42"/>
      <c r="K42"/>
      <c r="L42"/>
      <c r="M42"/>
      <c r="N42"/>
      <c r="O42"/>
      <c r="P42"/>
      <c r="Q42"/>
      <c r="R42"/>
      <c r="S42"/>
      <c r="T42"/>
      <c r="U42"/>
      <c r="V42"/>
      <c r="W42"/>
      <c r="X42" s="131"/>
      <c r="Y42" s="131"/>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c r="AY42" s="131"/>
      <c r="AZ42" s="131"/>
      <c r="BA42" s="131"/>
      <c r="BB42" s="131"/>
      <c r="BC42" s="131"/>
      <c r="BD42" s="131"/>
    </row>
    <row r="43" spans="2:57">
      <c r="B43" s="101" t="str">
        <f>IF(Main_Parameters!$C$43="TX0 Enable","REMend","WR32")</f>
        <v>WR32</v>
      </c>
      <c r="C43" s="102" t="s">
        <v>2022</v>
      </c>
      <c r="D43" s="515" t="s">
        <v>984</v>
      </c>
      <c r="E43" s="91" t="str">
        <f>Main_Parameters!$C$159</f>
        <v>00000001</v>
      </c>
      <c r="F43" s="92"/>
      <c r="G43"/>
      <c r="H43"/>
      <c r="I43"/>
      <c r="J43"/>
      <c r="K43"/>
      <c r="L43"/>
      <c r="M43"/>
      <c r="N43"/>
      <c r="O43"/>
      <c r="P43"/>
      <c r="Q43"/>
      <c r="R43"/>
      <c r="S43"/>
      <c r="T43"/>
      <c r="U43"/>
      <c r="V43"/>
      <c r="W43"/>
      <c r="X43" s="131"/>
      <c r="AH43" s="131"/>
    </row>
    <row r="44" spans="2:57">
      <c r="B44" s="101" t="str">
        <f>IF(Main_Parameters!$C$43="TX0 Enable","REMend","WR32")</f>
        <v>WR32</v>
      </c>
      <c r="C44" s="102" t="s">
        <v>2023</v>
      </c>
      <c r="D44" s="515" t="s">
        <v>985</v>
      </c>
      <c r="E44" s="91" t="str">
        <f>Main_Parameters!$C$160</f>
        <v>00000104</v>
      </c>
      <c r="F44" s="92"/>
      <c r="G44"/>
      <c r="H44"/>
      <c r="I44"/>
      <c r="J44"/>
      <c r="K44"/>
      <c r="L44"/>
      <c r="M44"/>
      <c r="N44"/>
      <c r="O44"/>
      <c r="P44"/>
      <c r="Q44"/>
      <c r="R44"/>
      <c r="S44"/>
      <c r="T44"/>
      <c r="U44"/>
      <c r="V44"/>
      <c r="W44"/>
      <c r="X44" s="131"/>
      <c r="AH44" s="131"/>
    </row>
    <row r="45" spans="2:57">
      <c r="B45" s="101" t="str">
        <f>IF(Main_Parameters!$C$43="TX0 Enable","REMend",IF(G45="Disable","REMend","WR32"))</f>
        <v>WR32</v>
      </c>
      <c r="C45" s="102" t="s">
        <v>2024</v>
      </c>
      <c r="D45" s="515" t="s">
        <v>2119</v>
      </c>
      <c r="E45" s="91" t="str">
        <f t="shared" si="4"/>
        <v>00000000</v>
      </c>
      <c r="F45" s="92"/>
      <c r="G45" s="104" t="s">
        <v>721</v>
      </c>
      <c r="H45" s="105"/>
      <c r="I45" s="121"/>
      <c r="J45" s="121"/>
      <c r="K45" s="121"/>
      <c r="L45" s="121"/>
      <c r="M45" s="122"/>
      <c r="N45" s="126" t="s">
        <v>2026</v>
      </c>
      <c r="O45" s="124" t="s">
        <v>2009</v>
      </c>
      <c r="P45" s="106" t="s">
        <v>2027</v>
      </c>
      <c r="Q45" s="113" t="s">
        <v>2009</v>
      </c>
      <c r="R45" s="125" t="s">
        <v>2028</v>
      </c>
      <c r="S45" s="113" t="s">
        <v>2009</v>
      </c>
      <c r="T45" s="112" t="s">
        <v>2029</v>
      </c>
      <c r="U45" s="113" t="s">
        <v>2009</v>
      </c>
      <c r="V45" s="112" t="s">
        <v>2030</v>
      </c>
      <c r="W45" s="104" t="s">
        <v>2009</v>
      </c>
      <c r="X45" s="63"/>
      <c r="Y45" s="47">
        <v>0</v>
      </c>
      <c r="Z45" s="47">
        <v>0</v>
      </c>
      <c r="AA45" s="47">
        <v>0</v>
      </c>
      <c r="AB45" s="47">
        <v>0</v>
      </c>
      <c r="AC45" s="47">
        <v>0</v>
      </c>
      <c r="AD45" s="47">
        <v>0</v>
      </c>
      <c r="AE45" s="47">
        <v>0</v>
      </c>
      <c r="AF45" s="47">
        <v>0</v>
      </c>
      <c r="AG45" s="47">
        <v>0</v>
      </c>
      <c r="AH45" s="47">
        <v>0</v>
      </c>
      <c r="AI45" s="47">
        <v>0</v>
      </c>
      <c r="AJ45" s="47">
        <v>0</v>
      </c>
      <c r="AK45" s="47">
        <v>0</v>
      </c>
      <c r="AL45" s="47">
        <v>0</v>
      </c>
      <c r="AM45" s="47">
        <v>0</v>
      </c>
      <c r="AN45" s="47">
        <v>0</v>
      </c>
      <c r="AO45" s="47">
        <v>0</v>
      </c>
      <c r="AP45" s="47">
        <v>0</v>
      </c>
      <c r="AQ45" s="47">
        <v>0</v>
      </c>
      <c r="AR45" s="47">
        <v>0</v>
      </c>
      <c r="AS45" s="47">
        <v>0</v>
      </c>
      <c r="AT45" s="47">
        <v>0</v>
      </c>
      <c r="AU45" s="47">
        <v>0</v>
      </c>
      <c r="AV45" s="47">
        <v>0</v>
      </c>
      <c r="AW45" s="47">
        <v>0</v>
      </c>
      <c r="AX45" s="47">
        <v>0</v>
      </c>
      <c r="AY45" s="47">
        <v>0</v>
      </c>
      <c r="AZ45" s="47">
        <f>IF(O45="Mask",1,0)</f>
        <v>0</v>
      </c>
      <c r="BA45" s="47">
        <f t="shared" ref="BA45:BA49" si="5">IF(Q45="Mask",1,0)</f>
        <v>0</v>
      </c>
      <c r="BB45" s="47">
        <f t="shared" ref="BB45:BB49" si="6">IF(S45="Mask",1,0)</f>
        <v>0</v>
      </c>
      <c r="BC45" s="47">
        <f t="shared" ref="BC45:BC49" si="7">IF(U45="Mask",1,0)</f>
        <v>0</v>
      </c>
      <c r="BD45" s="47">
        <f t="shared" ref="BD45:BD49" si="8">IF(W45="Mask",1,0)</f>
        <v>0</v>
      </c>
    </row>
    <row r="46" spans="2:57">
      <c r="B46" s="101" t="str">
        <f>IF(Main_Parameters!$C$43="TX0 Enable","REMend",IF(G46="Disable","REMend","WR32"))</f>
        <v>REMend</v>
      </c>
      <c r="C46" s="102" t="s">
        <v>2031</v>
      </c>
      <c r="D46" s="515" t="s">
        <v>2120</v>
      </c>
      <c r="E46" s="91" t="str">
        <f t="shared" si="4"/>
        <v>00000000</v>
      </c>
      <c r="F46" s="92"/>
      <c r="G46" s="104" t="s">
        <v>780</v>
      </c>
      <c r="H46" s="103"/>
      <c r="I46" s="110"/>
      <c r="J46" s="110"/>
      <c r="K46" s="110"/>
      <c r="L46" s="110"/>
      <c r="M46" s="110"/>
      <c r="N46" s="119"/>
      <c r="O46" s="112"/>
      <c r="P46" s="111" t="s">
        <v>2033</v>
      </c>
      <c r="Q46" s="113" t="s">
        <v>2009</v>
      </c>
      <c r="R46" s="111" t="s">
        <v>2034</v>
      </c>
      <c r="S46" s="113" t="s">
        <v>2009</v>
      </c>
      <c r="T46" s="111" t="s">
        <v>2035</v>
      </c>
      <c r="U46" s="113" t="s">
        <v>2009</v>
      </c>
      <c r="V46" s="111" t="s">
        <v>2036</v>
      </c>
      <c r="W46" s="104" t="s">
        <v>2009</v>
      </c>
      <c r="X46" s="63"/>
      <c r="Y46" s="47">
        <v>0</v>
      </c>
      <c r="Z46" s="47">
        <v>0</v>
      </c>
      <c r="AA46" s="47">
        <v>0</v>
      </c>
      <c r="AB46" s="47">
        <v>0</v>
      </c>
      <c r="AC46" s="47">
        <v>0</v>
      </c>
      <c r="AD46" s="47">
        <v>0</v>
      </c>
      <c r="AE46" s="47">
        <v>0</v>
      </c>
      <c r="AF46" s="47">
        <v>0</v>
      </c>
      <c r="AG46" s="47">
        <v>0</v>
      </c>
      <c r="AH46" s="47">
        <v>0</v>
      </c>
      <c r="AI46" s="47">
        <v>0</v>
      </c>
      <c r="AJ46" s="47">
        <v>0</v>
      </c>
      <c r="AK46" s="47">
        <v>0</v>
      </c>
      <c r="AL46" s="47">
        <v>0</v>
      </c>
      <c r="AM46" s="47">
        <v>0</v>
      </c>
      <c r="AN46" s="47">
        <v>0</v>
      </c>
      <c r="AO46" s="47">
        <v>0</v>
      </c>
      <c r="AP46" s="47">
        <v>0</v>
      </c>
      <c r="AQ46" s="47">
        <v>0</v>
      </c>
      <c r="AR46" s="47">
        <v>0</v>
      </c>
      <c r="AS46" s="47">
        <v>0</v>
      </c>
      <c r="AT46" s="47">
        <v>0</v>
      </c>
      <c r="AU46" s="47">
        <v>0</v>
      </c>
      <c r="AV46" s="47">
        <v>0</v>
      </c>
      <c r="AW46" s="47">
        <v>0</v>
      </c>
      <c r="AX46" s="47">
        <v>0</v>
      </c>
      <c r="AY46" s="47">
        <v>0</v>
      </c>
      <c r="AZ46" s="47">
        <v>0</v>
      </c>
      <c r="BA46" s="47">
        <f t="shared" si="5"/>
        <v>0</v>
      </c>
      <c r="BB46" s="47">
        <f t="shared" si="6"/>
        <v>0</v>
      </c>
      <c r="BC46" s="47">
        <f t="shared" si="7"/>
        <v>0</v>
      </c>
      <c r="BD46" s="47">
        <f t="shared" si="8"/>
        <v>0</v>
      </c>
    </row>
    <row r="47" spans="2:57" ht="15">
      <c r="B47" s="101" t="str">
        <f>IF(Main_Parameters!$C$43="TX0 Enable","REMend",IF(G47="Disable","REMend","WR32"))</f>
        <v>WR32</v>
      </c>
      <c r="C47" s="102" t="s">
        <v>2037</v>
      </c>
      <c r="D47" s="515" t="s">
        <v>2121</v>
      </c>
      <c r="E47" s="91" t="str">
        <f>DEC2HEX(HEX2DEC(K47),8)</f>
        <v>00000015</v>
      </c>
      <c r="F47" s="92"/>
      <c r="G47" s="104" t="s">
        <v>721</v>
      </c>
      <c r="H47" s="597" t="s">
        <v>2039</v>
      </c>
      <c r="I47" s="598"/>
      <c r="J47" s="599"/>
      <c r="K47" s="516" t="s">
        <v>2040</v>
      </c>
      <c r="L47" s="120" t="str">
        <f>IF(HEX2DEC(K47)&lt;0,"NG",IF(HEX2DEC(K47)&gt;31,"NG","OK"))</f>
        <v>OK</v>
      </c>
      <c r="M47" s="103"/>
      <c r="N47" s="110"/>
      <c r="O47" s="110"/>
      <c r="P47" s="110"/>
      <c r="Q47" s="110"/>
      <c r="R47" s="110"/>
      <c r="S47" s="110"/>
      <c r="T47" s="110"/>
      <c r="U47" s="110"/>
      <c r="V47" s="110"/>
      <c r="W47" s="111"/>
      <c r="X47" s="131"/>
      <c r="AH47" s="131"/>
    </row>
    <row r="48" spans="2:57">
      <c r="B48" s="101" t="str">
        <f>IF(Main_Parameters!$C$43="TX0 Enable","REMend",IF(G48="Disable","REMend","WR32"))</f>
        <v>REMend</v>
      </c>
      <c r="C48" s="102" t="s">
        <v>2041</v>
      </c>
      <c r="D48" s="515" t="s">
        <v>2122</v>
      </c>
      <c r="E48" s="91" t="str">
        <f t="shared" ref="E48:E52" si="9">DEC2HEX(Y48*2^31+Z48*2^30+AA48*2^29+AB48*2^28+AC48*2^27+AD48*2^26+AE48*2^25+AF48*2^24+AG48*2^23+AH48*2^22+AI48*2^21+AJ48*2^20+AK48*2^19+AL48*2^18+AM48*2^17+AN48*2^16+AO48*2^15+AP48*2^14+AQ48*2^13+AR48*2^12+AS48*2^11+AT48*2^10+AU48*2^9+AV48*2^8+AW48*2^7+AX48*2^6+AY48*2^5+AZ48*2^4+BA48*2^3+BB48*2^2+BC48*2^1+BD48*2^0,8)</f>
        <v>00000000</v>
      </c>
      <c r="F48" s="92"/>
      <c r="G48" s="104" t="s">
        <v>780</v>
      </c>
      <c r="H48" s="103"/>
      <c r="I48" s="110"/>
      <c r="J48" s="110"/>
      <c r="K48" s="110"/>
      <c r="L48" s="110"/>
      <c r="M48" s="110"/>
      <c r="N48" s="119"/>
      <c r="O48" s="112"/>
      <c r="P48" s="111" t="s">
        <v>2043</v>
      </c>
      <c r="Q48" s="113" t="s">
        <v>2009</v>
      </c>
      <c r="R48" s="103"/>
      <c r="S48" s="111"/>
      <c r="T48" s="111" t="s">
        <v>2044</v>
      </c>
      <c r="U48" s="113" t="s">
        <v>2009</v>
      </c>
      <c r="V48" s="103"/>
      <c r="W48" s="111"/>
      <c r="X48" s="63"/>
      <c r="Y48" s="47">
        <v>0</v>
      </c>
      <c r="Z48" s="47">
        <v>0</v>
      </c>
      <c r="AA48" s="47">
        <v>0</v>
      </c>
      <c r="AB48" s="47">
        <v>0</v>
      </c>
      <c r="AC48" s="47">
        <v>0</v>
      </c>
      <c r="AD48" s="47">
        <v>0</v>
      </c>
      <c r="AE48" s="47">
        <v>0</v>
      </c>
      <c r="AF48" s="47">
        <v>0</v>
      </c>
      <c r="AG48" s="47">
        <v>0</v>
      </c>
      <c r="AH48" s="47">
        <v>0</v>
      </c>
      <c r="AI48" s="47">
        <v>0</v>
      </c>
      <c r="AJ48" s="47">
        <v>0</v>
      </c>
      <c r="AK48" s="47">
        <v>0</v>
      </c>
      <c r="AL48" s="47">
        <v>0</v>
      </c>
      <c r="AM48" s="47">
        <v>0</v>
      </c>
      <c r="AN48" s="47">
        <v>0</v>
      </c>
      <c r="AO48" s="47">
        <v>0</v>
      </c>
      <c r="AP48" s="47">
        <v>0</v>
      </c>
      <c r="AQ48" s="47">
        <v>0</v>
      </c>
      <c r="AR48" s="47">
        <v>0</v>
      </c>
      <c r="AS48" s="47">
        <v>0</v>
      </c>
      <c r="AT48" s="47">
        <v>0</v>
      </c>
      <c r="AU48" s="47">
        <v>0</v>
      </c>
      <c r="AV48" s="47">
        <v>0</v>
      </c>
      <c r="AW48" s="47">
        <v>0</v>
      </c>
      <c r="AX48" s="47">
        <v>0</v>
      </c>
      <c r="AY48" s="47">
        <v>0</v>
      </c>
      <c r="AZ48" s="47">
        <v>0</v>
      </c>
      <c r="BA48" s="47">
        <f t="shared" si="5"/>
        <v>0</v>
      </c>
      <c r="BB48" s="47">
        <v>0</v>
      </c>
      <c r="BC48" s="47">
        <f t="shared" si="7"/>
        <v>0</v>
      </c>
      <c r="BD48" s="47">
        <v>0</v>
      </c>
    </row>
    <row r="49" spans="1:56" ht="15" customHeight="1">
      <c r="B49" s="101" t="str">
        <f>IF(Main_Parameters!$C$43="TX0 Enable","REMend",IF(G49="Disable","REMend","WR32"))</f>
        <v>WR32</v>
      </c>
      <c r="C49" s="102" t="s">
        <v>2045</v>
      </c>
      <c r="D49" s="515" t="s">
        <v>2123</v>
      </c>
      <c r="E49" s="91" t="str">
        <f t="shared" si="9"/>
        <v>00000000</v>
      </c>
      <c r="F49" s="92"/>
      <c r="G49" s="104" t="s">
        <v>721</v>
      </c>
      <c r="H49" s="106" t="s">
        <v>2047</v>
      </c>
      <c r="I49" s="104" t="s">
        <v>2009</v>
      </c>
      <c r="J49" s="106" t="s">
        <v>2048</v>
      </c>
      <c r="K49" s="104" t="s">
        <v>2009</v>
      </c>
      <c r="L49" s="106" t="s">
        <v>2049</v>
      </c>
      <c r="M49" s="104" t="s">
        <v>2009</v>
      </c>
      <c r="N49" s="106" t="s">
        <v>2050</v>
      </c>
      <c r="O49" s="104" t="s">
        <v>2009</v>
      </c>
      <c r="P49" s="106" t="s">
        <v>2051</v>
      </c>
      <c r="Q49" s="104" t="s">
        <v>2009</v>
      </c>
      <c r="R49" s="106" t="s">
        <v>2052</v>
      </c>
      <c r="S49" s="104" t="s">
        <v>2009</v>
      </c>
      <c r="T49" s="106" t="s">
        <v>2053</v>
      </c>
      <c r="U49" s="127" t="s">
        <v>2009</v>
      </c>
      <c r="V49" s="139" t="s">
        <v>2054</v>
      </c>
      <c r="W49" s="127" t="s">
        <v>2009</v>
      </c>
      <c r="X49" s="131"/>
      <c r="Y49" s="47">
        <v>0</v>
      </c>
      <c r="Z49" s="47">
        <v>0</v>
      </c>
      <c r="AA49" s="47">
        <v>0</v>
      </c>
      <c r="AB49" s="47">
        <v>0</v>
      </c>
      <c r="AC49" s="47">
        <v>0</v>
      </c>
      <c r="AD49" s="47">
        <v>0</v>
      </c>
      <c r="AE49" s="47">
        <v>0</v>
      </c>
      <c r="AF49" s="47">
        <v>0</v>
      </c>
      <c r="AG49" s="47">
        <v>0</v>
      </c>
      <c r="AH49" s="47">
        <v>0</v>
      </c>
      <c r="AI49" s="47">
        <v>0</v>
      </c>
      <c r="AJ49" s="47">
        <v>0</v>
      </c>
      <c r="AK49" s="47">
        <v>0</v>
      </c>
      <c r="AL49" s="47">
        <v>0</v>
      </c>
      <c r="AM49" s="47">
        <v>0</v>
      </c>
      <c r="AN49" s="47">
        <v>0</v>
      </c>
      <c r="AO49" s="47">
        <v>0</v>
      </c>
      <c r="AP49" s="47">
        <v>0</v>
      </c>
      <c r="AQ49" s="47">
        <v>0</v>
      </c>
      <c r="AR49" s="47">
        <v>0</v>
      </c>
      <c r="AS49" s="47">
        <v>0</v>
      </c>
      <c r="AT49" s="47">
        <v>0</v>
      </c>
      <c r="AU49" s="47">
        <f>IF(I49="Mask",1,0)</f>
        <v>0</v>
      </c>
      <c r="AV49" s="47">
        <f t="shared" ref="AV49:AZ49" si="10">IF(K49="Mask",1,0)</f>
        <v>0</v>
      </c>
      <c r="AW49" s="47">
        <v>0</v>
      </c>
      <c r="AX49" s="47">
        <f t="shared" si="10"/>
        <v>0</v>
      </c>
      <c r="AY49" s="47">
        <v>0</v>
      </c>
      <c r="AZ49" s="47">
        <f t="shared" si="10"/>
        <v>0</v>
      </c>
      <c r="BA49" s="47">
        <f t="shared" si="5"/>
        <v>0</v>
      </c>
      <c r="BB49" s="47">
        <f t="shared" si="6"/>
        <v>0</v>
      </c>
      <c r="BC49" s="47">
        <f t="shared" si="7"/>
        <v>0</v>
      </c>
      <c r="BD49" s="47">
        <f t="shared" si="8"/>
        <v>0</v>
      </c>
    </row>
    <row r="50" spans="1:56">
      <c r="B50" s="101" t="str">
        <f>IF(Main_Parameters!$C$43="TX0 Enable","REMend",IF(G50="Disable","REMend","WR32"))</f>
        <v>WR32</v>
      </c>
      <c r="C50" s="102" t="s">
        <v>2055</v>
      </c>
      <c r="D50" s="515" t="s">
        <v>2124</v>
      </c>
      <c r="E50" s="91" t="str">
        <f t="shared" si="9"/>
        <v>00000080</v>
      </c>
      <c r="F50" s="92"/>
      <c r="G50" s="104" t="s">
        <v>721</v>
      </c>
      <c r="H50" s="595" t="s">
        <v>2057</v>
      </c>
      <c r="I50" s="596"/>
      <c r="J50" s="127" t="s">
        <v>2009</v>
      </c>
      <c r="K50" s="127" t="s">
        <v>2009</v>
      </c>
      <c r="L50" s="104" t="s">
        <v>2009</v>
      </c>
      <c r="M50" s="104" t="s">
        <v>2009</v>
      </c>
      <c r="N50" s="104" t="s">
        <v>2009</v>
      </c>
      <c r="O50" s="104" t="s">
        <v>2009</v>
      </c>
      <c r="P50" s="128" t="s">
        <v>2006</v>
      </c>
      <c r="Q50" s="127" t="s">
        <v>2009</v>
      </c>
      <c r="R50" s="139"/>
      <c r="S50" s="127" t="s">
        <v>2009</v>
      </c>
      <c r="T50" s="124" t="s">
        <v>2009</v>
      </c>
      <c r="U50" s="140"/>
      <c r="V50" s="119"/>
      <c r="W50" s="112"/>
      <c r="X50" s="131"/>
      <c r="Y50" s="47">
        <v>0</v>
      </c>
      <c r="Z50" s="47">
        <v>0</v>
      </c>
      <c r="AA50" s="47">
        <v>0</v>
      </c>
      <c r="AB50" s="47">
        <v>0</v>
      </c>
      <c r="AC50" s="47">
        <v>0</v>
      </c>
      <c r="AD50" s="47">
        <v>0</v>
      </c>
      <c r="AE50" s="47">
        <v>0</v>
      </c>
      <c r="AF50" s="47">
        <v>0</v>
      </c>
      <c r="AG50" s="47">
        <v>0</v>
      </c>
      <c r="AH50" s="47">
        <v>0</v>
      </c>
      <c r="AI50" s="47">
        <v>0</v>
      </c>
      <c r="AJ50" s="47">
        <v>0</v>
      </c>
      <c r="AK50" s="47">
        <v>0</v>
      </c>
      <c r="AL50" s="47">
        <v>0</v>
      </c>
      <c r="AM50" s="47">
        <v>0</v>
      </c>
      <c r="AN50" s="47">
        <v>0</v>
      </c>
      <c r="AO50" s="47">
        <v>0</v>
      </c>
      <c r="AP50" s="47">
        <v>0</v>
      </c>
      <c r="AQ50" s="47">
        <f t="shared" ref="AQ50:AX50" si="11">IF(J50="Mask",1,0)</f>
        <v>0</v>
      </c>
      <c r="AR50" s="47">
        <f t="shared" si="11"/>
        <v>0</v>
      </c>
      <c r="AS50" s="47">
        <f t="shared" si="11"/>
        <v>0</v>
      </c>
      <c r="AT50" s="47">
        <f t="shared" si="11"/>
        <v>0</v>
      </c>
      <c r="AU50" s="47">
        <f t="shared" si="11"/>
        <v>0</v>
      </c>
      <c r="AV50" s="47">
        <f t="shared" si="11"/>
        <v>0</v>
      </c>
      <c r="AW50" s="47">
        <f t="shared" si="11"/>
        <v>1</v>
      </c>
      <c r="AX50" s="47">
        <f t="shared" si="11"/>
        <v>0</v>
      </c>
      <c r="AY50" s="47">
        <v>0</v>
      </c>
      <c r="AZ50" s="47">
        <f>IF(S50="Mask",1,0)</f>
        <v>0</v>
      </c>
      <c r="BA50" s="47">
        <f>IF(T50="Mask",1,0)</f>
        <v>0</v>
      </c>
      <c r="BB50" s="47">
        <v>0</v>
      </c>
      <c r="BC50" s="47">
        <v>0</v>
      </c>
      <c r="BD50" s="47">
        <v>0</v>
      </c>
    </row>
    <row r="51" spans="1:56" s="64" customFormat="1">
      <c r="A51" s="65"/>
      <c r="B51" s="101" t="str">
        <f>IF(Main_Parameters!$C$43="TX0 Enable","REMend",IF(G51="Disable","REMend","WR32"))</f>
        <v>WR32</v>
      </c>
      <c r="C51" s="102" t="s">
        <v>2058</v>
      </c>
      <c r="D51" s="515" t="s">
        <v>2125</v>
      </c>
      <c r="E51" s="91" t="str">
        <f t="shared" si="9"/>
        <v>00000000</v>
      </c>
      <c r="F51" s="92"/>
      <c r="G51" s="104" t="s">
        <v>721</v>
      </c>
      <c r="H51" s="107"/>
      <c r="I51" s="119"/>
      <c r="J51" s="119"/>
      <c r="K51" s="112"/>
      <c r="L51" s="112" t="s">
        <v>2060</v>
      </c>
      <c r="M51" s="104" t="s">
        <v>2009</v>
      </c>
      <c r="N51" s="106" t="s">
        <v>2061</v>
      </c>
      <c r="O51" s="113" t="s">
        <v>2009</v>
      </c>
      <c r="P51" s="107"/>
      <c r="Q51" s="119"/>
      <c r="R51" s="119"/>
      <c r="S51" s="119"/>
      <c r="T51" s="119"/>
      <c r="U51" s="112"/>
      <c r="V51" s="106" t="s">
        <v>2062</v>
      </c>
      <c r="W51" s="104" t="s">
        <v>2009</v>
      </c>
      <c r="X51" s="131"/>
      <c r="Y51" s="47">
        <v>0</v>
      </c>
      <c r="Z51" s="47">
        <v>0</v>
      </c>
      <c r="AA51" s="47">
        <v>0</v>
      </c>
      <c r="AB51" s="47">
        <v>0</v>
      </c>
      <c r="AC51" s="47">
        <v>0</v>
      </c>
      <c r="AD51" s="47">
        <v>0</v>
      </c>
      <c r="AE51" s="47">
        <v>0</v>
      </c>
      <c r="AF51" s="47">
        <v>0</v>
      </c>
      <c r="AG51" s="47">
        <v>0</v>
      </c>
      <c r="AH51" s="47">
        <v>0</v>
      </c>
      <c r="AI51" s="47">
        <v>0</v>
      </c>
      <c r="AJ51" s="47">
        <v>0</v>
      </c>
      <c r="AK51" s="47">
        <v>0</v>
      </c>
      <c r="AL51" s="47">
        <v>0</v>
      </c>
      <c r="AM51" s="47">
        <v>0</v>
      </c>
      <c r="AN51" s="47">
        <v>0</v>
      </c>
      <c r="AO51" s="47">
        <v>0</v>
      </c>
      <c r="AP51" s="47">
        <v>0</v>
      </c>
      <c r="AQ51" s="47">
        <v>0</v>
      </c>
      <c r="AR51" s="47">
        <v>0</v>
      </c>
      <c r="AS51" s="47">
        <v>0</v>
      </c>
      <c r="AT51" s="47">
        <v>0</v>
      </c>
      <c r="AU51" s="47">
        <f>IF(M51="Mask",1,0)</f>
        <v>0</v>
      </c>
      <c r="AV51" s="47">
        <f>IF(O51="Mask",1,0)</f>
        <v>0</v>
      </c>
      <c r="AW51" s="47">
        <v>0</v>
      </c>
      <c r="AX51" s="47">
        <v>0</v>
      </c>
      <c r="AY51" s="47">
        <v>0</v>
      </c>
      <c r="AZ51" s="47">
        <v>0</v>
      </c>
      <c r="BA51" s="47">
        <v>0</v>
      </c>
      <c r="BB51" s="47">
        <v>0</v>
      </c>
      <c r="BC51" s="47">
        <v>0</v>
      </c>
      <c r="BD51" s="47">
        <f>IF(W51="Mask",1,0)</f>
        <v>0</v>
      </c>
    </row>
    <row r="52" spans="1:56" s="64" customFormat="1">
      <c r="A52" s="65"/>
      <c r="B52" s="101" t="str">
        <f>IF(Main_Parameters!$C$43="TX0 Enable","REMend",IF(G52="Disable","REMend","WR32"))</f>
        <v>REMend</v>
      </c>
      <c r="C52" s="94" t="s">
        <v>2063</v>
      </c>
      <c r="D52" s="513" t="s">
        <v>2126</v>
      </c>
      <c r="E52" s="91" t="str">
        <f t="shared" si="9"/>
        <v>00000000</v>
      </c>
      <c r="F52" s="97"/>
      <c r="G52" s="104" t="s">
        <v>780</v>
      </c>
      <c r="H52" s="107"/>
      <c r="I52" s="119"/>
      <c r="J52" s="119"/>
      <c r="K52" s="119"/>
      <c r="L52" s="119"/>
      <c r="M52" s="112"/>
      <c r="N52" s="129" t="s">
        <v>2065</v>
      </c>
      <c r="O52" s="104">
        <v>0</v>
      </c>
      <c r="P52" s="129" t="s">
        <v>2066</v>
      </c>
      <c r="Q52" s="104">
        <v>0</v>
      </c>
      <c r="R52" s="129" t="s">
        <v>2067</v>
      </c>
      <c r="S52" s="104">
        <v>0</v>
      </c>
      <c r="T52" s="129" t="s">
        <v>2068</v>
      </c>
      <c r="U52" s="104">
        <v>0</v>
      </c>
      <c r="V52" s="129" t="s">
        <v>2069</v>
      </c>
      <c r="W52" s="104">
        <v>0</v>
      </c>
      <c r="X52" s="131"/>
      <c r="Y52" s="47">
        <v>0</v>
      </c>
      <c r="Z52" s="47">
        <v>0</v>
      </c>
      <c r="AA52" s="47">
        <v>0</v>
      </c>
      <c r="AB52" s="47">
        <v>0</v>
      </c>
      <c r="AC52" s="47">
        <v>0</v>
      </c>
      <c r="AD52" s="47">
        <v>0</v>
      </c>
      <c r="AE52" s="47">
        <v>0</v>
      </c>
      <c r="AF52" s="47">
        <v>0</v>
      </c>
      <c r="AG52" s="47">
        <v>0</v>
      </c>
      <c r="AH52" s="47">
        <v>0</v>
      </c>
      <c r="AI52" s="47">
        <v>0</v>
      </c>
      <c r="AJ52" s="47">
        <v>0</v>
      </c>
      <c r="AK52" s="47">
        <v>0</v>
      </c>
      <c r="AL52" s="47">
        <v>0</v>
      </c>
      <c r="AM52" s="47">
        <v>0</v>
      </c>
      <c r="AN52" s="47">
        <f>O52</f>
        <v>0</v>
      </c>
      <c r="AO52" s="47">
        <v>0</v>
      </c>
      <c r="AP52" s="47">
        <v>0</v>
      </c>
      <c r="AQ52" s="47">
        <v>0</v>
      </c>
      <c r="AR52" s="47">
        <f>Q52</f>
        <v>0</v>
      </c>
      <c r="AS52" s="47">
        <v>0</v>
      </c>
      <c r="AT52" s="47">
        <v>0</v>
      </c>
      <c r="AU52" s="47">
        <v>0</v>
      </c>
      <c r="AV52" s="47">
        <f>S52</f>
        <v>0</v>
      </c>
      <c r="AW52" s="47">
        <v>0</v>
      </c>
      <c r="AX52" s="47">
        <v>0</v>
      </c>
      <c r="AY52" s="47">
        <v>0</v>
      </c>
      <c r="AZ52" s="47">
        <f>U52</f>
        <v>0</v>
      </c>
      <c r="BA52" s="47">
        <v>0</v>
      </c>
      <c r="BB52" s="47">
        <v>0</v>
      </c>
      <c r="BC52" s="47">
        <v>0</v>
      </c>
      <c r="BD52" s="47">
        <f>W52</f>
        <v>0</v>
      </c>
    </row>
    <row r="53" spans="1:56" s="64" customFormat="1">
      <c r="A53" s="65"/>
      <c r="B53" s="101" t="str">
        <f>IF(Main_Parameters!$C$43="TX0 Enable","REMend","WR32")</f>
        <v>WR32</v>
      </c>
      <c r="C53" s="94" t="s">
        <v>871</v>
      </c>
      <c r="D53" s="513" t="s">
        <v>986</v>
      </c>
      <c r="E53" s="91" t="str">
        <f>Main_Parameters!$C$162</f>
        <v>00000006</v>
      </c>
      <c r="F53" s="97"/>
      <c r="G53"/>
      <c r="H53"/>
      <c r="I53"/>
      <c r="J53"/>
      <c r="K53"/>
      <c r="L53"/>
      <c r="M53"/>
      <c r="N53"/>
      <c r="O53"/>
      <c r="P53"/>
      <c r="Q53"/>
      <c r="R53"/>
      <c r="S53"/>
      <c r="T53"/>
      <c r="U53"/>
      <c r="V53"/>
      <c r="W53"/>
      <c r="X53" s="131"/>
      <c r="AH53" s="131"/>
    </row>
    <row r="54" spans="1:56" s="64" customFormat="1">
      <c r="A54" s="65"/>
      <c r="B54" s="101" t="str">
        <f>IF(Main_Parameters!$C$43="TX0 Enable","REMend","WR32")</f>
        <v>WR32</v>
      </c>
      <c r="C54" s="94" t="s">
        <v>878</v>
      </c>
      <c r="D54" s="513" t="s">
        <v>987</v>
      </c>
      <c r="E54" s="91" t="str">
        <f>Main_Parameters!$C$163</f>
        <v>00240204</v>
      </c>
      <c r="F54" s="97"/>
      <c r="G54"/>
      <c r="H54"/>
      <c r="I54"/>
      <c r="J54"/>
      <c r="K54"/>
      <c r="L54"/>
      <c r="M54"/>
      <c r="N54"/>
      <c r="O54"/>
      <c r="P54"/>
      <c r="Q54"/>
      <c r="R54"/>
      <c r="S54"/>
      <c r="T54"/>
      <c r="U54"/>
      <c r="V54"/>
      <c r="W54"/>
      <c r="X54" s="131"/>
      <c r="AH54" s="131"/>
    </row>
    <row r="55" spans="1:56" s="64" customFormat="1">
      <c r="A55" s="65"/>
      <c r="B55" s="101" t="str">
        <f>IF(Main_Parameters!$C$43="TX0 Enable","REMend","WR32")</f>
        <v>WR32</v>
      </c>
      <c r="C55" s="94" t="s">
        <v>2070</v>
      </c>
      <c r="D55" s="513" t="s">
        <v>988</v>
      </c>
      <c r="E55" s="91" t="str">
        <f>Main_Parameters!$C$164</f>
        <v>000D0008</v>
      </c>
      <c r="F55" s="97"/>
      <c r="G55"/>
      <c r="H55"/>
      <c r="I55"/>
      <c r="J55"/>
      <c r="K55"/>
      <c r="L55"/>
      <c r="M55"/>
      <c r="N55"/>
      <c r="O55"/>
      <c r="P55"/>
      <c r="Q55"/>
      <c r="R55"/>
      <c r="S55"/>
      <c r="T55"/>
      <c r="U55"/>
      <c r="V55"/>
      <c r="W55"/>
      <c r="X55" s="131"/>
      <c r="AH55" s="131"/>
    </row>
    <row r="56" spans="1:56" s="64" customFormat="1">
      <c r="A56" s="65"/>
      <c r="B56" s="101" t="str">
        <f>IF(Main_Parameters!$C$43="TX0 Enable","REMend","WR32")</f>
        <v>WR32</v>
      </c>
      <c r="C56" s="94" t="s">
        <v>899</v>
      </c>
      <c r="D56" s="513" t="s">
        <v>989</v>
      </c>
      <c r="E56" s="91" t="str">
        <f>Main_Parameters!$C$165</f>
        <v>00140006</v>
      </c>
      <c r="F56" s="97"/>
      <c r="G56"/>
      <c r="H56"/>
      <c r="I56"/>
      <c r="J56"/>
      <c r="K56"/>
      <c r="L56"/>
      <c r="M56"/>
      <c r="N56"/>
      <c r="O56"/>
      <c r="P56"/>
      <c r="Q56"/>
      <c r="R56"/>
      <c r="S56"/>
      <c r="T56"/>
      <c r="U56"/>
      <c r="V56"/>
      <c r="W56"/>
      <c r="X56" s="131"/>
      <c r="AH56" s="131"/>
    </row>
    <row r="57" spans="1:56" s="64" customFormat="1">
      <c r="A57" s="65"/>
      <c r="B57" s="101" t="str">
        <f>IF(Main_Parameters!$C$43="TX0 Enable","REMend","WR32")</f>
        <v>WR32</v>
      </c>
      <c r="C57" s="94" t="s">
        <v>907</v>
      </c>
      <c r="D57" s="513" t="s">
        <v>990</v>
      </c>
      <c r="E57" s="91" t="str">
        <f>Main_Parameters!$C$166</f>
        <v>00004268</v>
      </c>
      <c r="F57" s="97"/>
      <c r="G57"/>
      <c r="H57"/>
      <c r="I57"/>
      <c r="J57"/>
      <c r="K57"/>
      <c r="L57"/>
      <c r="M57"/>
      <c r="N57"/>
      <c r="O57"/>
      <c r="P57"/>
      <c r="Q57"/>
      <c r="R57"/>
      <c r="S57"/>
      <c r="T57"/>
      <c r="U57"/>
      <c r="V57"/>
      <c r="W57"/>
      <c r="X57" s="131"/>
      <c r="AH57" s="131"/>
    </row>
    <row r="58" spans="1:56" s="64" customFormat="1">
      <c r="A58" s="65"/>
      <c r="B58" s="101" t="str">
        <f>IF(Main_Parameters!$C$43="TX0 Enable","REMend","WR32")</f>
        <v>WR32</v>
      </c>
      <c r="C58" s="94" t="s">
        <v>2071</v>
      </c>
      <c r="D58" s="513" t="s">
        <v>991</v>
      </c>
      <c r="E58" s="91" t="str">
        <f>Main_Parameters!$C$167</f>
        <v>0000000F</v>
      </c>
      <c r="F58" s="97"/>
      <c r="G58"/>
      <c r="H58"/>
      <c r="I58"/>
      <c r="J58"/>
      <c r="K58"/>
      <c r="L58"/>
      <c r="M58"/>
      <c r="N58"/>
      <c r="O58"/>
      <c r="P58"/>
      <c r="Q58"/>
      <c r="R58"/>
      <c r="S58"/>
      <c r="T58"/>
      <c r="U58"/>
      <c r="V58"/>
      <c r="W58"/>
      <c r="X58" s="131"/>
      <c r="AH58" s="131"/>
    </row>
    <row r="59" spans="1:56" s="64" customFormat="1">
      <c r="A59" s="65"/>
      <c r="B59" s="101" t="str">
        <f>IF(Main_Parameters!$C$43="TX0 Enable","REMend","WR32")</f>
        <v>WR32</v>
      </c>
      <c r="C59" s="94" t="s">
        <v>2072</v>
      </c>
      <c r="D59" s="513" t="s">
        <v>992</v>
      </c>
      <c r="E59" s="91" t="str">
        <f>Main_Parameters!$C$168</f>
        <v>000D0008</v>
      </c>
      <c r="F59" s="97"/>
      <c r="G59"/>
      <c r="H59"/>
      <c r="I59"/>
      <c r="J59"/>
      <c r="K59" s="130"/>
      <c r="L59"/>
      <c r="M59"/>
      <c r="N59"/>
      <c r="O59"/>
      <c r="P59"/>
      <c r="Q59"/>
      <c r="R59"/>
      <c r="S59"/>
      <c r="T59"/>
      <c r="U59"/>
      <c r="V59"/>
      <c r="W59"/>
      <c r="X59" s="131"/>
      <c r="AH59" s="131"/>
    </row>
    <row r="60" spans="1:56" s="64" customFormat="1">
      <c r="A60" s="65"/>
      <c r="B60" s="101" t="str">
        <f>IF(Main_Parameters!$C$43="TX0 Enable","REMend","WR32")</f>
        <v>WR32</v>
      </c>
      <c r="C60" s="94" t="s">
        <v>2073</v>
      </c>
      <c r="D60" s="513" t="s">
        <v>2127</v>
      </c>
      <c r="E60" s="511" t="s">
        <v>2075</v>
      </c>
      <c r="F60" s="97"/>
      <c r="G60"/>
      <c r="H60"/>
      <c r="I60"/>
      <c r="J60"/>
      <c r="K60"/>
      <c r="L60"/>
      <c r="M60"/>
      <c r="N60"/>
      <c r="O60"/>
      <c r="P60"/>
      <c r="Q60"/>
      <c r="R60"/>
      <c r="S60"/>
      <c r="T60"/>
      <c r="U60"/>
      <c r="V60"/>
      <c r="W60"/>
      <c r="X60" s="131"/>
      <c r="AH60" s="131"/>
    </row>
    <row r="61" spans="1:56" s="64" customFormat="1">
      <c r="A61" s="65"/>
      <c r="B61" s="101" t="str">
        <f>IF(Main_Parameters!$C$43="TX0 Enable","REMend","WR32")</f>
        <v>WR32</v>
      </c>
      <c r="C61" s="94" t="s">
        <v>2076</v>
      </c>
      <c r="D61" s="513" t="s">
        <v>993</v>
      </c>
      <c r="E61" s="91" t="str">
        <f>Main_Parameters!$C$170</f>
        <v>0000001F</v>
      </c>
      <c r="F61" s="97"/>
      <c r="G61"/>
      <c r="H61"/>
      <c r="I61"/>
      <c r="J61"/>
      <c r="K61"/>
      <c r="L61"/>
      <c r="M61"/>
      <c r="N61"/>
      <c r="O61"/>
      <c r="P61"/>
      <c r="Q61"/>
      <c r="R61"/>
      <c r="S61"/>
      <c r="T61"/>
      <c r="U61"/>
      <c r="V61"/>
      <c r="W61"/>
      <c r="X61" s="131"/>
      <c r="AH61" s="131"/>
    </row>
    <row r="62" spans="1:56" s="64" customFormat="1">
      <c r="A62" s="65"/>
      <c r="B62" s="101" t="str">
        <f>IF(Main_Parameters!$C$43="TX0 Enable","REMend","WR32")</f>
        <v>WR32</v>
      </c>
      <c r="C62" s="94" t="s">
        <v>925</v>
      </c>
      <c r="D62" s="513" t="s">
        <v>994</v>
      </c>
      <c r="E62" s="91" t="str">
        <f>Main_Parameters!$C$171</f>
        <v>00060005</v>
      </c>
      <c r="F62" s="97"/>
      <c r="G62"/>
      <c r="H62"/>
      <c r="I62"/>
      <c r="J62"/>
      <c r="K62"/>
      <c r="L62"/>
      <c r="M62"/>
      <c r="N62"/>
      <c r="O62"/>
      <c r="P62"/>
      <c r="Q62"/>
      <c r="R62"/>
      <c r="S62"/>
      <c r="T62"/>
      <c r="U62"/>
      <c r="V62"/>
      <c r="W62"/>
      <c r="X62" s="131"/>
      <c r="AH62" s="131"/>
    </row>
    <row r="63" spans="1:56" s="64" customFormat="1">
      <c r="A63" s="65"/>
      <c r="B63" s="101" t="str">
        <f>IF(Main_Parameters!$C$43="TX0 Enable","REMend",IF(G63="Disable","REMend","WR32"))</f>
        <v>WR32</v>
      </c>
      <c r="C63" s="94" t="s">
        <v>2077</v>
      </c>
      <c r="D63" s="513" t="s">
        <v>2128</v>
      </c>
      <c r="E63" s="91" t="str">
        <f t="shared" ref="E63:E68" si="12">DEC2HEX(Y63*2^31+Z63*2^30+AA63*2^29+AB63*2^28+AC63*2^27+AD63*2^26+AE63*2^25+AF63*2^24+AG63*2^23+AH63*2^22+AI63*2^21+AJ63*2^20+AK63*2^19+AL63*2^18+AM63*2^17+AN63*2^16+AO63*2^15+AP63*2^14+AQ63*2^13+AR63*2^12+AS63*2^11+AT63*2^10+AU63*2^9+AV63*2^8+AW63*2^7+AX63*2^6+AY63*2^5+AZ63*2^4+BA63*2^3+BB63*2^2+BC63*2^1+BD63*2^0,8)</f>
        <v>00000002</v>
      </c>
      <c r="F63" s="97"/>
      <c r="G63" s="104" t="s">
        <v>721</v>
      </c>
      <c r="H63" s="107"/>
      <c r="I63" s="119"/>
      <c r="J63" s="119"/>
      <c r="K63" s="119"/>
      <c r="L63" s="119"/>
      <c r="M63" s="112"/>
      <c r="N63" s="112" t="s">
        <v>2079</v>
      </c>
      <c r="O63" s="104" t="s">
        <v>2080</v>
      </c>
      <c r="P63" s="106" t="s">
        <v>2081</v>
      </c>
      <c r="Q63" s="104" t="s">
        <v>2080</v>
      </c>
      <c r="R63" s="106" t="s">
        <v>2082</v>
      </c>
      <c r="S63" s="104" t="s">
        <v>2080</v>
      </c>
      <c r="T63" s="106" t="s">
        <v>2083</v>
      </c>
      <c r="U63" s="104" t="s">
        <v>2080</v>
      </c>
      <c r="V63" s="106" t="s">
        <v>2084</v>
      </c>
      <c r="W63" s="104" t="s">
        <v>2085</v>
      </c>
      <c r="X63" s="131"/>
      <c r="Y63" s="47">
        <v>0</v>
      </c>
      <c r="Z63" s="47">
        <v>0</v>
      </c>
      <c r="AA63" s="47">
        <v>0</v>
      </c>
      <c r="AB63" s="47">
        <v>0</v>
      </c>
      <c r="AC63" s="47">
        <v>0</v>
      </c>
      <c r="AD63" s="47">
        <v>0</v>
      </c>
      <c r="AE63" s="47">
        <v>0</v>
      </c>
      <c r="AF63" s="47">
        <v>0</v>
      </c>
      <c r="AG63" s="47">
        <v>0</v>
      </c>
      <c r="AH63" s="47">
        <v>0</v>
      </c>
      <c r="AI63" s="47">
        <v>0</v>
      </c>
      <c r="AJ63" s="47">
        <v>0</v>
      </c>
      <c r="AK63" s="47">
        <v>0</v>
      </c>
      <c r="AL63" s="47">
        <v>0</v>
      </c>
      <c r="AM63" s="47">
        <v>0</v>
      </c>
      <c r="AN63" s="47">
        <v>0</v>
      </c>
      <c r="AO63" s="47">
        <v>0</v>
      </c>
      <c r="AP63" s="47">
        <v>0</v>
      </c>
      <c r="AQ63" s="47">
        <v>0</v>
      </c>
      <c r="AR63" s="47">
        <v>0</v>
      </c>
      <c r="AS63" s="47">
        <v>0</v>
      </c>
      <c r="AT63" s="47">
        <v>0</v>
      </c>
      <c r="AU63" s="47">
        <v>0</v>
      </c>
      <c r="AV63" s="47">
        <f t="shared" ref="AV63:AZ63" si="13">IF(O63="No Add",0,IF(O63="25% Add",2,3))</f>
        <v>0</v>
      </c>
      <c r="AW63" s="47">
        <v>0</v>
      </c>
      <c r="AX63" s="47">
        <f t="shared" si="13"/>
        <v>0</v>
      </c>
      <c r="AY63" s="47">
        <v>0</v>
      </c>
      <c r="AZ63" s="47">
        <f t="shared" si="13"/>
        <v>0</v>
      </c>
      <c r="BA63" s="47">
        <v>0</v>
      </c>
      <c r="BB63" s="47">
        <f>IF(U63="No Add",0,IF(U63="25% Add",2,3))</f>
        <v>0</v>
      </c>
      <c r="BC63" s="47">
        <v>0</v>
      </c>
      <c r="BD63" s="47">
        <f>IF(W63="No Add",0,IF(W63="25% Add",2,3))</f>
        <v>2</v>
      </c>
    </row>
    <row r="64" spans="1:56" s="64" customFormat="1">
      <c r="A64" s="65"/>
      <c r="B64" s="101" t="str">
        <f>IF(Main_Parameters!$C$43="TX0 Enable","REMend",IF(G64="Disable","REMend","WR32"))</f>
        <v>REMend</v>
      </c>
      <c r="C64" s="94" t="s">
        <v>2086</v>
      </c>
      <c r="D64" s="513" t="s">
        <v>2129</v>
      </c>
      <c r="E64" s="91" t="str">
        <f t="shared" si="12"/>
        <v>00000000</v>
      </c>
      <c r="F64" s="97"/>
      <c r="G64" s="104" t="s">
        <v>780</v>
      </c>
      <c r="H64" s="107"/>
      <c r="I64" s="119"/>
      <c r="J64" s="119"/>
      <c r="K64" s="119"/>
      <c r="L64" s="119"/>
      <c r="M64" s="112"/>
      <c r="N64" s="106" t="s">
        <v>2088</v>
      </c>
      <c r="O64" s="104">
        <v>0</v>
      </c>
      <c r="P64" s="106" t="s">
        <v>2089</v>
      </c>
      <c r="Q64" s="104">
        <v>0</v>
      </c>
      <c r="R64" s="106" t="s">
        <v>2090</v>
      </c>
      <c r="S64" s="104">
        <v>0</v>
      </c>
      <c r="T64" s="106" t="s">
        <v>2091</v>
      </c>
      <c r="U64" s="104">
        <v>0</v>
      </c>
      <c r="V64" s="106" t="s">
        <v>2092</v>
      </c>
      <c r="W64" s="104">
        <v>0</v>
      </c>
      <c r="X64" s="131"/>
      <c r="Y64" s="47">
        <v>0</v>
      </c>
      <c r="Z64" s="47">
        <v>0</v>
      </c>
      <c r="AA64" s="47">
        <v>0</v>
      </c>
      <c r="AB64" s="47">
        <v>0</v>
      </c>
      <c r="AC64" s="47">
        <v>0</v>
      </c>
      <c r="AD64" s="47">
        <v>0</v>
      </c>
      <c r="AE64" s="47">
        <v>0</v>
      </c>
      <c r="AF64" s="47">
        <v>0</v>
      </c>
      <c r="AG64" s="47">
        <v>0</v>
      </c>
      <c r="AH64" s="47">
        <v>0</v>
      </c>
      <c r="AI64" s="47">
        <v>0</v>
      </c>
      <c r="AJ64" s="47">
        <v>0</v>
      </c>
      <c r="AK64" s="47">
        <v>0</v>
      </c>
      <c r="AL64" s="47">
        <v>0</v>
      </c>
      <c r="AM64" s="47">
        <v>0</v>
      </c>
      <c r="AN64" s="47">
        <v>0</v>
      </c>
      <c r="AO64" s="47">
        <v>0</v>
      </c>
      <c r="AP64" s="47">
        <v>0</v>
      </c>
      <c r="AQ64" s="47">
        <v>0</v>
      </c>
      <c r="AR64" s="47">
        <v>0</v>
      </c>
      <c r="AS64" s="47">
        <v>0</v>
      </c>
      <c r="AT64" s="47">
        <v>0</v>
      </c>
      <c r="AU64" s="47">
        <v>0</v>
      </c>
      <c r="AV64" s="47">
        <f t="shared" ref="AV64:AZ64" si="14">O64</f>
        <v>0</v>
      </c>
      <c r="AW64" s="47">
        <v>0</v>
      </c>
      <c r="AX64" s="47">
        <f t="shared" si="14"/>
        <v>0</v>
      </c>
      <c r="AY64" s="47">
        <v>0</v>
      </c>
      <c r="AZ64" s="47">
        <f t="shared" si="14"/>
        <v>0</v>
      </c>
      <c r="BA64" s="47">
        <v>0</v>
      </c>
      <c r="BB64" s="47">
        <f>U64</f>
        <v>0</v>
      </c>
      <c r="BC64" s="47">
        <v>0</v>
      </c>
      <c r="BD64" s="47">
        <f>W64</f>
        <v>0</v>
      </c>
    </row>
    <row r="65" spans="1:57" s="64" customFormat="1">
      <c r="A65" s="65"/>
      <c r="B65" s="101" t="str">
        <f>IF(Main_Parameters!$C$43="TX0 Enable","REMend","WR32")</f>
        <v>WR32</v>
      </c>
      <c r="C65" s="89" t="s">
        <v>2093</v>
      </c>
      <c r="D65" s="513" t="s">
        <v>2130</v>
      </c>
      <c r="E65" s="511" t="s">
        <v>1921</v>
      </c>
      <c r="F65" s="97"/>
      <c r="G65"/>
      <c r="H65"/>
      <c r="I65"/>
      <c r="J65"/>
      <c r="K65"/>
      <c r="L65"/>
      <c r="M65"/>
      <c r="N65"/>
      <c r="O65"/>
      <c r="P65"/>
      <c r="Q65"/>
      <c r="R65"/>
      <c r="S65"/>
      <c r="T65"/>
      <c r="U65"/>
      <c r="V65"/>
      <c r="W65"/>
    </row>
    <row r="66" spans="1:57" s="64" customFormat="1">
      <c r="A66" s="65"/>
      <c r="B66" s="84" t="s">
        <v>1032</v>
      </c>
      <c r="C66" s="99" t="s">
        <v>1918</v>
      </c>
      <c r="D66" s="84"/>
      <c r="E66" s="100"/>
      <c r="F66" s="87"/>
      <c r="G66"/>
      <c r="H66"/>
      <c r="I66"/>
      <c r="J66"/>
      <c r="K66"/>
      <c r="L66"/>
      <c r="M66"/>
      <c r="N66"/>
      <c r="O66"/>
      <c r="P66"/>
      <c r="Q66"/>
      <c r="R66"/>
      <c r="S66"/>
      <c r="T66"/>
      <c r="U66"/>
      <c r="V66"/>
      <c r="W66"/>
      <c r="X66" s="131"/>
      <c r="AH66" s="131"/>
    </row>
    <row r="67" spans="1:57">
      <c r="B67" s="101" t="str">
        <f>IF(Main_Parameters!$C$43="TX1 Enable","REMend","WR32")</f>
        <v>WR32</v>
      </c>
      <c r="C67" s="102" t="s">
        <v>1919</v>
      </c>
      <c r="D67" s="515" t="s">
        <v>1920</v>
      </c>
      <c r="E67" s="511" t="s">
        <v>1921</v>
      </c>
      <c r="F67" s="92"/>
      <c r="G67"/>
      <c r="H67"/>
      <c r="I67"/>
      <c r="J67"/>
      <c r="K67"/>
      <c r="L67"/>
      <c r="M67"/>
      <c r="N67"/>
      <c r="O67"/>
      <c r="P67"/>
      <c r="Q67"/>
      <c r="R67"/>
      <c r="S67"/>
      <c r="T67"/>
      <c r="U67"/>
      <c r="V67"/>
      <c r="W67"/>
      <c r="X67" s="131"/>
      <c r="Y67" s="64">
        <v>31</v>
      </c>
      <c r="Z67" s="64">
        <v>30</v>
      </c>
      <c r="AA67" s="64">
        <v>29</v>
      </c>
      <c r="AB67" s="64">
        <v>28</v>
      </c>
      <c r="AC67" s="64">
        <v>27</v>
      </c>
      <c r="AD67" s="64">
        <v>26</v>
      </c>
      <c r="AE67" s="64">
        <v>25</v>
      </c>
      <c r="AF67" s="64">
        <v>24</v>
      </c>
      <c r="AG67" s="64">
        <v>23</v>
      </c>
      <c r="AH67" s="131">
        <v>22</v>
      </c>
      <c r="AI67" s="64">
        <v>21</v>
      </c>
      <c r="AJ67" s="64">
        <v>20</v>
      </c>
      <c r="AK67" s="64">
        <v>19</v>
      </c>
      <c r="AL67" s="64">
        <v>18</v>
      </c>
      <c r="AM67" s="64">
        <v>17</v>
      </c>
      <c r="AN67" s="64">
        <v>16</v>
      </c>
      <c r="AO67" s="64">
        <v>15</v>
      </c>
      <c r="AP67" s="64">
        <v>14</v>
      </c>
      <c r="AQ67" s="64">
        <v>13</v>
      </c>
      <c r="AR67" s="64">
        <v>12</v>
      </c>
      <c r="AS67" s="64">
        <v>11</v>
      </c>
      <c r="AT67" s="64">
        <v>10</v>
      </c>
      <c r="AU67" s="64">
        <v>9</v>
      </c>
      <c r="AV67" s="64">
        <v>8</v>
      </c>
      <c r="AW67" s="64">
        <v>7</v>
      </c>
      <c r="AX67" s="64">
        <v>6</v>
      </c>
      <c r="AY67" s="64">
        <v>5</v>
      </c>
      <c r="AZ67" s="64">
        <v>4</v>
      </c>
      <c r="BA67" s="64">
        <v>3</v>
      </c>
      <c r="BB67" s="64">
        <v>2</v>
      </c>
      <c r="BC67" s="64">
        <v>1</v>
      </c>
      <c r="BD67" s="64">
        <v>0</v>
      </c>
    </row>
    <row r="68" spans="1:57">
      <c r="B68" s="101" t="str">
        <f>IF(Main_Parameters!$C$43="TX1 Enable","REMend","WR32")</f>
        <v>WR32</v>
      </c>
      <c r="C68" s="102" t="s">
        <v>1922</v>
      </c>
      <c r="D68" s="515" t="s">
        <v>1923</v>
      </c>
      <c r="E68" s="91" t="str">
        <f t="shared" si="12"/>
        <v>00000001</v>
      </c>
      <c r="F68" s="92"/>
      <c r="G68" s="20"/>
      <c r="H68" s="103"/>
      <c r="I68" s="110"/>
      <c r="J68" s="110"/>
      <c r="K68" s="111"/>
      <c r="L68" s="106" t="s">
        <v>1924</v>
      </c>
      <c r="M68" s="104" t="s">
        <v>1925</v>
      </c>
      <c r="N68" s="106" t="s">
        <v>1926</v>
      </c>
      <c r="O68" s="104" t="s">
        <v>1925</v>
      </c>
      <c r="P68" s="153"/>
      <c r="Q68" s="114"/>
      <c r="R68" s="114"/>
      <c r="S68" s="114"/>
      <c r="T68" s="114"/>
      <c r="U68" s="132"/>
      <c r="V68" s="106" t="s">
        <v>1927</v>
      </c>
      <c r="W68" s="104" t="s">
        <v>721</v>
      </c>
      <c r="X68" s="63"/>
      <c r="Y68" s="47">
        <v>0</v>
      </c>
      <c r="Z68" s="47">
        <v>0</v>
      </c>
      <c r="AA68" s="47">
        <v>0</v>
      </c>
      <c r="AB68" s="47">
        <v>0</v>
      </c>
      <c r="AC68" s="47">
        <v>0</v>
      </c>
      <c r="AD68" s="47">
        <v>0</v>
      </c>
      <c r="AE68" s="47">
        <v>0</v>
      </c>
      <c r="AF68" s="47">
        <v>0</v>
      </c>
      <c r="AG68" s="47">
        <v>0</v>
      </c>
      <c r="AH68" s="63">
        <v>0</v>
      </c>
      <c r="AI68" s="47">
        <v>0</v>
      </c>
      <c r="AJ68" s="47">
        <v>0</v>
      </c>
      <c r="AK68" s="47">
        <v>0</v>
      </c>
      <c r="AL68" s="47">
        <v>0</v>
      </c>
      <c r="AM68" s="47">
        <v>0</v>
      </c>
      <c r="AN68" s="47">
        <v>0</v>
      </c>
      <c r="AO68" s="47">
        <v>0</v>
      </c>
      <c r="AP68" s="47">
        <v>0</v>
      </c>
      <c r="AQ68" s="47">
        <v>0</v>
      </c>
      <c r="AR68" s="47">
        <v>0</v>
      </c>
      <c r="AS68" s="47">
        <v>0</v>
      </c>
      <c r="AT68" s="47">
        <f>IF(M68="HSCK/8",0,IF(M68="HSCK/4",1,2))</f>
        <v>0</v>
      </c>
      <c r="AU68" s="47">
        <v>0</v>
      </c>
      <c r="AV68" s="47">
        <f>IF(O68="HSCK/8",0,IF(O68="HSCK/4",1,2))</f>
        <v>0</v>
      </c>
      <c r="AW68" s="47">
        <v>0</v>
      </c>
      <c r="AX68" s="47">
        <v>0</v>
      </c>
      <c r="AY68" s="47">
        <v>0</v>
      </c>
      <c r="AZ68" s="47">
        <v>0</v>
      </c>
      <c r="BA68" s="47">
        <v>0</v>
      </c>
      <c r="BB68" s="47">
        <v>0</v>
      </c>
      <c r="BC68" s="47">
        <v>0</v>
      </c>
      <c r="BD68" s="47">
        <f>IF(W68="Enable",1,0)</f>
        <v>1</v>
      </c>
    </row>
    <row r="69" spans="1:57">
      <c r="B69" s="101" t="str">
        <f>IF(Main_Parameters!$C$43="TX1 Enable","REMend","WR32")</f>
        <v>WR32</v>
      </c>
      <c r="C69" s="89" t="s">
        <v>1928</v>
      </c>
      <c r="D69" s="513" t="s">
        <v>1929</v>
      </c>
      <c r="E69" s="511" t="s">
        <v>1921</v>
      </c>
      <c r="F69" s="97"/>
      <c r="G69"/>
      <c r="H69"/>
      <c r="I69"/>
      <c r="J69"/>
      <c r="K69"/>
      <c r="L69"/>
      <c r="M69"/>
      <c r="N69"/>
      <c r="O69"/>
      <c r="P69"/>
      <c r="Q69"/>
      <c r="R69"/>
      <c r="S69"/>
      <c r="T69"/>
      <c r="U69"/>
      <c r="V69"/>
      <c r="W69"/>
    </row>
    <row r="70" spans="1:57">
      <c r="B70" s="101" t="str">
        <f>IF(Main_Parameters!$C$43="TX1 Enable","REMend","WR32")</f>
        <v>WR32</v>
      </c>
      <c r="C70" s="102" t="s">
        <v>1930</v>
      </c>
      <c r="D70" s="515" t="s">
        <v>957</v>
      </c>
      <c r="E70" s="91" t="str">
        <f>Main_Parameters!$C$124</f>
        <v>000090CF</v>
      </c>
      <c r="F70" s="92" t="s">
        <v>1931</v>
      </c>
      <c r="G70"/>
      <c r="H70"/>
      <c r="I70"/>
      <c r="J70"/>
      <c r="K70"/>
      <c r="L70"/>
      <c r="M70"/>
      <c r="N70"/>
      <c r="O70"/>
      <c r="P70"/>
      <c r="Q70"/>
      <c r="R70"/>
      <c r="S70"/>
      <c r="T70"/>
      <c r="U70"/>
      <c r="V70"/>
      <c r="W70"/>
      <c r="X70" s="131"/>
      <c r="AH70" s="131"/>
    </row>
    <row r="71" spans="1:57">
      <c r="B71" s="101" t="str">
        <f>IF(Main_Parameters!$C$43="TX1 Enable","REMend","delay")</f>
        <v>delay</v>
      </c>
      <c r="C71" s="102"/>
      <c r="D71" s="96">
        <v>1000</v>
      </c>
      <c r="E71" s="96"/>
      <c r="F71" s="92"/>
      <c r="G71"/>
      <c r="H71"/>
      <c r="I71"/>
      <c r="J71"/>
      <c r="K71"/>
      <c r="L71"/>
      <c r="M71"/>
      <c r="N71"/>
      <c r="O71"/>
      <c r="P71"/>
      <c r="Q71"/>
      <c r="R71"/>
      <c r="S71"/>
      <c r="T71"/>
      <c r="U71"/>
      <c r="V71"/>
      <c r="W71"/>
      <c r="X71" s="131"/>
      <c r="AH71" s="131"/>
    </row>
    <row r="72" spans="1:57">
      <c r="B72" s="101" t="str">
        <f>IF(Main_Parameters!$C$43="TX1 Enable","REMend","WR32")</f>
        <v>WR32</v>
      </c>
      <c r="C72" s="89" t="s">
        <v>1928</v>
      </c>
      <c r="D72" s="513" t="s">
        <v>1929</v>
      </c>
      <c r="E72" s="511" t="s">
        <v>1932</v>
      </c>
      <c r="F72" s="97"/>
      <c r="G72"/>
      <c r="H72"/>
      <c r="I72"/>
      <c r="J72"/>
      <c r="K72"/>
      <c r="L72"/>
      <c r="M72"/>
      <c r="N72"/>
      <c r="O72"/>
      <c r="P72"/>
      <c r="Q72"/>
      <c r="R72"/>
      <c r="S72"/>
      <c r="T72"/>
      <c r="U72"/>
      <c r="V72"/>
      <c r="W72"/>
    </row>
    <row r="73" spans="1:57">
      <c r="B73" s="101" t="str">
        <f>IF(Main_Parameters!$C$43="TX1 Enable","REMend","WR32")</f>
        <v>WR32</v>
      </c>
      <c r="C73" s="102" t="s">
        <v>1933</v>
      </c>
      <c r="D73" s="515" t="s">
        <v>959</v>
      </c>
      <c r="E73" s="91" t="str">
        <f>Main_Parameters!$C$127</f>
        <v>00000014</v>
      </c>
      <c r="F73" s="92"/>
      <c r="G73"/>
      <c r="H73"/>
      <c r="I73"/>
      <c r="J73"/>
      <c r="K73"/>
      <c r="L73"/>
      <c r="M73"/>
      <c r="N73"/>
      <c r="O73"/>
      <c r="P73"/>
      <c r="Q73"/>
      <c r="R73"/>
      <c r="S73"/>
      <c r="T73"/>
      <c r="U73"/>
      <c r="V73"/>
      <c r="W73"/>
      <c r="X73" s="131"/>
      <c r="AH73" s="131"/>
    </row>
    <row r="74" spans="1:57">
      <c r="B74" s="101" t="str">
        <f>IF(Main_Parameters!$C$43="TX1 Enable","REMend","WR32")</f>
        <v>WR32</v>
      </c>
      <c r="C74" s="102" t="s">
        <v>1934</v>
      </c>
      <c r="D74" s="515" t="s">
        <v>960</v>
      </c>
      <c r="E74" s="91" t="str">
        <f>Main_Parameters!$C$128</f>
        <v>00001770</v>
      </c>
      <c r="F74" s="92"/>
      <c r="G74"/>
      <c r="H74"/>
      <c r="I74"/>
      <c r="J74"/>
      <c r="K74"/>
      <c r="L74"/>
      <c r="M74"/>
      <c r="N74"/>
      <c r="O74"/>
      <c r="P74"/>
      <c r="Q74"/>
      <c r="R74"/>
      <c r="S74"/>
      <c r="T74"/>
      <c r="U74"/>
      <c r="V74"/>
      <c r="W74"/>
      <c r="X74" s="131"/>
      <c r="AH74" s="131"/>
    </row>
    <row r="75" spans="1:57" ht="15">
      <c r="B75" s="101" t="str">
        <f>IF(Main_Parameters!$C$43="TX1 Enable","REMend","WR32")</f>
        <v>WR32</v>
      </c>
      <c r="C75" s="102" t="s">
        <v>1935</v>
      </c>
      <c r="D75" s="515" t="s">
        <v>1936</v>
      </c>
      <c r="E75" s="91" t="str">
        <f>DEC2HEX(HEX2DEC(K75),8)</f>
        <v>00000000</v>
      </c>
      <c r="F75" s="92"/>
      <c r="G75"/>
      <c r="H75" s="597" t="s">
        <v>1937</v>
      </c>
      <c r="I75" s="598"/>
      <c r="J75" s="599"/>
      <c r="K75" s="116">
        <v>0</v>
      </c>
      <c r="L75" s="117" t="str">
        <f>IF(HEX2DEC(K75)&lt;0,"NG",IF(HEX2DEC(K75)&gt;4294967295,"NG","OK"))</f>
        <v>OK</v>
      </c>
      <c r="M75" s="103"/>
      <c r="N75" s="110"/>
      <c r="O75" s="110"/>
      <c r="P75" s="110"/>
      <c r="Q75" s="110"/>
      <c r="R75" s="110"/>
      <c r="S75" s="110"/>
      <c r="T75" s="110"/>
      <c r="U75" s="110"/>
      <c r="V75" s="110"/>
      <c r="W75" s="111"/>
      <c r="X75" s="131"/>
      <c r="AH75" s="131"/>
    </row>
    <row r="76" spans="1:57">
      <c r="B76" s="101" t="str">
        <f>IF(Main_Parameters!$C$43="TX1 Enable","REMend","WR32")</f>
        <v>WR32</v>
      </c>
      <c r="C76" s="102" t="s">
        <v>1938</v>
      </c>
      <c r="D76" s="515" t="s">
        <v>1939</v>
      </c>
      <c r="E76" s="91" t="str">
        <f>DEC2HEX(Y76*2^31+Z76*2^30+AA76*2^29+AB76*2^28+AC76*2^27+AD76*2^26+AE76*2^25+AF76*2^24+AG76*2^23+AH76*2^22+AI76*2^21+AJ76*2^20+AK76*2^19+AL76*2^18+AM76*2^17+AN76*2^16+AO76*2^15+AP76*2^14+AQ76*2^13+AR76*2^12+AS76*2^11+AT76*2^10+AU76*2^9+AV76*2^8+AW76*2^7+AX76*2^6+AY76*2^5+AZ76*2^4+BA76*2^3+BB76*2^2+BC76*2^1+BD76*2^0,8)</f>
        <v>00000101</v>
      </c>
      <c r="F76" s="92"/>
      <c r="G76"/>
      <c r="H76" s="103"/>
      <c r="I76" s="110"/>
      <c r="J76" s="110"/>
      <c r="K76" s="110"/>
      <c r="L76" s="118" t="s">
        <v>1940</v>
      </c>
      <c r="M76" s="118" t="s">
        <v>1941</v>
      </c>
      <c r="N76" s="118" t="s">
        <v>1942</v>
      </c>
      <c r="O76" s="118" t="s">
        <v>1943</v>
      </c>
      <c r="P76" s="118" t="s">
        <v>1944</v>
      </c>
      <c r="Q76" s="118" t="s">
        <v>1945</v>
      </c>
      <c r="R76" s="118" t="s">
        <v>1946</v>
      </c>
      <c r="S76" s="118" t="s">
        <v>1947</v>
      </c>
      <c r="T76" s="118" t="s">
        <v>1948</v>
      </c>
      <c r="U76" s="118" t="s">
        <v>1949</v>
      </c>
      <c r="V76" s="133" t="s">
        <v>1950</v>
      </c>
      <c r="W76" s="104" t="s">
        <v>1951</v>
      </c>
      <c r="X76" s="131"/>
      <c r="Y76" s="64">
        <v>0</v>
      </c>
      <c r="Z76" s="64">
        <v>0</v>
      </c>
      <c r="AA76" s="64">
        <v>0</v>
      </c>
      <c r="AB76" s="64">
        <v>0</v>
      </c>
      <c r="AC76" s="64">
        <v>0</v>
      </c>
      <c r="AD76" s="64">
        <v>0</v>
      </c>
      <c r="AE76" s="64">
        <v>0</v>
      </c>
      <c r="AF76" s="64">
        <v>0</v>
      </c>
      <c r="AG76" s="64">
        <v>0</v>
      </c>
      <c r="AH76" s="131">
        <f>IF(L76="INIT Int Enb",1,0)</f>
        <v>0</v>
      </c>
      <c r="AI76" s="131">
        <f>IF(M76="ApErr Int Enb",1,0)</f>
        <v>0</v>
      </c>
      <c r="AJ76" s="131">
        <f>IF(N76="DSIPrto Int Enb",1,0)</f>
        <v>0</v>
      </c>
      <c r="AK76" s="131">
        <f>IF(O76="DSIrErr Int Enb",1,0)</f>
        <v>0</v>
      </c>
      <c r="AL76" s="131">
        <f>IF(P76="DSILPTX Int Enb",1,0)</f>
        <v>0</v>
      </c>
      <c r="AM76" s="131">
        <f>IF(Q76="DSIrTrg Int Enb",1,0)</f>
        <v>0</v>
      </c>
      <c r="AN76" s="131">
        <f>IF(R76="DSIrStat Int Enb",1,0)</f>
        <v>0</v>
      </c>
      <c r="AO76" s="64">
        <v>0</v>
      </c>
      <c r="AP76" s="131">
        <f>IF(S76="PRESP_TO Enb",1,0)</f>
        <v>0</v>
      </c>
      <c r="AQ76" s="131">
        <v>0</v>
      </c>
      <c r="AR76" s="131">
        <v>0</v>
      </c>
      <c r="AS76" s="131">
        <v>0</v>
      </c>
      <c r="AT76" s="131">
        <f>IF(T76="HSTX_TO Enb",1,0)</f>
        <v>0</v>
      </c>
      <c r="AU76" s="131">
        <f>IF(U76="IND_TO Enb",1,0)</f>
        <v>0</v>
      </c>
      <c r="AV76" s="131">
        <f>IF(V76="INDMdSel Reg",1,0)</f>
        <v>1</v>
      </c>
      <c r="AW76" s="64">
        <v>0</v>
      </c>
      <c r="AX76" s="64">
        <v>0</v>
      </c>
      <c r="AY76" s="64">
        <v>0</v>
      </c>
      <c r="AZ76" s="64">
        <v>0</v>
      </c>
      <c r="BA76" s="64">
        <v>0</v>
      </c>
      <c r="BB76" s="64">
        <v>0</v>
      </c>
      <c r="BC76" s="64">
        <v>0</v>
      </c>
      <c r="BD76" s="131">
        <f>IF(W76="VHDELAY Reg",1,0)</f>
        <v>1</v>
      </c>
    </row>
    <row r="77" spans="1:57" ht="15">
      <c r="B77" s="101" t="str">
        <f>IF(Main_Parameters!$C$43="TX1 Enable","REMend",IF(G77="Disable","REMend","WR32"))</f>
        <v>REMend</v>
      </c>
      <c r="C77" s="102" t="s">
        <v>1952</v>
      </c>
      <c r="D77" s="515" t="s">
        <v>1953</v>
      </c>
      <c r="E77" s="91" t="str">
        <f>DEC2HEX(Y77*2^31+Z77*2^30+AA77*2^29+AB77*2^28+AC77*2^27+AD77*2^26+AE77*2^25+AF77*2^24+AG77*2^23+AH77*2^22+AI77*2^21+AJ77*2^20+AK77*2^19+AL77*2^18+AM77*2^17+AN77*2^16+AO77*2^15+AP77*2^14+AQ77*2^13+AR77*2^12+AS77*2^11+AT77*2^10+AU77*2^9+AV77*2^8+AW77*2^7+AX77*2^6+AY77*2^5+AZ77*2^4+BA77*2^3+BB77*2^2+BC77*2^1+BD77*2^0,8)</f>
        <v>00000000</v>
      </c>
      <c r="F77" s="92"/>
      <c r="G77" s="104" t="s">
        <v>780</v>
      </c>
      <c r="H77" s="103"/>
      <c r="I77" s="110"/>
      <c r="J77" s="110"/>
      <c r="K77" s="110"/>
      <c r="L77" s="110"/>
      <c r="M77" s="110"/>
      <c r="N77" s="119"/>
      <c r="O77" s="119"/>
      <c r="P77" s="119"/>
      <c r="Q77" s="115" t="s">
        <v>1954</v>
      </c>
      <c r="R77" s="120" t="str">
        <f>IF(S77&gt;8191,"NG",IF(S77&lt;0,"NG","OK"))</f>
        <v>OK</v>
      </c>
      <c r="S77" s="134">
        <v>0</v>
      </c>
      <c r="T77" s="112" t="s">
        <v>1955</v>
      </c>
      <c r="U77" s="118" t="s">
        <v>1302</v>
      </c>
      <c r="V77" s="112" t="s">
        <v>1956</v>
      </c>
      <c r="W77" s="104" t="s">
        <v>1957</v>
      </c>
      <c r="X77" s="131"/>
      <c r="Y77" s="64">
        <v>0</v>
      </c>
      <c r="Z77" s="64">
        <v>0</v>
      </c>
      <c r="AA77" s="64">
        <v>0</v>
      </c>
      <c r="AB77" s="64">
        <v>0</v>
      </c>
      <c r="AC77" s="64">
        <v>0</v>
      </c>
      <c r="AD77" s="64">
        <v>0</v>
      </c>
      <c r="AE77" s="64">
        <v>0</v>
      </c>
      <c r="AF77" s="64">
        <v>0</v>
      </c>
      <c r="AG77" s="64">
        <v>0</v>
      </c>
      <c r="AH77" s="64">
        <v>0</v>
      </c>
      <c r="AI77" s="64">
        <v>0</v>
      </c>
      <c r="AJ77" s="64">
        <v>0</v>
      </c>
      <c r="AK77" s="64">
        <v>0</v>
      </c>
      <c r="AL77" s="64">
        <v>0</v>
      </c>
      <c r="AM77" s="64">
        <v>0</v>
      </c>
      <c r="AN77" s="64">
        <v>0</v>
      </c>
      <c r="AO77" s="64">
        <v>0</v>
      </c>
      <c r="AP77" s="64">
        <v>0</v>
      </c>
      <c r="AQ77" s="64">
        <v>0</v>
      </c>
      <c r="AR77" s="64">
        <v>0</v>
      </c>
      <c r="AS77" s="64">
        <v>0</v>
      </c>
      <c r="AT77" s="64">
        <v>0</v>
      </c>
      <c r="AU77" s="64">
        <v>0</v>
      </c>
      <c r="AV77" s="64">
        <v>0</v>
      </c>
      <c r="AW77" s="64">
        <v>0</v>
      </c>
      <c r="AX77" s="64">
        <v>0</v>
      </c>
      <c r="AY77" s="64">
        <v>0</v>
      </c>
      <c r="AZ77" s="64">
        <v>0</v>
      </c>
      <c r="BA77" s="64">
        <f>S77</f>
        <v>0</v>
      </c>
      <c r="BB77" s="64">
        <v>0</v>
      </c>
      <c r="BC77" s="64">
        <f>IF(U77="VFP",0,IF(U77="Immediate",2,1))</f>
        <v>0</v>
      </c>
      <c r="BD77" s="64">
        <f>IF(W77="Input",0,1)</f>
        <v>0</v>
      </c>
      <c r="BE77" s="131"/>
    </row>
    <row r="78" spans="1:57" ht="15">
      <c r="B78" s="101" t="str">
        <f>IF(Main_Parameters!$C$43="TX1 Enable","REMend","WR32")</f>
        <v>WR32</v>
      </c>
      <c r="C78" s="102" t="s">
        <v>1958</v>
      </c>
      <c r="D78" s="515" t="s">
        <v>1959</v>
      </c>
      <c r="E78" s="91" t="str">
        <f t="shared" ref="E78:E85" si="15">DEC2HEX(HEX2DEC(K78),8)</f>
        <v>00010000</v>
      </c>
      <c r="F78" s="92"/>
      <c r="G78"/>
      <c r="H78" s="597" t="s">
        <v>1960</v>
      </c>
      <c r="I78" s="598"/>
      <c r="J78" s="599"/>
      <c r="K78" s="516" t="s">
        <v>1961</v>
      </c>
      <c r="L78" s="120" t="str">
        <f t="shared" ref="L78:L85" si="16">IF(HEX2DEC(K78)&lt;0,"NG",IF(HEX2DEC(K78)&gt;4294967295,"NG","OK"))</f>
        <v>OK</v>
      </c>
      <c r="M78" s="103"/>
      <c r="N78" s="110"/>
      <c r="O78" s="110"/>
      <c r="P78" s="110"/>
      <c r="Q78" s="110"/>
      <c r="R78" s="110"/>
      <c r="S78" s="110"/>
      <c r="T78" s="110"/>
      <c r="U78" s="110"/>
      <c r="V78" s="110"/>
      <c r="W78" s="111"/>
    </row>
    <row r="79" spans="1:57" ht="15">
      <c r="B79" s="101" t="str">
        <f>IF(Main_Parameters!$C$43="TX1 Enable","REMend","WR32")</f>
        <v>WR32</v>
      </c>
      <c r="C79" s="102" t="s">
        <v>1962</v>
      </c>
      <c r="D79" s="515" t="s">
        <v>1963</v>
      </c>
      <c r="E79" s="91" t="str">
        <f t="shared" si="15"/>
        <v>00005000</v>
      </c>
      <c r="F79" s="92"/>
      <c r="G79"/>
      <c r="H79" s="597" t="s">
        <v>1964</v>
      </c>
      <c r="I79" s="598"/>
      <c r="J79" s="599"/>
      <c r="K79" s="516" t="s">
        <v>995</v>
      </c>
      <c r="L79" s="120" t="str">
        <f t="shared" si="16"/>
        <v>OK</v>
      </c>
      <c r="M79" s="103"/>
      <c r="N79" s="110"/>
      <c r="O79" s="110"/>
      <c r="P79" s="110"/>
      <c r="Q79" s="110"/>
      <c r="R79" s="110"/>
      <c r="S79" s="110"/>
      <c r="T79" s="110"/>
      <c r="U79" s="110"/>
      <c r="V79" s="110"/>
      <c r="W79" s="111"/>
      <c r="X79" s="131"/>
      <c r="AH79" s="131"/>
    </row>
    <row r="80" spans="1:57" ht="15">
      <c r="B80" s="101" t="str">
        <f>IF(Main_Parameters!$C$43="TX1 Enable","REMend","WR32")</f>
        <v>WR32</v>
      </c>
      <c r="C80" s="102" t="s">
        <v>1965</v>
      </c>
      <c r="D80" s="515" t="s">
        <v>1966</v>
      </c>
      <c r="E80" s="91" t="str">
        <f t="shared" si="15"/>
        <v>00010000</v>
      </c>
      <c r="F80" s="92"/>
      <c r="G80"/>
      <c r="H80" s="597" t="s">
        <v>1967</v>
      </c>
      <c r="I80" s="598"/>
      <c r="J80" s="599"/>
      <c r="K80" s="516" t="s">
        <v>1961</v>
      </c>
      <c r="L80" s="120" t="str">
        <f t="shared" si="16"/>
        <v>OK</v>
      </c>
      <c r="M80" s="103"/>
      <c r="N80" s="110"/>
      <c r="O80" s="110"/>
      <c r="P80" s="110"/>
      <c r="Q80" s="110"/>
      <c r="R80" s="110"/>
      <c r="S80" s="110"/>
      <c r="T80" s="110"/>
      <c r="U80" s="110"/>
      <c r="V80" s="110"/>
      <c r="W80" s="111"/>
      <c r="X80" s="131"/>
      <c r="AH80" s="131"/>
    </row>
    <row r="81" spans="2:57" ht="15">
      <c r="B81" s="101" t="str">
        <f>IF(Main_Parameters!$C$43="TX1 Enable","REMend","WR32")</f>
        <v>WR32</v>
      </c>
      <c r="C81" s="102" t="s">
        <v>1968</v>
      </c>
      <c r="D81" s="515" t="s">
        <v>1969</v>
      </c>
      <c r="E81" s="91" t="str">
        <f t="shared" si="15"/>
        <v>00010000</v>
      </c>
      <c r="F81" s="92"/>
      <c r="G81"/>
      <c r="H81" s="597" t="s">
        <v>1970</v>
      </c>
      <c r="I81" s="598"/>
      <c r="J81" s="599"/>
      <c r="K81" s="516" t="s">
        <v>1961</v>
      </c>
      <c r="L81" s="120" t="str">
        <f t="shared" si="16"/>
        <v>OK</v>
      </c>
      <c r="M81" s="103"/>
      <c r="N81" s="110"/>
      <c r="O81" s="110"/>
      <c r="P81" s="110"/>
      <c r="Q81" s="110"/>
      <c r="R81" s="110"/>
      <c r="S81" s="110"/>
      <c r="T81" s="110"/>
      <c r="U81" s="110"/>
      <c r="V81" s="110"/>
      <c r="W81" s="111"/>
      <c r="X81" s="131"/>
      <c r="AH81" s="131"/>
    </row>
    <row r="82" spans="2:57" ht="15">
      <c r="B82" s="101" t="str">
        <f>IF(Main_Parameters!$C$43="TX1 Enable","REMend","WR32")</f>
        <v>WR32</v>
      </c>
      <c r="C82" s="102" t="s">
        <v>1971</v>
      </c>
      <c r="D82" s="515" t="s">
        <v>1972</v>
      </c>
      <c r="E82" s="91" t="str">
        <f t="shared" si="15"/>
        <v>00010000</v>
      </c>
      <c r="F82" s="92"/>
      <c r="G82"/>
      <c r="H82" s="597" t="s">
        <v>1973</v>
      </c>
      <c r="I82" s="598"/>
      <c r="J82" s="599"/>
      <c r="K82" s="516" t="s">
        <v>1961</v>
      </c>
      <c r="L82" s="120" t="str">
        <f t="shared" si="16"/>
        <v>OK</v>
      </c>
      <c r="M82" s="103"/>
      <c r="N82" s="110"/>
      <c r="O82" s="110"/>
      <c r="P82" s="110"/>
      <c r="Q82" s="110"/>
      <c r="R82" s="110"/>
      <c r="S82" s="110"/>
      <c r="T82" s="110"/>
      <c r="U82" s="110"/>
      <c r="V82" s="110"/>
      <c r="W82" s="111"/>
      <c r="X82" s="131"/>
      <c r="AH82" s="131"/>
    </row>
    <row r="83" spans="2:57" ht="15">
      <c r="B83" s="101" t="str">
        <f>IF(Main_Parameters!$C$43="TX1 Enable","REMend","WR32")</f>
        <v>WR32</v>
      </c>
      <c r="C83" s="102" t="s">
        <v>1974</v>
      </c>
      <c r="D83" s="515" t="s">
        <v>1975</v>
      </c>
      <c r="E83" s="91" t="str">
        <f t="shared" si="15"/>
        <v>00010000</v>
      </c>
      <c r="F83" s="92"/>
      <c r="G83"/>
      <c r="H83" s="597" t="s">
        <v>1976</v>
      </c>
      <c r="I83" s="598"/>
      <c r="J83" s="599"/>
      <c r="K83" s="516" t="s">
        <v>1961</v>
      </c>
      <c r="L83" s="120" t="str">
        <f t="shared" si="16"/>
        <v>OK</v>
      </c>
      <c r="M83" s="103"/>
      <c r="N83" s="110"/>
      <c r="O83" s="110"/>
      <c r="P83" s="110"/>
      <c r="Q83" s="110"/>
      <c r="R83" s="110"/>
      <c r="S83" s="110"/>
      <c r="T83" s="110"/>
      <c r="U83" s="110"/>
      <c r="V83" s="110"/>
      <c r="W83" s="111"/>
      <c r="X83" s="131"/>
      <c r="AH83" s="131"/>
    </row>
    <row r="84" spans="2:57" ht="15">
      <c r="B84" s="101" t="str">
        <f>IF(Main_Parameters!$C$43="TX1 Enable","REMend","WR32")</f>
        <v>WR32</v>
      </c>
      <c r="C84" s="102" t="s">
        <v>1977</v>
      </c>
      <c r="D84" s="515" t="s">
        <v>1978</v>
      </c>
      <c r="E84" s="91" t="str">
        <f t="shared" si="15"/>
        <v>00001000</v>
      </c>
      <c r="F84" s="92"/>
      <c r="G84"/>
      <c r="H84" s="597" t="s">
        <v>1979</v>
      </c>
      <c r="I84" s="598"/>
      <c r="J84" s="599"/>
      <c r="K84" s="516" t="s">
        <v>1980</v>
      </c>
      <c r="L84" s="120" t="str">
        <f t="shared" si="16"/>
        <v>OK</v>
      </c>
      <c r="M84" s="103"/>
      <c r="N84" s="110"/>
      <c r="O84" s="110"/>
      <c r="P84" s="110"/>
      <c r="Q84" s="110"/>
      <c r="R84" s="110"/>
      <c r="S84" s="110"/>
      <c r="T84" s="110"/>
      <c r="U84" s="110"/>
      <c r="V84" s="110"/>
      <c r="W84" s="111"/>
      <c r="X84" s="131"/>
      <c r="AH84" s="131"/>
    </row>
    <row r="85" spans="2:57" ht="15">
      <c r="B85" s="101" t="str">
        <f>IF(Main_Parameters!$C$43="TX1 Enable","REMend","WR32")</f>
        <v>WR32</v>
      </c>
      <c r="C85" s="102" t="s">
        <v>1981</v>
      </c>
      <c r="D85" s="515" t="s">
        <v>1982</v>
      </c>
      <c r="E85" s="91" t="str">
        <f t="shared" si="15"/>
        <v>00010000</v>
      </c>
      <c r="F85" s="92"/>
      <c r="G85"/>
      <c r="H85" s="597" t="s">
        <v>1983</v>
      </c>
      <c r="I85" s="598"/>
      <c r="J85" s="599"/>
      <c r="K85" s="516" t="s">
        <v>1961</v>
      </c>
      <c r="L85" s="120" t="str">
        <f t="shared" si="16"/>
        <v>OK</v>
      </c>
      <c r="M85" s="103"/>
      <c r="N85" s="110"/>
      <c r="O85" s="110"/>
      <c r="P85" s="110"/>
      <c r="Q85" s="110"/>
      <c r="R85" s="110"/>
      <c r="S85" s="110"/>
      <c r="T85" s="110"/>
      <c r="U85" s="110"/>
      <c r="V85" s="110"/>
      <c r="W85" s="111"/>
      <c r="X85" s="131"/>
      <c r="AH85" s="131"/>
    </row>
    <row r="86" spans="2:57">
      <c r="B86" s="101" t="str">
        <f>IF(Main_Parameters!$C$43="TX1 Enable","REMend","WR32")</f>
        <v>WR32</v>
      </c>
      <c r="C86" s="102" t="s">
        <v>1984</v>
      </c>
      <c r="D86" s="515" t="s">
        <v>1985</v>
      </c>
      <c r="E86" s="91" t="str">
        <f t="shared" ref="E86:E89" si="17">DEC2HEX(Y86*2^31+Z86*2^30+AA86*2^29+AB86*2^28+AC86*2^27+AD86*2^26+AE86*2^25+AF86*2^24+AG86*2^23+AH86*2^22+AI86*2^21+AJ86*2^20+AK86*2^19+AL86*2^18+AM86*2^17+AN86*2^16+AO86*2^15+AP86*2^14+AQ86*2^13+AR86*2^12+AS86*2^11+AT86*2^10+AU86*2^9+AV86*2^8+AW86*2^7+AX86*2^6+AY86*2^5+AZ86*2^4+BA86*2^3+BB86*2^2+BC86*2^1+BD86*2^0,8)</f>
        <v>00000161</v>
      </c>
      <c r="F86" s="92"/>
      <c r="G86"/>
      <c r="H86" s="105"/>
      <c r="I86" s="121"/>
      <c r="J86" s="121"/>
      <c r="K86" s="122"/>
      <c r="L86" s="125" t="s">
        <v>1986</v>
      </c>
      <c r="M86" s="104" t="s">
        <v>1987</v>
      </c>
      <c r="N86" s="125" t="s">
        <v>1988</v>
      </c>
      <c r="O86" s="104" t="s">
        <v>721</v>
      </c>
      <c r="P86" s="125" t="s">
        <v>1989</v>
      </c>
      <c r="Q86" s="104" t="s">
        <v>780</v>
      </c>
      <c r="R86" s="125" t="s">
        <v>1990</v>
      </c>
      <c r="S86" s="113" t="s">
        <v>780</v>
      </c>
      <c r="T86" s="112" t="s">
        <v>1991</v>
      </c>
      <c r="U86" s="135" t="str">
        <f>IF(Main_Parameters!$C$80="Enable","Continuous","Discontinuous")</f>
        <v>Continuous</v>
      </c>
      <c r="V86" s="112" t="s">
        <v>1992</v>
      </c>
      <c r="W86" s="135" t="str">
        <f>IF(Main_Parameters!$C$79="Yes","Yes","No")</f>
        <v>Yes</v>
      </c>
      <c r="X86" s="63"/>
      <c r="Y86" s="47">
        <v>0</v>
      </c>
      <c r="Z86" s="47">
        <v>0</v>
      </c>
      <c r="AA86" s="47">
        <v>0</v>
      </c>
      <c r="AB86" s="47">
        <v>0</v>
      </c>
      <c r="AC86" s="47">
        <v>0</v>
      </c>
      <c r="AD86" s="47">
        <v>0</v>
      </c>
      <c r="AE86" s="47">
        <v>0</v>
      </c>
      <c r="AF86" s="47">
        <v>0</v>
      </c>
      <c r="AG86" s="47">
        <v>0</v>
      </c>
      <c r="AH86" s="63">
        <v>0</v>
      </c>
      <c r="AI86" s="47">
        <v>0</v>
      </c>
      <c r="AJ86" s="47">
        <v>0</v>
      </c>
      <c r="AK86" s="47">
        <v>0</v>
      </c>
      <c r="AL86" s="47">
        <v>0</v>
      </c>
      <c r="AM86" s="47">
        <v>0</v>
      </c>
      <c r="AN86" s="47">
        <v>0</v>
      </c>
      <c r="AO86" s="47">
        <v>0</v>
      </c>
      <c r="AP86" s="47">
        <v>0</v>
      </c>
      <c r="AQ86" s="47">
        <v>0</v>
      </c>
      <c r="AR86" s="47">
        <v>0</v>
      </c>
      <c r="AS86" s="47">
        <v>0</v>
      </c>
      <c r="AT86" s="47">
        <f>IF(M86="Forced to STOP",1,0)</f>
        <v>0</v>
      </c>
      <c r="AU86" s="47">
        <f>IF(O86="Disable",1,0)</f>
        <v>0</v>
      </c>
      <c r="AV86" s="47">
        <f>IF(Q86="Disable",1,0)</f>
        <v>1</v>
      </c>
      <c r="AW86" s="47">
        <v>0</v>
      </c>
      <c r="AX86" s="47">
        <f>IF(S86="Disable",1,0)</f>
        <v>1</v>
      </c>
      <c r="AY86" s="47">
        <f>IF(U86="Continuous",1,0)</f>
        <v>1</v>
      </c>
      <c r="AZ86" s="47">
        <v>0</v>
      </c>
      <c r="BA86" s="47">
        <v>0</v>
      </c>
      <c r="BB86" s="47">
        <v>0</v>
      </c>
      <c r="BC86" s="47">
        <v>0</v>
      </c>
      <c r="BD86" s="47">
        <f>IF(W86="Yes",1,0)</f>
        <v>1</v>
      </c>
    </row>
    <row r="87" spans="2:57">
      <c r="B87" s="101" t="str">
        <f>IF(Main_Parameters!$C$43="TX1 Enable","REMend","WR32")</f>
        <v>WR32</v>
      </c>
      <c r="C87" s="102" t="s">
        <v>1993</v>
      </c>
      <c r="D87" s="515" t="s">
        <v>1994</v>
      </c>
      <c r="E87" s="91" t="str">
        <f t="shared" si="17"/>
        <v>00000001</v>
      </c>
      <c r="F87" s="92"/>
      <c r="G87"/>
      <c r="H87" s="103"/>
      <c r="I87" s="110"/>
      <c r="J87" s="110"/>
      <c r="K87" s="110"/>
      <c r="L87" s="110"/>
      <c r="M87" s="110"/>
      <c r="N87" s="110"/>
      <c r="O87" s="111"/>
      <c r="P87" s="106" t="s">
        <v>1995</v>
      </c>
      <c r="Q87" s="104" t="s">
        <v>780</v>
      </c>
      <c r="R87" s="106" t="s">
        <v>1996</v>
      </c>
      <c r="S87" s="104" t="s">
        <v>780</v>
      </c>
      <c r="T87" s="106" t="s">
        <v>1997</v>
      </c>
      <c r="U87" s="104" t="s">
        <v>780</v>
      </c>
      <c r="V87" s="106" t="s">
        <v>1998</v>
      </c>
      <c r="W87" s="104" t="s">
        <v>721</v>
      </c>
      <c r="X87" s="63"/>
      <c r="Y87" s="47">
        <v>0</v>
      </c>
      <c r="Z87" s="47">
        <v>0</v>
      </c>
      <c r="AA87" s="47">
        <v>0</v>
      </c>
      <c r="AB87" s="47">
        <v>0</v>
      </c>
      <c r="AC87" s="47">
        <v>0</v>
      </c>
      <c r="AD87" s="47">
        <v>0</v>
      </c>
      <c r="AE87" s="47">
        <v>0</v>
      </c>
      <c r="AF87" s="47">
        <v>0</v>
      </c>
      <c r="AG87" s="47">
        <v>0</v>
      </c>
      <c r="AH87" s="63">
        <v>0</v>
      </c>
      <c r="AI87" s="47">
        <v>0</v>
      </c>
      <c r="AJ87" s="47">
        <v>0</v>
      </c>
      <c r="AK87" s="47">
        <v>0</v>
      </c>
      <c r="AL87" s="47">
        <v>0</v>
      </c>
      <c r="AM87" s="47">
        <v>0</v>
      </c>
      <c r="AN87" s="47">
        <v>0</v>
      </c>
      <c r="AO87" s="47">
        <v>0</v>
      </c>
      <c r="AP87" s="47">
        <v>0</v>
      </c>
      <c r="AQ87" s="47">
        <v>0</v>
      </c>
      <c r="AR87" s="47">
        <v>0</v>
      </c>
      <c r="AS87" s="47">
        <v>0</v>
      </c>
      <c r="AT87" s="47">
        <v>0</v>
      </c>
      <c r="AU87" s="47">
        <v>0</v>
      </c>
      <c r="AV87" s="47">
        <v>0</v>
      </c>
      <c r="AW87" s="47">
        <v>0</v>
      </c>
      <c r="AX87" s="47">
        <v>0</v>
      </c>
      <c r="AY87" s="47">
        <v>0</v>
      </c>
      <c r="AZ87" s="47">
        <v>0</v>
      </c>
      <c r="BA87" s="47">
        <f>IF(Q87="Enable",1,0)</f>
        <v>0</v>
      </c>
      <c r="BB87" s="47">
        <f>IF(S87="Enable",1,0)</f>
        <v>0</v>
      </c>
      <c r="BC87" s="47">
        <f>IF(U87="Enable",1,0)</f>
        <v>0</v>
      </c>
      <c r="BD87" s="47">
        <f>IF(W87="Enable",1,0)</f>
        <v>1</v>
      </c>
    </row>
    <row r="88" spans="2:57" ht="15">
      <c r="B88" s="101" t="str">
        <f>IF(Main_Parameters!$C$43="TX1 Enable","REMend","WR32")</f>
        <v>WR32</v>
      </c>
      <c r="C88" s="102" t="s">
        <v>1999</v>
      </c>
      <c r="D88" s="515" t="s">
        <v>2000</v>
      </c>
      <c r="E88" s="91" t="str">
        <f>DEC2HEX(HEX2DEC(K88),8)</f>
        <v>000000C8</v>
      </c>
      <c r="F88" s="92"/>
      <c r="G88"/>
      <c r="H88" s="597" t="s">
        <v>2001</v>
      </c>
      <c r="I88" s="598"/>
      <c r="J88" s="599"/>
      <c r="K88" s="516" t="s">
        <v>2002</v>
      </c>
      <c r="L88" s="120" t="str">
        <f>IF(HEX2DEC(K88)&lt;0,"NG",IF(HEX2DEC(K88)&gt;4294967295,"NG","OK"))</f>
        <v>OK</v>
      </c>
      <c r="M88" s="103"/>
      <c r="N88" s="110"/>
      <c r="O88" s="110"/>
      <c r="P88" s="110"/>
      <c r="Q88" s="110"/>
      <c r="R88" s="110"/>
      <c r="S88" s="110"/>
      <c r="T88" s="110"/>
      <c r="U88" s="110"/>
      <c r="V88" s="110"/>
      <c r="W88" s="111"/>
      <c r="X88" s="131"/>
      <c r="AH88" s="131"/>
    </row>
    <row r="89" spans="2:57">
      <c r="B89" s="101" t="str">
        <f>IF(Main_Parameters!$C$43="TX1 Enable","REMend",IF(G89="Disable","REMend","WR32"))</f>
        <v>REMend</v>
      </c>
      <c r="C89" s="102" t="s">
        <v>2003</v>
      </c>
      <c r="D89" s="515" t="s">
        <v>2004</v>
      </c>
      <c r="E89" s="91" t="str">
        <f t="shared" si="17"/>
        <v>00000014</v>
      </c>
      <c r="F89" s="92"/>
      <c r="G89" s="104" t="s">
        <v>780</v>
      </c>
      <c r="H89" s="103"/>
      <c r="I89" s="110"/>
      <c r="J89" s="110"/>
      <c r="K89" s="110"/>
      <c r="L89" s="110"/>
      <c r="M89" s="110"/>
      <c r="N89" s="114"/>
      <c r="O89" s="114"/>
      <c r="P89" s="119"/>
      <c r="Q89" s="132"/>
      <c r="R89" s="136" t="s">
        <v>2005</v>
      </c>
      <c r="S89" s="104" t="s">
        <v>2006</v>
      </c>
      <c r="T89" s="137" t="s">
        <v>2007</v>
      </c>
      <c r="U89" s="104" t="s">
        <v>2006</v>
      </c>
      <c r="V89" s="137" t="s">
        <v>2008</v>
      </c>
      <c r="W89" s="104" t="s">
        <v>2009</v>
      </c>
      <c r="X89" s="131"/>
      <c r="Y89" s="64">
        <v>0</v>
      </c>
      <c r="Z89" s="64">
        <v>0</v>
      </c>
      <c r="AA89" s="64">
        <v>0</v>
      </c>
      <c r="AB89" s="64">
        <v>0</v>
      </c>
      <c r="AC89" s="64">
        <v>0</v>
      </c>
      <c r="AD89" s="64">
        <v>0</v>
      </c>
      <c r="AE89" s="64">
        <v>0</v>
      </c>
      <c r="AF89" s="64">
        <v>0</v>
      </c>
      <c r="AG89" s="64">
        <v>0</v>
      </c>
      <c r="AH89" s="64">
        <v>0</v>
      </c>
      <c r="AI89" s="64">
        <v>0</v>
      </c>
      <c r="AJ89" s="64">
        <v>0</v>
      </c>
      <c r="AK89" s="64">
        <v>0</v>
      </c>
      <c r="AL89" s="64">
        <v>0</v>
      </c>
      <c r="AM89" s="64">
        <v>0</v>
      </c>
      <c r="AN89" s="64">
        <v>0</v>
      </c>
      <c r="AO89" s="64">
        <v>0</v>
      </c>
      <c r="AP89" s="64">
        <v>0</v>
      </c>
      <c r="AQ89" s="64">
        <v>0</v>
      </c>
      <c r="AR89" s="64">
        <v>0</v>
      </c>
      <c r="AS89" s="64">
        <v>0</v>
      </c>
      <c r="AT89" s="64">
        <v>0</v>
      </c>
      <c r="AU89" s="64">
        <v>0</v>
      </c>
      <c r="AV89" s="64">
        <v>0</v>
      </c>
      <c r="AW89" s="64">
        <v>0</v>
      </c>
      <c r="AX89" s="64">
        <v>0</v>
      </c>
      <c r="AY89" s="64">
        <v>0</v>
      </c>
      <c r="AZ89" s="64">
        <f t="shared" ref="AZ89:BD89" si="18">IF(S89="Mask",1,0)</f>
        <v>1</v>
      </c>
      <c r="BA89" s="64">
        <v>0</v>
      </c>
      <c r="BB89" s="64">
        <f t="shared" si="18"/>
        <v>1</v>
      </c>
      <c r="BC89" s="64">
        <v>0</v>
      </c>
      <c r="BD89" s="64">
        <f t="shared" si="18"/>
        <v>0</v>
      </c>
      <c r="BE89" s="131"/>
    </row>
    <row r="90" spans="2:57" ht="15">
      <c r="B90" s="101" t="str">
        <f>IF(Main_Parameters!$C$43="TX1 Enable","REMend","WR32")</f>
        <v>WR32</v>
      </c>
      <c r="C90" s="102" t="s">
        <v>2010</v>
      </c>
      <c r="D90" s="515" t="s">
        <v>2011</v>
      </c>
      <c r="E90" s="91" t="str">
        <f>DEC2HEX(HEX2DEC(K90),8)</f>
        <v>0000002A</v>
      </c>
      <c r="F90" s="92"/>
      <c r="G90"/>
      <c r="H90" s="597" t="s">
        <v>2012</v>
      </c>
      <c r="I90" s="598"/>
      <c r="J90" s="599"/>
      <c r="K90" s="516" t="s">
        <v>2013</v>
      </c>
      <c r="L90" s="120" t="str">
        <f>IF(HEX2DEC(K90)&lt;0,"NG",IF(HEX2DEC(K90)&gt;65535,"NG","OK"))</f>
        <v>OK</v>
      </c>
      <c r="M90" s="103"/>
      <c r="N90" s="110"/>
      <c r="O90" s="110"/>
      <c r="P90" s="110"/>
      <c r="Q90" s="110"/>
      <c r="R90" s="110"/>
      <c r="S90" s="110"/>
      <c r="T90" s="110"/>
      <c r="U90" s="110"/>
      <c r="V90" s="110"/>
      <c r="W90" s="111"/>
      <c r="X90" s="131"/>
      <c r="AH90" s="131"/>
    </row>
    <row r="91" spans="2:57">
      <c r="B91" s="101" t="str">
        <f>IF(Main_Parameters!$C$43="TX1 Enable","REMend","WR32")</f>
        <v>WR32</v>
      </c>
      <c r="C91" s="102" t="s">
        <v>2014</v>
      </c>
      <c r="D91" s="515" t="s">
        <v>2015</v>
      </c>
      <c r="E91" s="91" t="str">
        <f>Main_Parameters!$C$132</f>
        <v>00000410</v>
      </c>
      <c r="F91" s="92"/>
      <c r="G91"/>
      <c r="H91"/>
      <c r="I91"/>
      <c r="J91"/>
      <c r="K91"/>
      <c r="L91"/>
      <c r="M91"/>
      <c r="N91"/>
      <c r="O91"/>
      <c r="P91"/>
      <c r="Q91"/>
      <c r="R91"/>
      <c r="S91"/>
      <c r="T91"/>
      <c r="U91"/>
      <c r="V91"/>
      <c r="W91"/>
      <c r="X91" s="131"/>
      <c r="AH91" s="131"/>
    </row>
    <row r="92" spans="2:57">
      <c r="B92" s="101" t="str">
        <f>IF(Main_Parameters!$C$43="TX1 Enable","REMend",IF(G92="Disable","REMend","WR32"))</f>
        <v>REMend</v>
      </c>
      <c r="C92" s="102" t="s">
        <v>2016</v>
      </c>
      <c r="D92" s="515" t="s">
        <v>2017</v>
      </c>
      <c r="E92" s="91" t="str">
        <f t="shared" ref="E92:E97" si="19">DEC2HEX(Y92*2^31+Z92*2^30+AA92*2^29+AB92*2^28+AC92*2^27+AD92*2^26+AE92*2^25+AF92*2^24+AG92*2^23+AH92*2^22+AI92*2^21+AJ92*2^20+AK92*2^19+AL92*2^18+AM92*2^17+AN92*2^16+AO92*2^15+AP92*2^14+AQ92*2^13+AR92*2^12+AS92*2^11+AT92*2^10+AU92*2^9+AV92*2^8+AW92*2^7+AX92*2^6+AY92*2^5+AZ92*2^4+BA92*2^3+BB92*2^2+BC92*2^1+BD92*2^0,8)</f>
        <v>00000001</v>
      </c>
      <c r="F92" s="92"/>
      <c r="G92" s="104" t="s">
        <v>780</v>
      </c>
      <c r="H92" s="105"/>
      <c r="I92" s="121"/>
      <c r="J92" s="121"/>
      <c r="K92" s="121"/>
      <c r="L92" s="121"/>
      <c r="M92" s="121"/>
      <c r="N92" s="121"/>
      <c r="O92" s="121"/>
      <c r="P92" s="119"/>
      <c r="Q92" s="119"/>
      <c r="R92" s="138"/>
      <c r="S92" s="126"/>
      <c r="T92" s="126" t="s">
        <v>2018</v>
      </c>
      <c r="U92" s="124">
        <v>0</v>
      </c>
      <c r="V92" s="112" t="s">
        <v>2019</v>
      </c>
      <c r="W92" s="104" t="s">
        <v>2020</v>
      </c>
      <c r="X92" s="63"/>
      <c r="Y92" s="47">
        <v>0</v>
      </c>
      <c r="Z92" s="47">
        <v>0</v>
      </c>
      <c r="AA92" s="47">
        <v>0</v>
      </c>
      <c r="AB92" s="47">
        <v>0</v>
      </c>
      <c r="AC92" s="47">
        <v>0</v>
      </c>
      <c r="AD92" s="47">
        <v>0</v>
      </c>
      <c r="AE92" s="47">
        <v>0</v>
      </c>
      <c r="AF92" s="47">
        <v>0</v>
      </c>
      <c r="AG92" s="47">
        <v>0</v>
      </c>
      <c r="AH92" s="47">
        <v>0</v>
      </c>
      <c r="AI92" s="47">
        <v>0</v>
      </c>
      <c r="AJ92" s="47">
        <v>0</v>
      </c>
      <c r="AK92" s="47">
        <v>0</v>
      </c>
      <c r="AL92" s="47">
        <v>0</v>
      </c>
      <c r="AM92" s="47">
        <v>0</v>
      </c>
      <c r="AN92" s="47">
        <v>0</v>
      </c>
      <c r="AO92" s="47">
        <v>0</v>
      </c>
      <c r="AP92" s="47">
        <v>0</v>
      </c>
      <c r="AQ92" s="47">
        <v>0</v>
      </c>
      <c r="AR92" s="47">
        <v>0</v>
      </c>
      <c r="AS92" s="47">
        <v>0</v>
      </c>
      <c r="AT92" s="47">
        <v>0</v>
      </c>
      <c r="AU92" s="47">
        <v>0</v>
      </c>
      <c r="AV92" s="47">
        <v>0</v>
      </c>
      <c r="AW92" s="47">
        <v>0</v>
      </c>
      <c r="AX92" s="47">
        <v>0</v>
      </c>
      <c r="AY92" s="47">
        <v>0</v>
      </c>
      <c r="AZ92" s="47">
        <v>0</v>
      </c>
      <c r="BA92" s="47">
        <v>0</v>
      </c>
      <c r="BB92" s="47">
        <v>0</v>
      </c>
      <c r="BC92" s="47">
        <f>U92</f>
        <v>0</v>
      </c>
      <c r="BD92" s="47">
        <f>IF(W92="By Reg",1,0)</f>
        <v>1</v>
      </c>
    </row>
    <row r="93" spans="2:57">
      <c r="B93" s="101" t="str">
        <f>IF(Main_Parameters!$C$43="TX1 Enable","REMend","WR32")</f>
        <v>WR32</v>
      </c>
      <c r="C93" s="102" t="s">
        <v>2021</v>
      </c>
      <c r="D93" s="515" t="s">
        <v>964</v>
      </c>
      <c r="E93" s="91" t="str">
        <f>Main_Parameters!$C$133</f>
        <v>00000081</v>
      </c>
      <c r="F93" s="92"/>
      <c r="G93"/>
      <c r="H93"/>
      <c r="I93"/>
      <c r="J93"/>
      <c r="K93"/>
      <c r="L93"/>
      <c r="M93"/>
      <c r="N93"/>
      <c r="O93"/>
      <c r="P93"/>
      <c r="Q93"/>
      <c r="R93"/>
      <c r="S93"/>
      <c r="T93"/>
      <c r="U93"/>
      <c r="V93"/>
      <c r="W93"/>
      <c r="X93" s="131"/>
      <c r="Y93" s="131"/>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c r="AY93" s="131"/>
      <c r="AZ93" s="131"/>
      <c r="BA93" s="131"/>
      <c r="BB93" s="131"/>
      <c r="BC93" s="131"/>
      <c r="BD93" s="131"/>
    </row>
    <row r="94" spans="2:57">
      <c r="B94" s="101" t="str">
        <f>IF(Main_Parameters!$C$43="TX1 Enable","REMend","WR32")</f>
        <v>WR32</v>
      </c>
      <c r="C94" s="102" t="s">
        <v>2022</v>
      </c>
      <c r="D94" s="515" t="s">
        <v>965</v>
      </c>
      <c r="E94" s="91" t="str">
        <f>Main_Parameters!$C$134</f>
        <v>000000A3</v>
      </c>
      <c r="F94" s="92"/>
      <c r="G94"/>
      <c r="H94"/>
      <c r="I94"/>
      <c r="J94"/>
      <c r="K94"/>
      <c r="L94"/>
      <c r="M94"/>
      <c r="N94"/>
      <c r="O94"/>
      <c r="P94"/>
      <c r="Q94"/>
      <c r="R94"/>
      <c r="S94"/>
      <c r="T94"/>
      <c r="U94"/>
      <c r="V94"/>
      <c r="W94"/>
      <c r="X94" s="131"/>
      <c r="AH94" s="131"/>
    </row>
    <row r="95" spans="2:57">
      <c r="B95" s="101" t="str">
        <f>IF(Main_Parameters!$C$43="TX1 Enable","REMend","WR32")</f>
        <v>WR32</v>
      </c>
      <c r="C95" s="102" t="s">
        <v>2023</v>
      </c>
      <c r="D95" s="515" t="s">
        <v>966</v>
      </c>
      <c r="E95" s="91" t="str">
        <f>Main_Parameters!$C$135</f>
        <v>00000104</v>
      </c>
      <c r="F95" s="92"/>
      <c r="G95"/>
      <c r="H95"/>
      <c r="I95"/>
      <c r="J95"/>
      <c r="K95"/>
      <c r="L95"/>
      <c r="M95"/>
      <c r="N95"/>
      <c r="O95"/>
      <c r="P95"/>
      <c r="Q95"/>
      <c r="R95"/>
      <c r="S95"/>
      <c r="T95"/>
      <c r="U95"/>
      <c r="V95"/>
      <c r="W95"/>
      <c r="X95" s="131"/>
      <c r="AH95" s="131"/>
    </row>
    <row r="96" spans="2:57">
      <c r="B96" s="101" t="str">
        <f>IF(Main_Parameters!$C$43="TX1 Enable","REMend",IF(G96="Disable","REMend","WR32"))</f>
        <v>WR32</v>
      </c>
      <c r="C96" s="102" t="s">
        <v>2024</v>
      </c>
      <c r="D96" s="515" t="s">
        <v>2025</v>
      </c>
      <c r="E96" s="91" t="str">
        <f t="shared" si="19"/>
        <v>00000000</v>
      </c>
      <c r="F96" s="92"/>
      <c r="G96" s="104" t="s">
        <v>721</v>
      </c>
      <c r="H96" s="105"/>
      <c r="I96" s="121"/>
      <c r="J96" s="121"/>
      <c r="K96" s="121"/>
      <c r="L96" s="121"/>
      <c r="M96" s="122"/>
      <c r="N96" s="126" t="s">
        <v>2026</v>
      </c>
      <c r="O96" s="124" t="s">
        <v>2009</v>
      </c>
      <c r="P96" s="106" t="s">
        <v>2027</v>
      </c>
      <c r="Q96" s="113" t="s">
        <v>2009</v>
      </c>
      <c r="R96" s="125" t="s">
        <v>2028</v>
      </c>
      <c r="S96" s="113" t="s">
        <v>2009</v>
      </c>
      <c r="T96" s="112" t="s">
        <v>2029</v>
      </c>
      <c r="U96" s="113" t="s">
        <v>2009</v>
      </c>
      <c r="V96" s="112" t="s">
        <v>2030</v>
      </c>
      <c r="W96" s="104" t="s">
        <v>2009</v>
      </c>
      <c r="X96" s="63"/>
      <c r="Y96" s="47">
        <v>0</v>
      </c>
      <c r="Z96" s="47">
        <v>0</v>
      </c>
      <c r="AA96" s="47">
        <v>0</v>
      </c>
      <c r="AB96" s="47">
        <v>0</v>
      </c>
      <c r="AC96" s="47">
        <v>0</v>
      </c>
      <c r="AD96" s="47">
        <v>0</v>
      </c>
      <c r="AE96" s="47">
        <v>0</v>
      </c>
      <c r="AF96" s="47">
        <v>0</v>
      </c>
      <c r="AG96" s="47">
        <v>0</v>
      </c>
      <c r="AH96" s="47">
        <v>0</v>
      </c>
      <c r="AI96" s="47">
        <v>0</v>
      </c>
      <c r="AJ96" s="47">
        <v>0</v>
      </c>
      <c r="AK96" s="47">
        <v>0</v>
      </c>
      <c r="AL96" s="47">
        <v>0</v>
      </c>
      <c r="AM96" s="47">
        <v>0</v>
      </c>
      <c r="AN96" s="47">
        <v>0</v>
      </c>
      <c r="AO96" s="47">
        <v>0</v>
      </c>
      <c r="AP96" s="47">
        <v>0</v>
      </c>
      <c r="AQ96" s="47">
        <v>0</v>
      </c>
      <c r="AR96" s="47">
        <v>0</v>
      </c>
      <c r="AS96" s="47">
        <v>0</v>
      </c>
      <c r="AT96" s="47">
        <v>0</v>
      </c>
      <c r="AU96" s="47">
        <v>0</v>
      </c>
      <c r="AV96" s="47">
        <v>0</v>
      </c>
      <c r="AW96" s="47">
        <v>0</v>
      </c>
      <c r="AX96" s="47">
        <v>0</v>
      </c>
      <c r="AY96" s="47">
        <v>0</v>
      </c>
      <c r="AZ96" s="47">
        <f>IF(O96="Mask",1,0)</f>
        <v>0</v>
      </c>
      <c r="BA96" s="47">
        <f t="shared" ref="BA96:BA100" si="20">IF(Q96="Mask",1,0)</f>
        <v>0</v>
      </c>
      <c r="BB96" s="47">
        <f t="shared" ref="BB96:BB100" si="21">IF(S96="Mask",1,0)</f>
        <v>0</v>
      </c>
      <c r="BC96" s="47">
        <f t="shared" ref="BC96:BC100" si="22">IF(U96="Mask",1,0)</f>
        <v>0</v>
      </c>
      <c r="BD96" s="47">
        <f t="shared" ref="BD96:BD100" si="23">IF(W96="Mask",1,0)</f>
        <v>0</v>
      </c>
    </row>
    <row r="97" spans="1:56">
      <c r="B97" s="101" t="str">
        <f>IF(Main_Parameters!$C$43="TX1 Enable","REMend",IF(G97="Disable","REMend","WR32"))</f>
        <v>REMend</v>
      </c>
      <c r="C97" s="102" t="s">
        <v>2031</v>
      </c>
      <c r="D97" s="515" t="s">
        <v>2032</v>
      </c>
      <c r="E97" s="91" t="str">
        <f t="shared" si="19"/>
        <v>00000000</v>
      </c>
      <c r="F97" s="92"/>
      <c r="G97" s="104" t="s">
        <v>780</v>
      </c>
      <c r="H97" s="103"/>
      <c r="I97" s="110"/>
      <c r="J97" s="110"/>
      <c r="K97" s="110"/>
      <c r="L97" s="110"/>
      <c r="M97" s="110"/>
      <c r="N97" s="119"/>
      <c r="O97" s="112"/>
      <c r="P97" s="111" t="s">
        <v>2033</v>
      </c>
      <c r="Q97" s="113" t="s">
        <v>2009</v>
      </c>
      <c r="R97" s="122" t="s">
        <v>2034</v>
      </c>
      <c r="S97" s="124" t="s">
        <v>2009</v>
      </c>
      <c r="T97" s="111" t="s">
        <v>2035</v>
      </c>
      <c r="U97" s="113" t="s">
        <v>2009</v>
      </c>
      <c r="V97" s="122" t="s">
        <v>2036</v>
      </c>
      <c r="W97" s="127" t="s">
        <v>2009</v>
      </c>
      <c r="X97" s="63"/>
      <c r="Y97" s="47">
        <v>0</v>
      </c>
      <c r="Z97" s="47">
        <v>0</v>
      </c>
      <c r="AA97" s="47">
        <v>0</v>
      </c>
      <c r="AB97" s="47">
        <v>0</v>
      </c>
      <c r="AC97" s="47">
        <v>0</v>
      </c>
      <c r="AD97" s="47">
        <v>0</v>
      </c>
      <c r="AE97" s="47">
        <v>0</v>
      </c>
      <c r="AF97" s="47">
        <v>0</v>
      </c>
      <c r="AG97" s="47">
        <v>0</v>
      </c>
      <c r="AH97" s="47">
        <v>0</v>
      </c>
      <c r="AI97" s="47">
        <v>0</v>
      </c>
      <c r="AJ97" s="47">
        <v>0</v>
      </c>
      <c r="AK97" s="47">
        <v>0</v>
      </c>
      <c r="AL97" s="47">
        <v>0</v>
      </c>
      <c r="AM97" s="47">
        <v>0</v>
      </c>
      <c r="AN97" s="47">
        <v>0</v>
      </c>
      <c r="AO97" s="47">
        <v>0</v>
      </c>
      <c r="AP97" s="47">
        <v>0</v>
      </c>
      <c r="AQ97" s="47">
        <v>0</v>
      </c>
      <c r="AR97" s="47">
        <v>0</v>
      </c>
      <c r="AS97" s="47">
        <v>0</v>
      </c>
      <c r="AT97" s="47">
        <v>0</v>
      </c>
      <c r="AU97" s="47">
        <v>0</v>
      </c>
      <c r="AV97" s="47">
        <v>0</v>
      </c>
      <c r="AW97" s="47">
        <v>0</v>
      </c>
      <c r="AX97" s="47">
        <v>0</v>
      </c>
      <c r="AY97" s="47">
        <v>0</v>
      </c>
      <c r="AZ97" s="47">
        <v>0</v>
      </c>
      <c r="BA97" s="47">
        <f t="shared" si="20"/>
        <v>0</v>
      </c>
      <c r="BB97" s="47">
        <f t="shared" si="21"/>
        <v>0</v>
      </c>
      <c r="BC97" s="47">
        <f t="shared" si="22"/>
        <v>0</v>
      </c>
      <c r="BD97" s="47">
        <f t="shared" si="23"/>
        <v>0</v>
      </c>
    </row>
    <row r="98" spans="1:56" ht="15">
      <c r="B98" s="101" t="str">
        <f>IF(Main_Parameters!$C$43="TX1 Enable","REMend",IF(G98="Disable","REMend","WR32"))</f>
        <v>WR32</v>
      </c>
      <c r="C98" s="102" t="s">
        <v>2037</v>
      </c>
      <c r="D98" s="515" t="s">
        <v>2038</v>
      </c>
      <c r="E98" s="91" t="str">
        <f>DEC2HEX(HEX2DEC(K98),8)</f>
        <v>00000015</v>
      </c>
      <c r="F98" s="92"/>
      <c r="G98" s="104" t="s">
        <v>721</v>
      </c>
      <c r="H98" s="597" t="s">
        <v>2039</v>
      </c>
      <c r="I98" s="598"/>
      <c r="J98" s="599"/>
      <c r="K98" s="516" t="s">
        <v>2040</v>
      </c>
      <c r="L98" s="120" t="str">
        <f>IF(HEX2DEC(K98)&lt;0,"NG",IF(HEX2DEC(K98)&gt;31,"NG","OK"))</f>
        <v>OK</v>
      </c>
      <c r="M98" s="103"/>
      <c r="N98" s="110"/>
      <c r="O98" s="110"/>
      <c r="P98" s="110"/>
      <c r="Q98" s="110"/>
      <c r="R98" s="110"/>
      <c r="S98" s="110"/>
      <c r="T98" s="110"/>
      <c r="U98" s="110"/>
      <c r="V98" s="110"/>
      <c r="W98" s="111"/>
      <c r="X98" s="131"/>
      <c r="AH98" s="131"/>
    </row>
    <row r="99" spans="1:56" s="64" customFormat="1">
      <c r="A99" s="65"/>
      <c r="B99" s="101" t="str">
        <f>IF(Main_Parameters!$C$43="TX1 Enable","REMend",IF(G99="Disable","REMend","WR32"))</f>
        <v>REMend</v>
      </c>
      <c r="C99" s="102" t="s">
        <v>2041</v>
      </c>
      <c r="D99" s="515" t="s">
        <v>2042</v>
      </c>
      <c r="E99" s="91" t="str">
        <f t="shared" ref="E99:E103" si="24">DEC2HEX(Y99*2^31+Z99*2^30+AA99*2^29+AB99*2^28+AC99*2^27+AD99*2^26+AE99*2^25+AF99*2^24+AG99*2^23+AH99*2^22+AI99*2^21+AJ99*2^20+AK99*2^19+AL99*2^18+AM99*2^17+AN99*2^16+AO99*2^15+AP99*2^14+AQ99*2^13+AR99*2^12+AS99*2^11+AT99*2^10+AU99*2^9+AV99*2^8+AW99*2^7+AX99*2^6+AY99*2^5+AZ99*2^4+BA99*2^3+BB99*2^2+BC99*2^1+BD99*2^0,8)</f>
        <v>00000000</v>
      </c>
      <c r="F99" s="92"/>
      <c r="G99" s="104" t="s">
        <v>780</v>
      </c>
      <c r="H99" s="103"/>
      <c r="I99" s="110"/>
      <c r="J99" s="110"/>
      <c r="K99" s="110"/>
      <c r="L99" s="110"/>
      <c r="M99" s="110"/>
      <c r="N99" s="119"/>
      <c r="O99" s="112"/>
      <c r="P99" s="111" t="s">
        <v>2043</v>
      </c>
      <c r="Q99" s="113" t="s">
        <v>2009</v>
      </c>
      <c r="R99" s="103"/>
      <c r="S99" s="111"/>
      <c r="T99" s="111" t="s">
        <v>2044</v>
      </c>
      <c r="U99" s="113" t="s">
        <v>2009</v>
      </c>
      <c r="V99" s="103"/>
      <c r="W99" s="111"/>
      <c r="X99" s="63"/>
      <c r="Y99" s="47">
        <v>0</v>
      </c>
      <c r="Z99" s="47">
        <v>0</v>
      </c>
      <c r="AA99" s="47">
        <v>0</v>
      </c>
      <c r="AB99" s="47">
        <v>0</v>
      </c>
      <c r="AC99" s="47">
        <v>0</v>
      </c>
      <c r="AD99" s="47">
        <v>0</v>
      </c>
      <c r="AE99" s="47">
        <v>0</v>
      </c>
      <c r="AF99" s="47">
        <v>0</v>
      </c>
      <c r="AG99" s="47">
        <v>0</v>
      </c>
      <c r="AH99" s="47">
        <v>0</v>
      </c>
      <c r="AI99" s="47">
        <v>0</v>
      </c>
      <c r="AJ99" s="47">
        <v>0</v>
      </c>
      <c r="AK99" s="47">
        <v>0</v>
      </c>
      <c r="AL99" s="47">
        <v>0</v>
      </c>
      <c r="AM99" s="47">
        <v>0</v>
      </c>
      <c r="AN99" s="47">
        <v>0</v>
      </c>
      <c r="AO99" s="47">
        <v>0</v>
      </c>
      <c r="AP99" s="47">
        <v>0</v>
      </c>
      <c r="AQ99" s="47">
        <v>0</v>
      </c>
      <c r="AR99" s="47">
        <v>0</v>
      </c>
      <c r="AS99" s="47">
        <v>0</v>
      </c>
      <c r="AT99" s="47">
        <v>0</v>
      </c>
      <c r="AU99" s="47">
        <v>0</v>
      </c>
      <c r="AV99" s="47">
        <v>0</v>
      </c>
      <c r="AW99" s="47">
        <v>0</v>
      </c>
      <c r="AX99" s="47">
        <v>0</v>
      </c>
      <c r="AY99" s="47">
        <v>0</v>
      </c>
      <c r="AZ99" s="47">
        <v>0</v>
      </c>
      <c r="BA99" s="47">
        <f t="shared" si="20"/>
        <v>0</v>
      </c>
      <c r="BB99" s="47">
        <v>0</v>
      </c>
      <c r="BC99" s="47">
        <f t="shared" si="22"/>
        <v>0</v>
      </c>
      <c r="BD99" s="47">
        <v>0</v>
      </c>
    </row>
    <row r="100" spans="1:56" s="64" customFormat="1">
      <c r="A100" s="65"/>
      <c r="B100" s="101" t="str">
        <f>IF(Main_Parameters!$C$43="TX1 Enable","REMend",IF(G100="Disable","REMend","WR32"))</f>
        <v>WR32</v>
      </c>
      <c r="C100" s="102" t="s">
        <v>2045</v>
      </c>
      <c r="D100" s="515" t="s">
        <v>2046</v>
      </c>
      <c r="E100" s="91" t="str">
        <f t="shared" si="24"/>
        <v>00000000</v>
      </c>
      <c r="F100" s="92"/>
      <c r="G100" s="104" t="s">
        <v>721</v>
      </c>
      <c r="H100" s="106" t="s">
        <v>2047</v>
      </c>
      <c r="I100" s="104" t="s">
        <v>2009</v>
      </c>
      <c r="J100" s="106" t="s">
        <v>2048</v>
      </c>
      <c r="K100" s="104" t="s">
        <v>2009</v>
      </c>
      <c r="L100" s="106" t="s">
        <v>2049</v>
      </c>
      <c r="M100" s="104" t="s">
        <v>2009</v>
      </c>
      <c r="N100" s="106" t="s">
        <v>2050</v>
      </c>
      <c r="O100" s="104" t="s">
        <v>2009</v>
      </c>
      <c r="P100" s="106" t="s">
        <v>2051</v>
      </c>
      <c r="Q100" s="104" t="s">
        <v>2009</v>
      </c>
      <c r="R100" s="155" t="s">
        <v>2052</v>
      </c>
      <c r="S100" s="156" t="s">
        <v>2009</v>
      </c>
      <c r="T100" s="106" t="s">
        <v>2053</v>
      </c>
      <c r="U100" s="127" t="s">
        <v>2009</v>
      </c>
      <c r="V100" s="157" t="s">
        <v>2054</v>
      </c>
      <c r="W100" s="158" t="s">
        <v>2009</v>
      </c>
      <c r="X100" s="131"/>
      <c r="Y100" s="47">
        <v>0</v>
      </c>
      <c r="Z100" s="47">
        <v>0</v>
      </c>
      <c r="AA100" s="47">
        <v>0</v>
      </c>
      <c r="AB100" s="47">
        <v>0</v>
      </c>
      <c r="AC100" s="47">
        <v>0</v>
      </c>
      <c r="AD100" s="47">
        <v>0</v>
      </c>
      <c r="AE100" s="47">
        <v>0</v>
      </c>
      <c r="AF100" s="47">
        <v>0</v>
      </c>
      <c r="AG100" s="47">
        <v>0</v>
      </c>
      <c r="AH100" s="47">
        <v>0</v>
      </c>
      <c r="AI100" s="47">
        <v>0</v>
      </c>
      <c r="AJ100" s="47">
        <v>0</v>
      </c>
      <c r="AK100" s="47">
        <v>0</v>
      </c>
      <c r="AL100" s="47">
        <v>0</v>
      </c>
      <c r="AM100" s="47">
        <v>0</v>
      </c>
      <c r="AN100" s="47">
        <v>0</v>
      </c>
      <c r="AO100" s="47">
        <v>0</v>
      </c>
      <c r="AP100" s="47">
        <v>0</v>
      </c>
      <c r="AQ100" s="47">
        <v>0</v>
      </c>
      <c r="AR100" s="47">
        <v>0</v>
      </c>
      <c r="AS100" s="47">
        <v>0</v>
      </c>
      <c r="AT100" s="47">
        <v>0</v>
      </c>
      <c r="AU100" s="47">
        <f>IF(I100="Mask",1,0)</f>
        <v>0</v>
      </c>
      <c r="AV100" s="47">
        <f t="shared" ref="AV100:AZ100" si="25">IF(K100="Mask",1,0)</f>
        <v>0</v>
      </c>
      <c r="AW100" s="47">
        <v>0</v>
      </c>
      <c r="AX100" s="47">
        <f t="shared" si="25"/>
        <v>0</v>
      </c>
      <c r="AY100" s="47">
        <v>0</v>
      </c>
      <c r="AZ100" s="47">
        <f t="shared" si="25"/>
        <v>0</v>
      </c>
      <c r="BA100" s="47">
        <f t="shared" si="20"/>
        <v>0</v>
      </c>
      <c r="BB100" s="47">
        <f t="shared" si="21"/>
        <v>0</v>
      </c>
      <c r="BC100" s="47">
        <f t="shared" si="22"/>
        <v>0</v>
      </c>
      <c r="BD100" s="47">
        <f t="shared" si="23"/>
        <v>0</v>
      </c>
    </row>
    <row r="101" spans="1:56" s="64" customFormat="1">
      <c r="A101" s="65"/>
      <c r="B101" s="101" t="str">
        <f>IF(Main_Parameters!$C$43="TX1 Enable","REMend",IF(G101="Disable","REMend","WR32"))</f>
        <v>WR32</v>
      </c>
      <c r="C101" s="102" t="s">
        <v>2055</v>
      </c>
      <c r="D101" s="515" t="s">
        <v>2056</v>
      </c>
      <c r="E101" s="91" t="str">
        <f t="shared" si="24"/>
        <v>00000080</v>
      </c>
      <c r="F101" s="92"/>
      <c r="G101" s="104" t="s">
        <v>721</v>
      </c>
      <c r="H101" s="595" t="s">
        <v>2057</v>
      </c>
      <c r="I101" s="596"/>
      <c r="J101" s="127" t="s">
        <v>2009</v>
      </c>
      <c r="K101" s="127" t="s">
        <v>2009</v>
      </c>
      <c r="L101" s="104" t="s">
        <v>2009</v>
      </c>
      <c r="M101" s="104" t="s">
        <v>2009</v>
      </c>
      <c r="N101" s="104" t="s">
        <v>2009</v>
      </c>
      <c r="O101" s="104" t="s">
        <v>2009</v>
      </c>
      <c r="P101" s="128" t="s">
        <v>2006</v>
      </c>
      <c r="Q101" s="127" t="s">
        <v>2009</v>
      </c>
      <c r="R101" s="139"/>
      <c r="S101" s="127" t="s">
        <v>2009</v>
      </c>
      <c r="T101" s="124" t="s">
        <v>2009</v>
      </c>
      <c r="U101" s="140"/>
      <c r="V101" s="119"/>
      <c r="W101" s="112"/>
      <c r="X101" s="131"/>
      <c r="Y101" s="47">
        <v>0</v>
      </c>
      <c r="Z101" s="47">
        <v>0</v>
      </c>
      <c r="AA101" s="47">
        <v>0</v>
      </c>
      <c r="AB101" s="47">
        <v>0</v>
      </c>
      <c r="AC101" s="47">
        <v>0</v>
      </c>
      <c r="AD101" s="47">
        <v>0</v>
      </c>
      <c r="AE101" s="47">
        <v>0</v>
      </c>
      <c r="AF101" s="47">
        <v>0</v>
      </c>
      <c r="AG101" s="47">
        <v>0</v>
      </c>
      <c r="AH101" s="47">
        <v>0</v>
      </c>
      <c r="AI101" s="47">
        <v>0</v>
      </c>
      <c r="AJ101" s="47">
        <v>0</v>
      </c>
      <c r="AK101" s="47">
        <v>0</v>
      </c>
      <c r="AL101" s="47">
        <v>0</v>
      </c>
      <c r="AM101" s="47">
        <v>0</v>
      </c>
      <c r="AN101" s="47">
        <v>0</v>
      </c>
      <c r="AO101" s="47">
        <v>0</v>
      </c>
      <c r="AP101" s="47">
        <v>0</v>
      </c>
      <c r="AQ101" s="47">
        <f t="shared" ref="AQ101:AX101" si="26">IF(J101="Mask",1,0)</f>
        <v>0</v>
      </c>
      <c r="AR101" s="47">
        <f t="shared" si="26"/>
        <v>0</v>
      </c>
      <c r="AS101" s="47">
        <f t="shared" si="26"/>
        <v>0</v>
      </c>
      <c r="AT101" s="47">
        <f t="shared" si="26"/>
        <v>0</v>
      </c>
      <c r="AU101" s="47">
        <f t="shared" si="26"/>
        <v>0</v>
      </c>
      <c r="AV101" s="47">
        <f t="shared" si="26"/>
        <v>0</v>
      </c>
      <c r="AW101" s="47">
        <f t="shared" si="26"/>
        <v>1</v>
      </c>
      <c r="AX101" s="47">
        <f t="shared" si="26"/>
        <v>0</v>
      </c>
      <c r="AY101" s="47">
        <v>0</v>
      </c>
      <c r="AZ101" s="47">
        <f>IF(S101="Mask",1,0)</f>
        <v>0</v>
      </c>
      <c r="BA101" s="47">
        <f>IF(T101="Mask",1,0)</f>
        <v>0</v>
      </c>
      <c r="BB101" s="47">
        <v>0</v>
      </c>
      <c r="BC101" s="47">
        <v>0</v>
      </c>
      <c r="BD101" s="47">
        <v>0</v>
      </c>
    </row>
    <row r="102" spans="1:56" s="64" customFormat="1">
      <c r="A102" s="65"/>
      <c r="B102" s="101" t="str">
        <f>IF(Main_Parameters!$C$43="TX1 Enable","REMend",IF(G102="Disable","REMend","WR32"))</f>
        <v>WR32</v>
      </c>
      <c r="C102" s="102" t="s">
        <v>2058</v>
      </c>
      <c r="D102" s="515" t="s">
        <v>2059</v>
      </c>
      <c r="E102" s="91" t="str">
        <f t="shared" si="24"/>
        <v>00000000</v>
      </c>
      <c r="F102" s="92"/>
      <c r="G102" s="104" t="s">
        <v>721</v>
      </c>
      <c r="H102" s="107"/>
      <c r="I102" s="119"/>
      <c r="J102" s="119"/>
      <c r="K102" s="112"/>
      <c r="L102" s="112" t="s">
        <v>2060</v>
      </c>
      <c r="M102" s="104" t="s">
        <v>2009</v>
      </c>
      <c r="N102" s="106" t="s">
        <v>2061</v>
      </c>
      <c r="O102" s="113" t="s">
        <v>2009</v>
      </c>
      <c r="P102" s="107"/>
      <c r="Q102" s="119"/>
      <c r="R102" s="119"/>
      <c r="S102" s="119"/>
      <c r="T102" s="119"/>
      <c r="U102" s="112"/>
      <c r="V102" s="106" t="s">
        <v>2062</v>
      </c>
      <c r="W102" s="104" t="s">
        <v>2009</v>
      </c>
      <c r="X102" s="131"/>
      <c r="Y102" s="47">
        <v>0</v>
      </c>
      <c r="Z102" s="47">
        <v>0</v>
      </c>
      <c r="AA102" s="47">
        <v>0</v>
      </c>
      <c r="AB102" s="47">
        <v>0</v>
      </c>
      <c r="AC102" s="47">
        <v>0</v>
      </c>
      <c r="AD102" s="47">
        <v>0</v>
      </c>
      <c r="AE102" s="47">
        <v>0</v>
      </c>
      <c r="AF102" s="47">
        <v>0</v>
      </c>
      <c r="AG102" s="47">
        <v>0</v>
      </c>
      <c r="AH102" s="47">
        <v>0</v>
      </c>
      <c r="AI102" s="47">
        <v>0</v>
      </c>
      <c r="AJ102" s="47">
        <v>0</v>
      </c>
      <c r="AK102" s="47">
        <v>0</v>
      </c>
      <c r="AL102" s="47">
        <v>0</v>
      </c>
      <c r="AM102" s="47">
        <v>0</v>
      </c>
      <c r="AN102" s="47">
        <v>0</v>
      </c>
      <c r="AO102" s="47">
        <v>0</v>
      </c>
      <c r="AP102" s="47">
        <v>0</v>
      </c>
      <c r="AQ102" s="47">
        <v>0</v>
      </c>
      <c r="AR102" s="47">
        <v>0</v>
      </c>
      <c r="AS102" s="47">
        <v>0</v>
      </c>
      <c r="AT102" s="47">
        <v>0</v>
      </c>
      <c r="AU102" s="47">
        <f>IF(M102="Mask",1,0)</f>
        <v>0</v>
      </c>
      <c r="AV102" s="47">
        <f>IF(O102="Mask",1,0)</f>
        <v>0</v>
      </c>
      <c r="AW102" s="47">
        <v>0</v>
      </c>
      <c r="AX102" s="47">
        <v>0</v>
      </c>
      <c r="AY102" s="47">
        <v>0</v>
      </c>
      <c r="AZ102" s="47">
        <v>0</v>
      </c>
      <c r="BA102" s="47">
        <v>0</v>
      </c>
      <c r="BB102" s="47">
        <v>0</v>
      </c>
      <c r="BC102" s="47">
        <v>0</v>
      </c>
      <c r="BD102" s="47">
        <f>IF(W102="Mask",1,0)</f>
        <v>0</v>
      </c>
    </row>
    <row r="103" spans="1:56" s="64" customFormat="1">
      <c r="A103" s="65"/>
      <c r="B103" s="101" t="str">
        <f>IF(Main_Parameters!$C$43="TX1 Enable","REMend",IF(G103="Disable","REMend","WR32"))</f>
        <v>REMend</v>
      </c>
      <c r="C103" s="94" t="s">
        <v>2063</v>
      </c>
      <c r="D103" s="513" t="s">
        <v>2064</v>
      </c>
      <c r="E103" s="91" t="str">
        <f t="shared" si="24"/>
        <v>00000000</v>
      </c>
      <c r="F103" s="97"/>
      <c r="G103" s="104" t="s">
        <v>780</v>
      </c>
      <c r="H103" s="107"/>
      <c r="I103" s="119"/>
      <c r="J103" s="119"/>
      <c r="K103" s="119"/>
      <c r="L103" s="119"/>
      <c r="M103" s="112"/>
      <c r="N103" s="129" t="s">
        <v>2065</v>
      </c>
      <c r="O103" s="104">
        <v>0</v>
      </c>
      <c r="P103" s="129" t="s">
        <v>2066</v>
      </c>
      <c r="Q103" s="104">
        <v>0</v>
      </c>
      <c r="R103" s="129" t="s">
        <v>2067</v>
      </c>
      <c r="S103" s="104">
        <v>0</v>
      </c>
      <c r="T103" s="129" t="s">
        <v>2068</v>
      </c>
      <c r="U103" s="104">
        <v>0</v>
      </c>
      <c r="V103" s="129" t="s">
        <v>2069</v>
      </c>
      <c r="W103" s="104">
        <v>0</v>
      </c>
      <c r="X103" s="131"/>
      <c r="Y103" s="47">
        <v>0</v>
      </c>
      <c r="Z103" s="47">
        <v>0</v>
      </c>
      <c r="AA103" s="47">
        <v>0</v>
      </c>
      <c r="AB103" s="47">
        <v>0</v>
      </c>
      <c r="AC103" s="47">
        <v>0</v>
      </c>
      <c r="AD103" s="47">
        <v>0</v>
      </c>
      <c r="AE103" s="47">
        <v>0</v>
      </c>
      <c r="AF103" s="47">
        <v>0</v>
      </c>
      <c r="AG103" s="47">
        <v>0</v>
      </c>
      <c r="AH103" s="47">
        <v>0</v>
      </c>
      <c r="AI103" s="47">
        <v>0</v>
      </c>
      <c r="AJ103" s="47">
        <v>0</v>
      </c>
      <c r="AK103" s="47">
        <v>0</v>
      </c>
      <c r="AL103" s="47">
        <v>0</v>
      </c>
      <c r="AM103" s="47">
        <v>0</v>
      </c>
      <c r="AN103" s="47">
        <f>O103</f>
        <v>0</v>
      </c>
      <c r="AO103" s="47">
        <v>0</v>
      </c>
      <c r="AP103" s="47">
        <v>0</v>
      </c>
      <c r="AQ103" s="47">
        <v>0</v>
      </c>
      <c r="AR103" s="47">
        <f>Q103</f>
        <v>0</v>
      </c>
      <c r="AS103" s="47">
        <v>0</v>
      </c>
      <c r="AT103" s="47">
        <v>0</v>
      </c>
      <c r="AU103" s="47">
        <v>0</v>
      </c>
      <c r="AV103" s="47">
        <f>S103</f>
        <v>0</v>
      </c>
      <c r="AW103" s="47">
        <v>0</v>
      </c>
      <c r="AX103" s="47">
        <v>0</v>
      </c>
      <c r="AY103" s="47">
        <v>0</v>
      </c>
      <c r="AZ103" s="47">
        <f>U103</f>
        <v>0</v>
      </c>
      <c r="BA103" s="47">
        <v>0</v>
      </c>
      <c r="BB103" s="47">
        <v>0</v>
      </c>
      <c r="BC103" s="47">
        <v>0</v>
      </c>
      <c r="BD103" s="47">
        <f>W103</f>
        <v>0</v>
      </c>
    </row>
    <row r="104" spans="1:56" s="64" customFormat="1">
      <c r="A104" s="65"/>
      <c r="B104" s="101" t="str">
        <f>IF(Main_Parameters!$C$43="TX1 Enable","REMend","WR32")</f>
        <v>WR32</v>
      </c>
      <c r="C104" s="94" t="s">
        <v>871</v>
      </c>
      <c r="D104" s="513" t="s">
        <v>967</v>
      </c>
      <c r="E104" s="91" t="str">
        <f>Main_Parameters!$C$137</f>
        <v>00000006</v>
      </c>
      <c r="F104" s="97"/>
      <c r="G104"/>
      <c r="H104"/>
      <c r="I104"/>
      <c r="J104"/>
      <c r="K104"/>
      <c r="L104"/>
      <c r="M104"/>
      <c r="N104"/>
      <c r="O104"/>
      <c r="P104"/>
      <c r="Q104"/>
      <c r="R104"/>
      <c r="S104"/>
      <c r="T104"/>
      <c r="U104"/>
      <c r="V104"/>
      <c r="W104"/>
      <c r="X104" s="131"/>
      <c r="AH104" s="131"/>
    </row>
    <row r="105" spans="1:56" s="64" customFormat="1">
      <c r="A105" s="65"/>
      <c r="B105" s="101" t="str">
        <f>IF(Main_Parameters!$C$43="TX1 Enable","REMend","WR32")</f>
        <v>WR32</v>
      </c>
      <c r="C105" s="94" t="s">
        <v>878</v>
      </c>
      <c r="D105" s="513" t="s">
        <v>968</v>
      </c>
      <c r="E105" s="91" t="str">
        <f>Main_Parameters!$C$138</f>
        <v>00240204</v>
      </c>
      <c r="F105" s="97"/>
      <c r="G105"/>
      <c r="H105"/>
      <c r="I105"/>
      <c r="J105"/>
      <c r="K105"/>
      <c r="L105"/>
      <c r="M105"/>
      <c r="N105"/>
      <c r="O105"/>
      <c r="P105"/>
      <c r="Q105"/>
      <c r="R105"/>
      <c r="S105"/>
      <c r="T105"/>
      <c r="U105"/>
      <c r="V105"/>
      <c r="W105"/>
      <c r="X105" s="131"/>
      <c r="AH105" s="131"/>
    </row>
    <row r="106" spans="1:56" s="64" customFormat="1">
      <c r="A106" s="65"/>
      <c r="B106" s="101" t="str">
        <f>IF(Main_Parameters!$C$43="TX1 Enable","REMend","WR32")</f>
        <v>WR32</v>
      </c>
      <c r="C106" s="94" t="s">
        <v>2070</v>
      </c>
      <c r="D106" s="513" t="s">
        <v>969</v>
      </c>
      <c r="E106" s="91" t="str">
        <f>Main_Parameters!$C$139</f>
        <v>000D0008</v>
      </c>
      <c r="F106" s="97"/>
      <c r="G106"/>
      <c r="H106"/>
      <c r="I106"/>
      <c r="J106"/>
      <c r="K106"/>
      <c r="L106"/>
      <c r="M106"/>
      <c r="N106"/>
      <c r="O106"/>
      <c r="P106"/>
      <c r="Q106"/>
      <c r="R106"/>
      <c r="S106"/>
      <c r="T106"/>
      <c r="U106"/>
      <c r="V106"/>
      <c r="W106"/>
      <c r="X106" s="131"/>
      <c r="AH106" s="131"/>
    </row>
    <row r="107" spans="1:56" s="64" customFormat="1">
      <c r="A107" s="65"/>
      <c r="B107" s="101" t="str">
        <f>IF(Main_Parameters!$C$43="TX1 Enable","REMend","WR32")</f>
        <v>WR32</v>
      </c>
      <c r="C107" s="94" t="s">
        <v>899</v>
      </c>
      <c r="D107" s="513" t="s">
        <v>970</v>
      </c>
      <c r="E107" s="91" t="str">
        <f>Main_Parameters!$C$140</f>
        <v>00140006</v>
      </c>
      <c r="F107" s="97"/>
      <c r="G107"/>
      <c r="H107"/>
      <c r="I107"/>
      <c r="J107"/>
      <c r="K107"/>
      <c r="L107"/>
      <c r="M107"/>
      <c r="N107"/>
      <c r="O107"/>
      <c r="P107"/>
      <c r="Q107"/>
      <c r="R107"/>
      <c r="S107"/>
      <c r="T107"/>
      <c r="U107"/>
      <c r="V107"/>
      <c r="W107"/>
      <c r="X107" s="131"/>
      <c r="AH107" s="131"/>
    </row>
    <row r="108" spans="1:56" s="64" customFormat="1">
      <c r="A108" s="65"/>
      <c r="B108" s="101" t="str">
        <f>IF(Main_Parameters!$C$43="TX1 Enable","REMend","WR32")</f>
        <v>WR32</v>
      </c>
      <c r="C108" s="94" t="s">
        <v>907</v>
      </c>
      <c r="D108" s="513" t="s">
        <v>971</v>
      </c>
      <c r="E108" s="91" t="str">
        <f>Main_Parameters!$C$141</f>
        <v>00004268</v>
      </c>
      <c r="F108" s="97"/>
      <c r="G108"/>
      <c r="H108"/>
      <c r="I108"/>
      <c r="J108"/>
      <c r="K108"/>
      <c r="L108"/>
      <c r="M108"/>
      <c r="N108"/>
      <c r="O108"/>
      <c r="P108"/>
      <c r="Q108"/>
      <c r="R108"/>
      <c r="S108"/>
      <c r="T108"/>
      <c r="U108"/>
      <c r="V108"/>
      <c r="W108"/>
      <c r="X108" s="131"/>
      <c r="AH108" s="131"/>
    </row>
    <row r="109" spans="1:56" s="64" customFormat="1">
      <c r="A109" s="65"/>
      <c r="B109" s="101" t="str">
        <f>IF(Main_Parameters!$C$43="TX1 Enable","REMend","WR32")</f>
        <v>WR32</v>
      </c>
      <c r="C109" s="94" t="s">
        <v>2071</v>
      </c>
      <c r="D109" s="513" t="s">
        <v>972</v>
      </c>
      <c r="E109" s="91" t="str">
        <f>Main_Parameters!$C$142</f>
        <v>0000000F</v>
      </c>
      <c r="F109" s="97"/>
      <c r="G109"/>
      <c r="H109"/>
      <c r="I109"/>
      <c r="J109"/>
      <c r="K109"/>
      <c r="L109"/>
      <c r="M109"/>
      <c r="N109"/>
      <c r="O109"/>
      <c r="P109"/>
      <c r="Q109"/>
      <c r="R109"/>
      <c r="S109"/>
      <c r="T109"/>
      <c r="U109"/>
      <c r="V109"/>
      <c r="W109"/>
      <c r="X109" s="131"/>
      <c r="AH109" s="131"/>
    </row>
    <row r="110" spans="1:56" s="64" customFormat="1">
      <c r="A110" s="65"/>
      <c r="B110" s="101" t="str">
        <f>IF(Main_Parameters!$C$43="TX1 Enable","REMend","WR32")</f>
        <v>WR32</v>
      </c>
      <c r="C110" s="94" t="s">
        <v>2072</v>
      </c>
      <c r="D110" s="513" t="s">
        <v>973</v>
      </c>
      <c r="E110" s="91" t="str">
        <f>Main_Parameters!$C$143</f>
        <v>000D0008</v>
      </c>
      <c r="F110" s="97"/>
      <c r="G110"/>
      <c r="H110"/>
      <c r="I110"/>
      <c r="J110"/>
      <c r="K110" s="130"/>
      <c r="L110"/>
      <c r="M110"/>
      <c r="N110"/>
      <c r="O110"/>
      <c r="P110"/>
      <c r="Q110"/>
      <c r="R110"/>
      <c r="S110"/>
      <c r="T110"/>
      <c r="U110"/>
      <c r="V110"/>
      <c r="W110"/>
      <c r="X110" s="131"/>
      <c r="AH110" s="131"/>
    </row>
    <row r="111" spans="1:56" s="64" customFormat="1">
      <c r="A111" s="65"/>
      <c r="B111" s="101" t="str">
        <f>IF(Main_Parameters!$C$43="TX1 Enable","REMend","WR32")</f>
        <v>WR32</v>
      </c>
      <c r="C111" s="94" t="s">
        <v>2073</v>
      </c>
      <c r="D111" s="513" t="s">
        <v>2074</v>
      </c>
      <c r="E111" s="511" t="s">
        <v>2075</v>
      </c>
      <c r="F111" s="97"/>
      <c r="G111"/>
      <c r="H111"/>
      <c r="I111"/>
      <c r="J111"/>
      <c r="K111"/>
      <c r="L111"/>
      <c r="M111"/>
      <c r="N111"/>
      <c r="O111"/>
      <c r="P111"/>
      <c r="Q111"/>
      <c r="R111"/>
      <c r="S111"/>
      <c r="T111"/>
      <c r="U111"/>
      <c r="V111"/>
      <c r="W111"/>
      <c r="X111" s="131"/>
      <c r="AH111" s="131"/>
    </row>
    <row r="112" spans="1:56" s="64" customFormat="1">
      <c r="A112" s="65"/>
      <c r="B112" s="101" t="str">
        <f>IF(Main_Parameters!$C$43="TX1 Enable","REMend","WR32")</f>
        <v>WR32</v>
      </c>
      <c r="C112" s="94" t="s">
        <v>2076</v>
      </c>
      <c r="D112" s="513" t="s">
        <v>974</v>
      </c>
      <c r="E112" s="91" t="str">
        <f>Main_Parameters!$C$145</f>
        <v>0000001F</v>
      </c>
      <c r="F112" s="97"/>
      <c r="G112"/>
      <c r="H112"/>
      <c r="I112"/>
      <c r="J112"/>
      <c r="K112"/>
      <c r="L112"/>
      <c r="M112"/>
      <c r="N112"/>
      <c r="O112"/>
      <c r="P112"/>
      <c r="Q112"/>
      <c r="R112"/>
      <c r="S112"/>
      <c r="T112"/>
      <c r="U112"/>
      <c r="V112"/>
      <c r="W112"/>
      <c r="X112" s="131"/>
      <c r="AH112" s="131"/>
    </row>
    <row r="113" spans="1:56" s="64" customFormat="1">
      <c r="A113" s="65"/>
      <c r="B113" s="101" t="str">
        <f>IF(Main_Parameters!$C$43="TX1 Enable","REMend","WR32")</f>
        <v>WR32</v>
      </c>
      <c r="C113" s="94" t="s">
        <v>925</v>
      </c>
      <c r="D113" s="513" t="s">
        <v>975</v>
      </c>
      <c r="E113" s="91" t="str">
        <f>Main_Parameters!$C$146</f>
        <v>00060005</v>
      </c>
      <c r="F113" s="97"/>
      <c r="G113"/>
      <c r="H113"/>
      <c r="I113"/>
      <c r="J113"/>
      <c r="K113"/>
      <c r="L113"/>
      <c r="M113"/>
      <c r="N113"/>
      <c r="O113"/>
      <c r="P113"/>
      <c r="Q113"/>
      <c r="R113"/>
      <c r="S113"/>
      <c r="T113"/>
      <c r="U113"/>
      <c r="V113"/>
      <c r="W113"/>
      <c r="X113" s="131"/>
      <c r="AH113" s="131"/>
    </row>
    <row r="114" spans="1:56" s="64" customFormat="1">
      <c r="A114" s="65"/>
      <c r="B114" s="101" t="str">
        <f>IF(Main_Parameters!$C$43="TX1 Enable","REMend",IF(G114="Disable","REMend","WR32"))</f>
        <v>WR32</v>
      </c>
      <c r="C114" s="94" t="s">
        <v>2077</v>
      </c>
      <c r="D114" s="513" t="s">
        <v>2078</v>
      </c>
      <c r="E114" s="91" t="str">
        <f>DEC2HEX(Y114*2^31+Z114*2^30+AA114*2^29+AB114*2^28+AC114*2^27+AD114*2^26+AE114*2^25+AF114*2^24+AG114*2^23+AH114*2^22+AI114*2^21+AJ114*2^20+AK114*2^19+AL114*2^18+AM114*2^17+AN114*2^16+AO114*2^15+AP114*2^14+AQ114*2^13+AR114*2^12+AS114*2^11+AT114*2^10+AU114*2^9+AV114*2^8+AW114*2^7+AX114*2^6+AY114*2^5+AZ114*2^4+BA114*2^3+BB114*2^2+BC114*2^1+BD114*2^0,8)</f>
        <v>00000002</v>
      </c>
      <c r="F114" s="97"/>
      <c r="G114" s="104" t="s">
        <v>721</v>
      </c>
      <c r="H114" s="107"/>
      <c r="I114" s="119"/>
      <c r="J114" s="119"/>
      <c r="K114" s="119"/>
      <c r="L114" s="119"/>
      <c r="M114" s="112"/>
      <c r="N114" s="112" t="s">
        <v>2079</v>
      </c>
      <c r="O114" s="104" t="s">
        <v>2080</v>
      </c>
      <c r="P114" s="106" t="s">
        <v>2081</v>
      </c>
      <c r="Q114" s="104" t="s">
        <v>2080</v>
      </c>
      <c r="R114" s="106" t="s">
        <v>2082</v>
      </c>
      <c r="S114" s="104" t="s">
        <v>2080</v>
      </c>
      <c r="T114" s="106" t="s">
        <v>2083</v>
      </c>
      <c r="U114" s="104" t="s">
        <v>2080</v>
      </c>
      <c r="V114" s="106" t="s">
        <v>2084</v>
      </c>
      <c r="W114" s="104" t="s">
        <v>2085</v>
      </c>
      <c r="X114" s="131"/>
      <c r="Y114" s="47">
        <v>0</v>
      </c>
      <c r="Z114" s="47">
        <v>0</v>
      </c>
      <c r="AA114" s="47">
        <v>0</v>
      </c>
      <c r="AB114" s="47">
        <v>0</v>
      </c>
      <c r="AC114" s="47">
        <v>0</v>
      </c>
      <c r="AD114" s="47">
        <v>0</v>
      </c>
      <c r="AE114" s="47">
        <v>0</v>
      </c>
      <c r="AF114" s="47">
        <v>0</v>
      </c>
      <c r="AG114" s="47">
        <v>0</v>
      </c>
      <c r="AH114" s="47">
        <v>0</v>
      </c>
      <c r="AI114" s="47">
        <v>0</v>
      </c>
      <c r="AJ114" s="47">
        <v>0</v>
      </c>
      <c r="AK114" s="47">
        <v>0</v>
      </c>
      <c r="AL114" s="47">
        <v>0</v>
      </c>
      <c r="AM114" s="47">
        <v>0</v>
      </c>
      <c r="AN114" s="47">
        <v>0</v>
      </c>
      <c r="AO114" s="47">
        <v>0</v>
      </c>
      <c r="AP114" s="47">
        <v>0</v>
      </c>
      <c r="AQ114" s="47">
        <v>0</v>
      </c>
      <c r="AR114" s="47">
        <v>0</v>
      </c>
      <c r="AS114" s="47">
        <v>0</v>
      </c>
      <c r="AT114" s="47">
        <v>0</v>
      </c>
      <c r="AU114" s="47">
        <v>0</v>
      </c>
      <c r="AV114" s="47">
        <f t="shared" ref="AV114:AZ114" si="27">IF(O114="No Add",0,IF(O114="25% Add",2,3))</f>
        <v>0</v>
      </c>
      <c r="AW114" s="47">
        <v>0</v>
      </c>
      <c r="AX114" s="47">
        <f t="shared" si="27"/>
        <v>0</v>
      </c>
      <c r="AY114" s="47">
        <v>0</v>
      </c>
      <c r="AZ114" s="47">
        <f t="shared" si="27"/>
        <v>0</v>
      </c>
      <c r="BA114" s="47">
        <v>0</v>
      </c>
      <c r="BB114" s="47">
        <f>IF(U114="No Add",0,IF(U114="25% Add",2,3))</f>
        <v>0</v>
      </c>
      <c r="BC114" s="47">
        <v>0</v>
      </c>
      <c r="BD114" s="47">
        <f>IF(W114="No Add",0,IF(W114="25% Add",2,3))</f>
        <v>2</v>
      </c>
    </row>
    <row r="115" spans="1:56">
      <c r="B115" s="101" t="str">
        <f>IF(Main_Parameters!$C$43="TX1 Enable","REMend",IF(G115="Disable","REMend","WR32"))</f>
        <v>REMend</v>
      </c>
      <c r="C115" s="94" t="s">
        <v>2086</v>
      </c>
      <c r="D115" s="513" t="s">
        <v>2087</v>
      </c>
      <c r="E115" s="91" t="str">
        <f>DEC2HEX(Y115*2^31+Z115*2^30+AA115*2^29+AB115*2^28+AC115*2^27+AD115*2^26+AE115*2^25+AF115*2^24+AG115*2^23+AH115*2^22+AI115*2^21+AJ115*2^20+AK115*2^19+AL115*2^18+AM115*2^17+AN115*2^16+AO115*2^15+AP115*2^14+AQ115*2^13+AR115*2^12+AS115*2^11+AT115*2^10+AU115*2^9+AV115*2^8+AW115*2^7+AX115*2^6+AY115*2^5+AZ115*2^4+BA115*2^3+BB115*2^2+BC115*2^1+BD115*2^0,8)</f>
        <v>000002AA</v>
      </c>
      <c r="F115" s="97"/>
      <c r="G115" s="104" t="s">
        <v>780</v>
      </c>
      <c r="H115" s="107"/>
      <c r="I115" s="119"/>
      <c r="J115" s="119"/>
      <c r="K115" s="119"/>
      <c r="L115" s="119"/>
      <c r="M115" s="112"/>
      <c r="N115" s="106" t="s">
        <v>2088</v>
      </c>
      <c r="O115" s="104">
        <v>2</v>
      </c>
      <c r="P115" s="106" t="s">
        <v>2089</v>
      </c>
      <c r="Q115" s="104">
        <v>2</v>
      </c>
      <c r="R115" s="106" t="s">
        <v>2090</v>
      </c>
      <c r="S115" s="104">
        <v>2</v>
      </c>
      <c r="T115" s="106" t="s">
        <v>2091</v>
      </c>
      <c r="U115" s="104">
        <v>2</v>
      </c>
      <c r="V115" s="106" t="s">
        <v>2092</v>
      </c>
      <c r="W115" s="104">
        <v>2</v>
      </c>
      <c r="X115" s="131"/>
      <c r="Y115" s="47">
        <v>0</v>
      </c>
      <c r="Z115" s="47">
        <v>0</v>
      </c>
      <c r="AA115" s="47">
        <v>0</v>
      </c>
      <c r="AB115" s="47">
        <v>0</v>
      </c>
      <c r="AC115" s="47">
        <v>0</v>
      </c>
      <c r="AD115" s="47">
        <v>0</v>
      </c>
      <c r="AE115" s="47">
        <v>0</v>
      </c>
      <c r="AF115" s="47">
        <v>0</v>
      </c>
      <c r="AG115" s="47">
        <v>0</v>
      </c>
      <c r="AH115" s="47">
        <v>0</v>
      </c>
      <c r="AI115" s="47">
        <v>0</v>
      </c>
      <c r="AJ115" s="47">
        <v>0</v>
      </c>
      <c r="AK115" s="47">
        <v>0</v>
      </c>
      <c r="AL115" s="47">
        <v>0</v>
      </c>
      <c r="AM115" s="47">
        <v>0</v>
      </c>
      <c r="AN115" s="47">
        <v>0</v>
      </c>
      <c r="AO115" s="47">
        <v>0</v>
      </c>
      <c r="AP115" s="47">
        <v>0</v>
      </c>
      <c r="AQ115" s="47">
        <v>0</v>
      </c>
      <c r="AR115" s="47">
        <v>0</v>
      </c>
      <c r="AS115" s="47">
        <v>0</v>
      </c>
      <c r="AT115" s="47">
        <v>0</v>
      </c>
      <c r="AU115" s="47">
        <v>0</v>
      </c>
      <c r="AV115" s="47">
        <f t="shared" ref="AV115:AZ115" si="28">O115</f>
        <v>2</v>
      </c>
      <c r="AW115" s="47">
        <v>0</v>
      </c>
      <c r="AX115" s="47">
        <f t="shared" si="28"/>
        <v>2</v>
      </c>
      <c r="AY115" s="47">
        <v>0</v>
      </c>
      <c r="AZ115" s="47">
        <f t="shared" si="28"/>
        <v>2</v>
      </c>
      <c r="BA115" s="47">
        <v>0</v>
      </c>
      <c r="BB115" s="47">
        <f>U115</f>
        <v>2</v>
      </c>
      <c r="BC115" s="47">
        <v>0</v>
      </c>
      <c r="BD115" s="47">
        <f>W115</f>
        <v>2</v>
      </c>
    </row>
    <row r="116" spans="1:56">
      <c r="B116" s="101" t="str">
        <f>IF(Main_Parameters!$C$43="TX1 Enable","REMend","WR32")</f>
        <v>WR32</v>
      </c>
      <c r="C116" s="89" t="s">
        <v>2093</v>
      </c>
      <c r="D116" s="513" t="s">
        <v>2094</v>
      </c>
      <c r="E116" s="511" t="s">
        <v>1921</v>
      </c>
      <c r="F116" s="97"/>
      <c r="G116"/>
      <c r="H116"/>
      <c r="I116"/>
      <c r="J116"/>
      <c r="K116"/>
      <c r="L116"/>
      <c r="M116"/>
      <c r="N116"/>
      <c r="O116"/>
      <c r="P116"/>
      <c r="Q116"/>
      <c r="R116"/>
      <c r="S116"/>
      <c r="T116"/>
      <c r="U116"/>
      <c r="V116"/>
      <c r="W116"/>
    </row>
    <row r="117" spans="1:56">
      <c r="B117" s="141" t="s">
        <v>1032</v>
      </c>
      <c r="C117" s="142" t="s">
        <v>2131</v>
      </c>
      <c r="D117" s="143"/>
      <c r="E117" s="144"/>
      <c r="F117" s="145"/>
      <c r="G117"/>
      <c r="H117"/>
      <c r="I117"/>
      <c r="J117"/>
      <c r="K117"/>
      <c r="L117"/>
      <c r="M117"/>
      <c r="N117"/>
      <c r="O117"/>
      <c r="P117"/>
      <c r="Q117"/>
      <c r="R117"/>
      <c r="S117"/>
      <c r="T117"/>
      <c r="U117"/>
      <c r="V117"/>
      <c r="W117"/>
    </row>
    <row r="118" spans="1:56">
      <c r="B118" s="96" t="s">
        <v>1622</v>
      </c>
      <c r="C118" s="146" t="s">
        <v>2132</v>
      </c>
      <c r="D118" s="513" t="s">
        <v>2133</v>
      </c>
      <c r="E118" s="147" t="str">
        <f>IF(Main_Parameters!$C$43="TX0 Enable","0000",IF(Main_Parameters!$C$43="TX1 Enable","0002","0004"))</f>
        <v>0004</v>
      </c>
      <c r="F118" s="92"/>
      <c r="G118"/>
      <c r="H118"/>
      <c r="I118"/>
      <c r="J118"/>
      <c r="K118"/>
      <c r="L118"/>
      <c r="M118"/>
      <c r="N118"/>
      <c r="O118"/>
      <c r="P118"/>
      <c r="Q118"/>
      <c r="R118"/>
      <c r="S118"/>
      <c r="T118"/>
      <c r="U118"/>
      <c r="V118"/>
      <c r="W118"/>
    </row>
    <row r="119" spans="1:56" s="64" customFormat="1">
      <c r="A119" s="65"/>
      <c r="B119" s="84" t="s">
        <v>1032</v>
      </c>
      <c r="C119" s="85" t="s">
        <v>2181</v>
      </c>
      <c r="D119" s="85"/>
      <c r="E119" s="86"/>
      <c r="F119" s="87"/>
      <c r="G119"/>
      <c r="H119"/>
      <c r="I119"/>
      <c r="J119"/>
      <c r="K119"/>
      <c r="L119"/>
      <c r="M119"/>
      <c r="N119"/>
      <c r="O119"/>
      <c r="P119"/>
      <c r="Q119"/>
      <c r="R119"/>
      <c r="S119"/>
      <c r="T119"/>
      <c r="U119"/>
      <c r="V119"/>
      <c r="W119"/>
    </row>
    <row r="120" spans="1:56" s="64" customFormat="1">
      <c r="A120" s="65"/>
      <c r="B120" s="88" t="s">
        <v>1622</v>
      </c>
      <c r="C120" s="94" t="s">
        <v>2182</v>
      </c>
      <c r="D120" s="515" t="s">
        <v>995</v>
      </c>
      <c r="E120" s="91" t="str">
        <f>Main_Parameters!$C$174</f>
        <v>0100</v>
      </c>
      <c r="F120" s="92"/>
      <c r="G120"/>
      <c r="H120"/>
      <c r="I120"/>
      <c r="J120"/>
      <c r="K120"/>
      <c r="L120"/>
      <c r="M120"/>
      <c r="N120"/>
      <c r="O120"/>
      <c r="P120"/>
      <c r="Q120"/>
      <c r="R120"/>
      <c r="S120"/>
      <c r="T120"/>
      <c r="U120"/>
      <c r="V120"/>
      <c r="W120"/>
    </row>
    <row r="121" spans="1:56" s="64" customFormat="1">
      <c r="A121" s="65"/>
      <c r="B121" s="88" t="s">
        <v>1622</v>
      </c>
      <c r="C121" s="94" t="s">
        <v>2185</v>
      </c>
      <c r="D121" s="515" t="s">
        <v>997</v>
      </c>
      <c r="E121" s="91" t="str">
        <f>Main_Parameters!$C$177</f>
        <v>0000</v>
      </c>
      <c r="F121" s="97"/>
      <c r="G121"/>
      <c r="H121"/>
      <c r="I121"/>
      <c r="J121"/>
      <c r="K121"/>
      <c r="L121"/>
      <c r="M121"/>
      <c r="N121"/>
      <c r="O121"/>
      <c r="P121"/>
      <c r="Q121"/>
      <c r="R121"/>
      <c r="S121"/>
      <c r="T121"/>
      <c r="U121"/>
      <c r="V121"/>
      <c r="W121"/>
    </row>
    <row r="122" spans="1:56" s="64" customFormat="1">
      <c r="A122" s="65"/>
      <c r="B122" s="101" t="str">
        <f>IF(Main_Parameters!$C$42&lt;&gt;"Half(Auto)","WR16","REMnd")</f>
        <v>WR16</v>
      </c>
      <c r="C122" s="94" t="s">
        <v>2186</v>
      </c>
      <c r="D122" s="515" t="s">
        <v>998</v>
      </c>
      <c r="E122" s="91" t="str">
        <f>Main_Parameters!$C$178</f>
        <v>021B</v>
      </c>
      <c r="F122" s="97"/>
      <c r="G122"/>
      <c r="H122"/>
      <c r="I122"/>
      <c r="J122"/>
      <c r="K122"/>
      <c r="L122"/>
      <c r="M122"/>
      <c r="N122"/>
      <c r="O122"/>
      <c r="P122"/>
      <c r="Q122"/>
      <c r="R122"/>
      <c r="S122"/>
      <c r="T122"/>
      <c r="U122"/>
      <c r="V122"/>
      <c r="W122"/>
    </row>
    <row r="123" spans="1:56" s="64" customFormat="1">
      <c r="A123" s="65"/>
      <c r="B123" s="88" t="s">
        <v>1622</v>
      </c>
      <c r="C123" s="94" t="s">
        <v>2187</v>
      </c>
      <c r="D123" s="515" t="s">
        <v>999</v>
      </c>
      <c r="E123" s="91" t="str">
        <f>Main_Parameters!$C$181</f>
        <v>0100</v>
      </c>
      <c r="F123" s="92"/>
      <c r="G123"/>
      <c r="H123"/>
      <c r="I123"/>
      <c r="J123"/>
      <c r="K123"/>
      <c r="L123"/>
      <c r="M123"/>
      <c r="N123"/>
      <c r="O123"/>
      <c r="P123"/>
      <c r="Q123"/>
      <c r="R123"/>
      <c r="S123"/>
      <c r="T123"/>
      <c r="U123"/>
      <c r="V123"/>
      <c r="W123"/>
    </row>
    <row r="124" spans="1:56" s="64" customFormat="1">
      <c r="A124" s="65"/>
      <c r="B124" s="101" t="str">
        <f>IF(Main_Parameters!$C$42&lt;&gt;"Half(Auto)","WR16","REMnd")</f>
        <v>WR16</v>
      </c>
      <c r="C124" s="94" t="s">
        <v>2190</v>
      </c>
      <c r="D124" s="515" t="s">
        <v>1001</v>
      </c>
      <c r="E124" s="91" t="str">
        <f>Main_Parameters!$C$184</f>
        <v>021C</v>
      </c>
      <c r="F124" s="97"/>
      <c r="G124"/>
      <c r="H124"/>
      <c r="I124"/>
      <c r="J124"/>
      <c r="K124"/>
      <c r="L124"/>
      <c r="M124"/>
      <c r="N124"/>
      <c r="O124"/>
      <c r="P124"/>
      <c r="Q124"/>
      <c r="R124"/>
      <c r="S124"/>
      <c r="T124"/>
      <c r="U124"/>
      <c r="V124"/>
      <c r="W124"/>
    </row>
    <row r="125" spans="1:56" s="64" customFormat="1">
      <c r="A125" s="65"/>
      <c r="B125" s="101" t="str">
        <f>IF(Main_Parameters!$C$42&lt;&gt;"Half(Auto)","WR16","REMnd")</f>
        <v>WR16</v>
      </c>
      <c r="C125" s="94" t="s">
        <v>2191</v>
      </c>
      <c r="D125" s="515" t="s">
        <v>1002</v>
      </c>
      <c r="E125" s="91" t="str">
        <f>Main_Parameters!$C$185</f>
        <v>0437</v>
      </c>
      <c r="F125" s="97"/>
      <c r="G125"/>
      <c r="H125"/>
      <c r="I125"/>
      <c r="J125"/>
      <c r="K125"/>
      <c r="L125"/>
      <c r="M125"/>
      <c r="N125"/>
      <c r="O125"/>
      <c r="P125"/>
      <c r="Q125"/>
      <c r="R125"/>
      <c r="S125"/>
      <c r="T125"/>
      <c r="U125"/>
      <c r="V125"/>
      <c r="W125"/>
    </row>
    <row r="126" spans="1:56" s="64" customFormat="1">
      <c r="A126" s="65"/>
      <c r="B126" s="101" t="str">
        <f>IF(AND(Main_Parameters!$F$42=0,Main_Parameters!$F$45=0),"REMnd","WR16")</f>
        <v>REMnd</v>
      </c>
      <c r="C126" s="94" t="s">
        <v>2192</v>
      </c>
      <c r="D126" s="515" t="s">
        <v>1019</v>
      </c>
      <c r="E126" s="91" t="str">
        <f>Main_Parameters!$C$207</f>
        <v>0000</v>
      </c>
      <c r="F126" s="97"/>
      <c r="G126"/>
      <c r="H126"/>
      <c r="I126"/>
      <c r="J126"/>
      <c r="K126"/>
      <c r="L126"/>
      <c r="M126"/>
      <c r="N126"/>
      <c r="O126"/>
      <c r="P126"/>
      <c r="Q126"/>
      <c r="R126"/>
      <c r="S126"/>
      <c r="T126"/>
      <c r="U126"/>
      <c r="V126"/>
      <c r="W126"/>
    </row>
    <row r="127" spans="1:56" s="64" customFormat="1">
      <c r="A127" s="65"/>
      <c r="B127" s="101" t="str">
        <f>IF(AND(Main_Parameters!$F$42=0,Main_Parameters!$F$45=0),"REMnd","WR16")</f>
        <v>REMnd</v>
      </c>
      <c r="C127" s="94" t="s">
        <v>2193</v>
      </c>
      <c r="D127" s="515" t="s">
        <v>1020</v>
      </c>
      <c r="E127" s="91" t="str">
        <f>Main_Parameters!$C$208</f>
        <v>FF00</v>
      </c>
      <c r="F127" s="97"/>
      <c r="G127"/>
      <c r="H127"/>
      <c r="I127"/>
      <c r="J127"/>
      <c r="K127"/>
      <c r="L127"/>
      <c r="M127"/>
      <c r="N127"/>
      <c r="O127"/>
      <c r="P127"/>
      <c r="Q127"/>
      <c r="R127"/>
      <c r="S127"/>
      <c r="T127"/>
      <c r="U127"/>
      <c r="V127"/>
      <c r="W127"/>
    </row>
    <row r="128" spans="1:56" s="64" customFormat="1">
      <c r="A128" s="65"/>
      <c r="B128" s="101" t="str">
        <f>IF(AND(Main_Parameters!$F$42=0,Main_Parameters!$F$45=0),"REMnd","WR16")</f>
        <v>REMnd</v>
      </c>
      <c r="C128" s="94" t="s">
        <v>2194</v>
      </c>
      <c r="D128" s="515" t="s">
        <v>1021</v>
      </c>
      <c r="E128" s="91" t="str">
        <f>Main_Parameters!$C$209</f>
        <v>0000</v>
      </c>
      <c r="F128" s="97"/>
      <c r="G128"/>
      <c r="H128"/>
      <c r="I128"/>
      <c r="J128"/>
      <c r="K128"/>
      <c r="L128"/>
      <c r="M128"/>
      <c r="N128"/>
      <c r="O128"/>
      <c r="P128"/>
      <c r="Q128"/>
      <c r="R128"/>
      <c r="S128"/>
      <c r="T128"/>
      <c r="U128"/>
      <c r="V128"/>
      <c r="W128"/>
    </row>
    <row r="129" spans="1:23" s="64" customFormat="1">
      <c r="A129" s="65"/>
      <c r="B129" s="101" t="str">
        <f>IF(AND(Main_Parameters!$F$42=0,Main_Parameters!$F$45=0),"REMnd","WR16")</f>
        <v>REMnd</v>
      </c>
      <c r="C129" s="94" t="s">
        <v>2195</v>
      </c>
      <c r="D129" s="515" t="s">
        <v>1022</v>
      </c>
      <c r="E129" s="91" t="str">
        <f>Main_Parameters!$C$210</f>
        <v>0000</v>
      </c>
      <c r="F129" s="97"/>
      <c r="G129"/>
      <c r="H129"/>
      <c r="I129"/>
      <c r="J129"/>
      <c r="K129"/>
      <c r="L129"/>
      <c r="M129"/>
      <c r="N129"/>
      <c r="O129"/>
      <c r="P129"/>
      <c r="Q129"/>
      <c r="R129"/>
      <c r="S129"/>
      <c r="T129"/>
      <c r="U129"/>
      <c r="V129"/>
      <c r="W129"/>
    </row>
    <row r="130" spans="1:23" s="64" customFormat="1">
      <c r="A130" s="65"/>
      <c r="B130" s="101" t="str">
        <f>IF(AND(Main_Parameters!$H$42=0,Main_Parameters!$H$45=0),"REMnd","WR16")</f>
        <v>REMnd</v>
      </c>
      <c r="C130" s="94" t="s">
        <v>2196</v>
      </c>
      <c r="D130" s="515" t="s">
        <v>1023</v>
      </c>
      <c r="E130" s="91" t="str">
        <f>Main_Parameters!$C$211</f>
        <v>0000</v>
      </c>
      <c r="F130" s="97"/>
      <c r="G130"/>
      <c r="H130"/>
      <c r="I130"/>
      <c r="J130"/>
      <c r="K130"/>
      <c r="L130"/>
      <c r="M130"/>
      <c r="N130"/>
      <c r="O130"/>
      <c r="P130"/>
      <c r="Q130"/>
      <c r="R130"/>
      <c r="S130"/>
      <c r="T130"/>
      <c r="U130"/>
      <c r="V130"/>
      <c r="W130"/>
    </row>
    <row r="131" spans="1:23" s="64" customFormat="1">
      <c r="A131" s="65"/>
      <c r="B131" s="101" t="str">
        <f>IF(AND(Main_Parameters!$H$42=0,Main_Parameters!$H$45=0),"REMnd","WR16")</f>
        <v>REMnd</v>
      </c>
      <c r="C131" s="94" t="s">
        <v>2197</v>
      </c>
      <c r="D131" s="515" t="s">
        <v>1024</v>
      </c>
      <c r="E131" s="91" t="str">
        <f>Main_Parameters!$C$212</f>
        <v>0000</v>
      </c>
      <c r="F131" s="97"/>
      <c r="G131"/>
      <c r="H131"/>
      <c r="I131"/>
      <c r="J131"/>
      <c r="K131"/>
      <c r="L131"/>
      <c r="M131"/>
      <c r="N131"/>
      <c r="O131"/>
      <c r="P131"/>
      <c r="Q131"/>
      <c r="R131"/>
      <c r="S131"/>
      <c r="T131"/>
      <c r="U131"/>
      <c r="V131"/>
      <c r="W131"/>
    </row>
    <row r="132" spans="1:23" s="64" customFormat="1">
      <c r="A132" s="65"/>
      <c r="B132" s="101" t="str">
        <f>IF(AND(Main_Parameters!$H$42=0,Main_Parameters!$H$45=0),"REMnd","WR16")</f>
        <v>REMnd</v>
      </c>
      <c r="C132" s="94" t="s">
        <v>2198</v>
      </c>
      <c r="D132" s="515" t="s">
        <v>1025</v>
      </c>
      <c r="E132" s="91" t="str">
        <f>Main_Parameters!$C$213</f>
        <v>0000</v>
      </c>
      <c r="F132" s="97"/>
      <c r="G132"/>
      <c r="H132"/>
      <c r="I132"/>
      <c r="J132"/>
      <c r="K132"/>
      <c r="L132"/>
      <c r="M132"/>
      <c r="N132"/>
      <c r="O132"/>
      <c r="P132"/>
      <c r="Q132"/>
      <c r="R132"/>
      <c r="S132"/>
      <c r="T132"/>
      <c r="U132"/>
      <c r="V132"/>
      <c r="W132"/>
    </row>
    <row r="133" spans="1:23" s="64" customFormat="1">
      <c r="A133" s="65"/>
      <c r="B133" s="101" t="str">
        <f>IF(AND(Main_Parameters!$H$42=0,Main_Parameters!$H$45=0),"REMnd","WR16")</f>
        <v>REMnd</v>
      </c>
      <c r="C133" s="94" t="s">
        <v>2199</v>
      </c>
      <c r="D133" s="515" t="s">
        <v>1026</v>
      </c>
      <c r="E133" s="91" t="str">
        <f>Main_Parameters!$C$214</f>
        <v>FF00</v>
      </c>
      <c r="F133" s="97"/>
      <c r="G133"/>
      <c r="H133"/>
      <c r="I133"/>
      <c r="J133"/>
      <c r="K133"/>
      <c r="L133"/>
      <c r="M133"/>
      <c r="N133"/>
      <c r="O133"/>
      <c r="P133"/>
      <c r="Q133"/>
      <c r="R133"/>
      <c r="S133"/>
      <c r="T133"/>
      <c r="U133"/>
      <c r="V133"/>
      <c r="W133"/>
    </row>
    <row r="134" spans="1:23" s="64" customFormat="1">
      <c r="A134" s="65"/>
      <c r="B134" s="84" t="s">
        <v>1032</v>
      </c>
      <c r="C134" s="163" t="s">
        <v>2222</v>
      </c>
      <c r="D134" s="164"/>
      <c r="E134" s="165"/>
      <c r="F134" s="87"/>
      <c r="G134"/>
      <c r="H134"/>
      <c r="I134"/>
      <c r="J134"/>
      <c r="K134"/>
      <c r="L134"/>
      <c r="M134"/>
      <c r="N134"/>
      <c r="O134"/>
      <c r="P134"/>
      <c r="Q134"/>
      <c r="R134"/>
      <c r="S134"/>
      <c r="T134"/>
      <c r="U134"/>
      <c r="V134"/>
      <c r="W134"/>
    </row>
    <row r="135" spans="1:23" s="64" customFormat="1">
      <c r="A135" s="65"/>
      <c r="B135" s="101" t="str">
        <f>IF(Main_Parameters!$D$29="Solid Color","WR16","REMnd")</f>
        <v>REMnd</v>
      </c>
      <c r="C135" s="98" t="s">
        <v>2223</v>
      </c>
      <c r="D135" s="513" t="s">
        <v>1008</v>
      </c>
      <c r="E135" s="91" t="str">
        <f>Main_Parameters!$C$195</f>
        <v>FF00</v>
      </c>
      <c r="F135" s="92"/>
      <c r="G135"/>
      <c r="H135"/>
      <c r="I135"/>
      <c r="J135"/>
      <c r="K135"/>
      <c r="L135"/>
      <c r="M135"/>
      <c r="N135"/>
      <c r="O135"/>
      <c r="P135"/>
      <c r="Q135"/>
      <c r="R135"/>
      <c r="S135"/>
      <c r="T135"/>
      <c r="U135"/>
      <c r="V135"/>
      <c r="W135"/>
    </row>
    <row r="136" spans="1:23" s="64" customFormat="1">
      <c r="A136" s="65"/>
      <c r="B136" s="101" t="str">
        <f>IF(Main_Parameters!$D$29="Solid Color","WR16","REMnd")</f>
        <v>REMnd</v>
      </c>
      <c r="C136" s="98" t="s">
        <v>2224</v>
      </c>
      <c r="D136" s="513" t="s">
        <v>1009</v>
      </c>
      <c r="E136" s="91" t="str">
        <f>Main_Parameters!$C$196</f>
        <v>0000</v>
      </c>
      <c r="F136" s="92"/>
      <c r="G136"/>
      <c r="H136"/>
      <c r="I136"/>
      <c r="J136"/>
      <c r="K136"/>
      <c r="L136"/>
      <c r="M136"/>
      <c r="N136"/>
      <c r="O136"/>
      <c r="P136"/>
      <c r="Q136"/>
      <c r="R136"/>
      <c r="S136"/>
      <c r="T136"/>
      <c r="U136"/>
      <c r="V136"/>
      <c r="W136"/>
    </row>
    <row r="137" spans="1:23" s="64" customFormat="1">
      <c r="A137" s="65"/>
      <c r="B137" s="101" t="str">
        <f>IF(Main_Parameters!$D$29="Solid Color","WR16","REMnd")</f>
        <v>REMnd</v>
      </c>
      <c r="C137" s="98" t="s">
        <v>2224</v>
      </c>
      <c r="D137" s="513" t="s">
        <v>1010</v>
      </c>
      <c r="E137" s="91" t="str">
        <f>Main_Parameters!$C$197</f>
        <v>0000</v>
      </c>
      <c r="F137" s="92"/>
      <c r="G137"/>
      <c r="H137"/>
      <c r="I137"/>
      <c r="J137"/>
      <c r="K137"/>
      <c r="L137"/>
      <c r="M137"/>
      <c r="N137"/>
      <c r="O137"/>
      <c r="P137"/>
      <c r="Q137"/>
      <c r="R137"/>
      <c r="S137"/>
      <c r="T137"/>
      <c r="U137"/>
      <c r="V137"/>
      <c r="W137"/>
    </row>
    <row r="138" spans="1:23" s="64" customFormat="1">
      <c r="A138" s="65"/>
      <c r="B138" s="88" t="s">
        <v>1622</v>
      </c>
      <c r="C138" s="98" t="s">
        <v>2225</v>
      </c>
      <c r="D138" s="513" t="s">
        <v>1011</v>
      </c>
      <c r="E138" s="91" t="str">
        <f>Main_Parameters!$C$198</f>
        <v>0032</v>
      </c>
      <c r="F138" s="92"/>
      <c r="G138"/>
      <c r="H138"/>
      <c r="I138"/>
      <c r="J138"/>
      <c r="K138"/>
      <c r="L138"/>
      <c r="M138"/>
      <c r="N138"/>
      <c r="O138"/>
      <c r="P138"/>
      <c r="Q138"/>
      <c r="R138"/>
      <c r="S138"/>
      <c r="T138"/>
      <c r="U138"/>
      <c r="V138"/>
      <c r="W138"/>
    </row>
    <row r="139" spans="1:23" s="64" customFormat="1">
      <c r="A139" s="65"/>
      <c r="B139" s="88" t="s">
        <v>1622</v>
      </c>
      <c r="C139" s="98" t="s">
        <v>2226</v>
      </c>
      <c r="D139" s="513" t="s">
        <v>1012</v>
      </c>
      <c r="E139" s="91" t="str">
        <f>Main_Parameters!$C$199</f>
        <v>0004</v>
      </c>
      <c r="F139" s="92"/>
      <c r="G139"/>
      <c r="H139"/>
      <c r="I139"/>
      <c r="J139"/>
      <c r="K139"/>
      <c r="L139"/>
      <c r="M139"/>
      <c r="N139"/>
      <c r="O139"/>
      <c r="P139"/>
      <c r="Q139"/>
      <c r="R139"/>
      <c r="S139"/>
      <c r="T139"/>
      <c r="U139"/>
      <c r="V139"/>
      <c r="W139"/>
    </row>
    <row r="140" spans="1:23" s="64" customFormat="1">
      <c r="A140" s="65"/>
      <c r="B140" s="88" t="s">
        <v>1622</v>
      </c>
      <c r="C140" s="98" t="s">
        <v>2227</v>
      </c>
      <c r="D140" s="513" t="s">
        <v>1013</v>
      </c>
      <c r="E140" s="91" t="str">
        <f>Main_Parameters!$C$200</f>
        <v>0532</v>
      </c>
      <c r="F140" s="92"/>
      <c r="G140"/>
      <c r="H140"/>
      <c r="I140"/>
      <c r="J140"/>
      <c r="K140"/>
      <c r="L140"/>
      <c r="M140"/>
      <c r="N140"/>
      <c r="O140"/>
      <c r="P140"/>
      <c r="Q140"/>
      <c r="R140"/>
      <c r="S140"/>
      <c r="T140"/>
      <c r="U140"/>
      <c r="V140"/>
      <c r="W140"/>
    </row>
    <row r="141" spans="1:23" s="64" customFormat="1">
      <c r="A141" s="65"/>
      <c r="B141" s="88" t="s">
        <v>1622</v>
      </c>
      <c r="C141" s="98" t="s">
        <v>2228</v>
      </c>
      <c r="D141" s="513" t="s">
        <v>1014</v>
      </c>
      <c r="E141" s="91" t="str">
        <f>Main_Parameters!$C$201</f>
        <v>078C</v>
      </c>
      <c r="F141" s="92"/>
      <c r="G141"/>
      <c r="H141"/>
      <c r="I141"/>
      <c r="J141"/>
      <c r="K141"/>
      <c r="L141"/>
      <c r="M141"/>
      <c r="N141"/>
      <c r="O141"/>
      <c r="P141"/>
      <c r="Q141"/>
      <c r="R141"/>
      <c r="S141"/>
      <c r="T141"/>
      <c r="U141"/>
      <c r="V141"/>
      <c r="W141"/>
    </row>
    <row r="142" spans="1:23" s="64" customFormat="1">
      <c r="A142" s="65"/>
      <c r="B142" s="88" t="s">
        <v>1622</v>
      </c>
      <c r="C142" s="98" t="s">
        <v>2229</v>
      </c>
      <c r="D142" s="513" t="s">
        <v>1015</v>
      </c>
      <c r="E142" s="91" t="str">
        <f>Main_Parameters!$C$202</f>
        <v>0438</v>
      </c>
      <c r="F142" s="92"/>
      <c r="G142"/>
      <c r="H142"/>
      <c r="I142"/>
      <c r="J142"/>
      <c r="K142"/>
      <c r="L142"/>
      <c r="M142"/>
      <c r="N142"/>
      <c r="O142"/>
      <c r="P142"/>
      <c r="Q142"/>
      <c r="R142"/>
      <c r="S142"/>
      <c r="T142"/>
      <c r="U142"/>
      <c r="V142"/>
      <c r="W142"/>
    </row>
    <row r="143" spans="1:23" s="64" customFormat="1">
      <c r="A143" s="65"/>
      <c r="B143" s="88" t="s">
        <v>1622</v>
      </c>
      <c r="C143" s="98" t="s">
        <v>2230</v>
      </c>
      <c r="D143" s="513" t="s">
        <v>1016</v>
      </c>
      <c r="E143" s="91" t="str">
        <f>Main_Parameters!$C$203</f>
        <v>0780</v>
      </c>
      <c r="F143" s="92"/>
      <c r="G143"/>
      <c r="H143"/>
      <c r="I143"/>
      <c r="J143"/>
      <c r="K143"/>
      <c r="L143"/>
      <c r="M143"/>
      <c r="N143"/>
      <c r="O143"/>
      <c r="P143"/>
      <c r="Q143"/>
      <c r="R143"/>
      <c r="S143"/>
      <c r="T143"/>
      <c r="U143"/>
      <c r="V143"/>
      <c r="W143"/>
    </row>
    <row r="144" spans="1:23" s="64" customFormat="1">
      <c r="A144" s="65"/>
      <c r="B144" s="88" t="s">
        <v>1622</v>
      </c>
      <c r="C144" s="98" t="s">
        <v>2231</v>
      </c>
      <c r="D144" s="513" t="s">
        <v>1017</v>
      </c>
      <c r="E144" s="91" t="str">
        <f>Main_Parameters!$C$204</f>
        <v>0096</v>
      </c>
      <c r="F144" s="92"/>
      <c r="G144"/>
      <c r="H144"/>
      <c r="I144"/>
      <c r="J144"/>
      <c r="K144"/>
      <c r="L144"/>
      <c r="M144"/>
      <c r="N144"/>
      <c r="O144"/>
      <c r="P144"/>
      <c r="Q144"/>
      <c r="R144"/>
      <c r="S144"/>
      <c r="T144"/>
      <c r="U144"/>
      <c r="V144"/>
      <c r="W144"/>
    </row>
    <row r="145" spans="1:57" s="64" customFormat="1">
      <c r="A145" s="65"/>
      <c r="B145" s="88" t="s">
        <v>1622</v>
      </c>
      <c r="C145" s="98" t="s">
        <v>2232</v>
      </c>
      <c r="D145" s="513" t="s">
        <v>1018</v>
      </c>
      <c r="E145" s="91" t="str">
        <f>Main_Parameters!$C$205</f>
        <v>0008</v>
      </c>
      <c r="F145" s="92"/>
      <c r="G145"/>
      <c r="H145"/>
      <c r="I145"/>
      <c r="J145"/>
      <c r="K145"/>
      <c r="L145"/>
      <c r="M145"/>
      <c r="N145"/>
      <c r="O145"/>
      <c r="P145"/>
      <c r="Q145"/>
      <c r="R145"/>
      <c r="S145"/>
      <c r="T145"/>
      <c r="U145"/>
      <c r="V145"/>
      <c r="W145"/>
    </row>
    <row r="146" spans="1:57" s="64" customFormat="1">
      <c r="A146" s="65"/>
      <c r="B146" s="88" t="s">
        <v>1622</v>
      </c>
      <c r="C146" s="98" t="s">
        <v>2220</v>
      </c>
      <c r="D146" s="513" t="s">
        <v>1007</v>
      </c>
      <c r="E146" s="91" t="str">
        <f>Main_Parameters!$C$194</f>
        <v>000D</v>
      </c>
      <c r="F146" s="92"/>
      <c r="G146"/>
      <c r="H146"/>
      <c r="I146"/>
      <c r="J146"/>
      <c r="K146"/>
      <c r="L146"/>
      <c r="M146"/>
      <c r="N146"/>
      <c r="O146"/>
      <c r="P146"/>
      <c r="Q146"/>
      <c r="R146"/>
      <c r="S146"/>
      <c r="T146"/>
      <c r="U146"/>
      <c r="V146"/>
      <c r="W146"/>
    </row>
    <row r="147" spans="1:57" s="64" customFormat="1">
      <c r="A147" s="65"/>
      <c r="B147" s="84" t="s">
        <v>1032</v>
      </c>
      <c r="C147" s="163" t="s">
        <v>2205</v>
      </c>
      <c r="D147" s="164"/>
      <c r="E147" s="165"/>
      <c r="F147" s="87"/>
      <c r="G147"/>
      <c r="H147"/>
      <c r="I147"/>
      <c r="J147"/>
      <c r="K147"/>
      <c r="L147"/>
      <c r="M147"/>
      <c r="N147"/>
      <c r="O147"/>
      <c r="P147"/>
      <c r="Q147"/>
      <c r="R147"/>
      <c r="S147"/>
      <c r="T147"/>
      <c r="U147"/>
      <c r="V147"/>
      <c r="W147"/>
    </row>
    <row r="148" spans="1:57">
      <c r="B148" s="93" t="s">
        <v>1622</v>
      </c>
      <c r="C148" s="89" t="s">
        <v>1623</v>
      </c>
      <c r="D148" s="510" t="s">
        <v>954</v>
      </c>
      <c r="E148" s="91" t="str">
        <f>Main_Parameters!$C$119</f>
        <v>0C37</v>
      </c>
      <c r="F148" s="97"/>
      <c r="G148"/>
      <c r="H148"/>
      <c r="I148"/>
      <c r="J148"/>
      <c r="K148"/>
      <c r="L148"/>
      <c r="M148"/>
      <c r="N148"/>
      <c r="O148"/>
      <c r="P148"/>
      <c r="Q148"/>
      <c r="R148"/>
      <c r="S148"/>
      <c r="T148"/>
      <c r="U148"/>
      <c r="V148"/>
      <c r="W148"/>
    </row>
    <row r="149" spans="1:57">
      <c r="B149" s="141" t="s">
        <v>1032</v>
      </c>
      <c r="C149" s="142" t="s">
        <v>2233</v>
      </c>
      <c r="D149" s="143"/>
      <c r="E149" s="144"/>
      <c r="F149" s="145"/>
      <c r="G149"/>
      <c r="H149"/>
      <c r="I149"/>
      <c r="J149"/>
      <c r="K149"/>
      <c r="L149"/>
      <c r="M149"/>
      <c r="N149"/>
      <c r="O149"/>
      <c r="P149"/>
      <c r="Q149"/>
      <c r="R149"/>
      <c r="S149"/>
      <c r="T149"/>
      <c r="U149"/>
    </row>
    <row r="150" spans="1:57" ht="15">
      <c r="B150" s="93" t="s">
        <v>2207</v>
      </c>
      <c r="C150" s="102" t="s">
        <v>2134</v>
      </c>
      <c r="D150" s="515" t="s">
        <v>958</v>
      </c>
      <c r="E150" s="91" t="str">
        <f>DEC2HEX(Y150*2^31+Z150*2^30+AA150*2^29+AB150*2^28+AC150*2^27+AD150*2^26+AE150*2^25+AF150*2^24+AG150*2^23+AH150*2^22+AI150*2^21+AJ150*2^20+AK150*2^19+AL150*2^18+AM150*2^17+AN150*2^16+AO150*2^15+AP150*2^14+AQ150*2^13+AR150*2^12+AS150*2^11+AT150*2^10+AU150*2^9+AV150*2^8+AW150*2^7+AX150*2^6+AY150*2^5+AZ150*2^4+BA150*2^3+BB150*2^2+BC150*2^1+BD150*2^0,8)</f>
        <v>00000006</v>
      </c>
      <c r="F150" s="92"/>
      <c r="G150"/>
      <c r="H150" s="103"/>
      <c r="I150" s="110"/>
      <c r="J150" s="110"/>
      <c r="K150" s="110"/>
      <c r="L150" s="110"/>
      <c r="M150" s="111"/>
      <c r="N150" s="106" t="s">
        <v>2135</v>
      </c>
      <c r="O150" s="54" t="s">
        <v>828</v>
      </c>
      <c r="P150" s="106"/>
      <c r="Q150" s="153"/>
      <c r="R150" s="112" t="s">
        <v>2137</v>
      </c>
      <c r="S150" s="159" t="s">
        <v>1305</v>
      </c>
      <c r="T150" s="112" t="s">
        <v>2138</v>
      </c>
      <c r="U150" s="159" t="s">
        <v>1305</v>
      </c>
      <c r="V150" s="107"/>
      <c r="W150" s="112"/>
      <c r="X150" s="131"/>
      <c r="Y150" s="64">
        <v>0</v>
      </c>
      <c r="Z150" s="64">
        <v>0</v>
      </c>
      <c r="AA150" s="64">
        <v>0</v>
      </c>
      <c r="AB150" s="64">
        <v>0</v>
      </c>
      <c r="AC150" s="64">
        <v>0</v>
      </c>
      <c r="AD150" s="64">
        <v>0</v>
      </c>
      <c r="AE150" s="64">
        <v>0</v>
      </c>
      <c r="AF150" s="64">
        <v>0</v>
      </c>
      <c r="AG150" s="64">
        <v>0</v>
      </c>
      <c r="AH150" s="64">
        <v>0</v>
      </c>
      <c r="AI150" s="64">
        <v>0</v>
      </c>
      <c r="AJ150" s="64">
        <v>0</v>
      </c>
      <c r="AK150" s="64">
        <v>0</v>
      </c>
      <c r="AL150" s="64">
        <v>0</v>
      </c>
      <c r="AM150" s="64">
        <v>0</v>
      </c>
      <c r="AN150" s="64">
        <v>0</v>
      </c>
      <c r="AO150" s="64">
        <v>0</v>
      </c>
      <c r="AP150" s="64">
        <v>0</v>
      </c>
      <c r="AQ150" s="64">
        <v>0</v>
      </c>
      <c r="AR150" s="64">
        <v>0</v>
      </c>
      <c r="AS150" s="64">
        <v>0</v>
      </c>
      <c r="AT150" s="64">
        <v>0</v>
      </c>
      <c r="AU150" s="64">
        <v>0</v>
      </c>
      <c r="AV150" s="64">
        <v>0</v>
      </c>
      <c r="AW150" s="64">
        <v>0</v>
      </c>
      <c r="AX150" s="64">
        <v>0</v>
      </c>
      <c r="AY150" s="64">
        <v>0</v>
      </c>
      <c r="AZ150" s="64">
        <f>IF(O150="LP",1,0)</f>
        <v>0</v>
      </c>
      <c r="BA150" s="64">
        <v>0</v>
      </c>
      <c r="BB150" s="64">
        <f>IF(S150="H Active",0,1)</f>
        <v>1</v>
      </c>
      <c r="BC150" s="64">
        <f>IF(U150="H Active",0,1)</f>
        <v>1</v>
      </c>
      <c r="BD150" s="64">
        <v>0</v>
      </c>
      <c r="BE150" s="131"/>
    </row>
    <row r="151" spans="1:57" ht="15">
      <c r="B151" s="93" t="s">
        <v>2207</v>
      </c>
      <c r="C151" s="102" t="s">
        <v>2134</v>
      </c>
      <c r="D151" s="515" t="s">
        <v>977</v>
      </c>
      <c r="E151" s="91" t="str">
        <f>DEC2HEX(Y151*2^31+Z151*2^30+AA151*2^29+AB151*2^28+AC151*2^27+AD151*2^26+AE151*2^25+AF151*2^24+AG151*2^23+AH151*2^22+AI151*2^21+AJ151*2^20+AK151*2^19+AL151*2^18+AM151*2^17+AN151*2^16+AO151*2^15+AP151*2^14+AQ151*2^13+AR151*2^12+AS151*2^11+AT151*2^10+AU151*2^9+AV151*2^8+AW151*2^7+AX151*2^6+AY151*2^5+AZ151*2^4+BA151*2^3+BB151*2^2+BC151*2^1+BD151*2^0,8)</f>
        <v>00000006</v>
      </c>
      <c r="F151" s="92"/>
      <c r="G151"/>
      <c r="H151" s="103"/>
      <c r="I151" s="110"/>
      <c r="J151" s="110"/>
      <c r="K151" s="110"/>
      <c r="L151" s="110"/>
      <c r="M151" s="111"/>
      <c r="N151" s="112" t="s">
        <v>2135</v>
      </c>
      <c r="O151" s="154" t="s">
        <v>828</v>
      </c>
      <c r="P151" s="106"/>
      <c r="Q151" s="114"/>
      <c r="R151" s="112" t="s">
        <v>2137</v>
      </c>
      <c r="S151" s="159" t="s">
        <v>1305</v>
      </c>
      <c r="T151" s="112" t="s">
        <v>2138</v>
      </c>
      <c r="U151" s="159" t="s">
        <v>1305</v>
      </c>
      <c r="V151" s="107"/>
      <c r="W151" s="112"/>
      <c r="X151" s="131"/>
      <c r="Y151" s="64">
        <v>0</v>
      </c>
      <c r="Z151" s="64">
        <v>0</v>
      </c>
      <c r="AA151" s="64">
        <v>0</v>
      </c>
      <c r="AB151" s="64">
        <v>0</v>
      </c>
      <c r="AC151" s="64">
        <v>0</v>
      </c>
      <c r="AD151" s="64">
        <v>0</v>
      </c>
      <c r="AE151" s="64">
        <v>0</v>
      </c>
      <c r="AF151" s="64">
        <v>0</v>
      </c>
      <c r="AG151" s="64">
        <v>0</v>
      </c>
      <c r="AH151" s="64">
        <v>0</v>
      </c>
      <c r="AI151" s="64">
        <v>0</v>
      </c>
      <c r="AJ151" s="64">
        <v>0</v>
      </c>
      <c r="AK151" s="64">
        <v>0</v>
      </c>
      <c r="AL151" s="64">
        <v>0</v>
      </c>
      <c r="AM151" s="64">
        <v>0</v>
      </c>
      <c r="AN151" s="64">
        <v>0</v>
      </c>
      <c r="AO151" s="64">
        <v>0</v>
      </c>
      <c r="AP151" s="64">
        <v>0</v>
      </c>
      <c r="AQ151" s="64">
        <v>0</v>
      </c>
      <c r="AR151" s="64">
        <v>0</v>
      </c>
      <c r="AS151" s="64">
        <v>0</v>
      </c>
      <c r="AT151" s="64">
        <v>0</v>
      </c>
      <c r="AU151" s="64">
        <v>0</v>
      </c>
      <c r="AV151" s="64">
        <v>0</v>
      </c>
      <c r="AW151" s="64">
        <v>0</v>
      </c>
      <c r="AX151" s="64">
        <v>0</v>
      </c>
      <c r="AY151" s="64">
        <v>0</v>
      </c>
      <c r="AZ151" s="64">
        <f>IF(O151="LP",1,0)</f>
        <v>0</v>
      </c>
      <c r="BA151" s="64">
        <v>0</v>
      </c>
      <c r="BB151" s="64">
        <f>IF(S151="H Active",0,1)</f>
        <v>1</v>
      </c>
      <c r="BC151" s="64">
        <f>IF(U151="H Active",0,1)</f>
        <v>1</v>
      </c>
      <c r="BD151" s="64">
        <v>0</v>
      </c>
      <c r="BE151" s="131"/>
    </row>
    <row r="152" spans="1:57" outlineLevel="1">
      <c r="B152" s="148" t="s">
        <v>1032</v>
      </c>
      <c r="C152" s="149" t="s">
        <v>2234</v>
      </c>
      <c r="D152" s="150"/>
      <c r="E152" s="151"/>
      <c r="F152" s="152"/>
      <c r="G152"/>
      <c r="H152"/>
      <c r="I152"/>
      <c r="J152"/>
      <c r="K152"/>
      <c r="L152"/>
      <c r="M152"/>
      <c r="N152"/>
      <c r="O152"/>
      <c r="P152"/>
      <c r="Q152"/>
      <c r="R152"/>
      <c r="S152"/>
      <c r="T152"/>
      <c r="U152"/>
      <c r="V152"/>
      <c r="W152"/>
    </row>
    <row r="153" spans="1:57" outlineLevel="1">
      <c r="B153" s="148" t="s">
        <v>1622</v>
      </c>
      <c r="C153" s="149" t="s">
        <v>2141</v>
      </c>
      <c r="D153" s="517" t="s">
        <v>2142</v>
      </c>
      <c r="E153" s="518" t="s">
        <v>2143</v>
      </c>
      <c r="F153" s="152"/>
      <c r="G153"/>
      <c r="H153"/>
      <c r="I153"/>
      <c r="J153"/>
      <c r="K153"/>
      <c r="L153"/>
      <c r="M153"/>
      <c r="N153"/>
      <c r="O153"/>
      <c r="P153"/>
      <c r="Q153"/>
      <c r="R153"/>
      <c r="S153"/>
      <c r="T153"/>
      <c r="U153"/>
      <c r="V153"/>
      <c r="W153"/>
    </row>
    <row r="154" spans="1:57" outlineLevel="1">
      <c r="B154" s="148" t="s">
        <v>1622</v>
      </c>
      <c r="C154" s="149" t="s">
        <v>2141</v>
      </c>
      <c r="D154" s="517" t="s">
        <v>2142</v>
      </c>
      <c r="E154" s="518" t="s">
        <v>2235</v>
      </c>
      <c r="F154" s="152"/>
      <c r="G154"/>
      <c r="H154"/>
      <c r="I154"/>
      <c r="J154"/>
      <c r="K154"/>
      <c r="L154"/>
      <c r="M154"/>
      <c r="N154"/>
      <c r="O154"/>
      <c r="P154"/>
      <c r="Q154"/>
      <c r="R154"/>
      <c r="S154"/>
      <c r="T154"/>
      <c r="U154"/>
      <c r="V154"/>
      <c r="W154"/>
    </row>
    <row r="155" spans="1:57" outlineLevel="1">
      <c r="B155" s="148" t="s">
        <v>1872</v>
      </c>
      <c r="C155" s="149"/>
      <c r="D155" s="151">
        <v>100000</v>
      </c>
      <c r="E155" s="151"/>
      <c r="F155" s="152"/>
      <c r="G155"/>
      <c r="H155"/>
      <c r="I155"/>
      <c r="J155"/>
      <c r="K155"/>
      <c r="L155"/>
      <c r="M155"/>
      <c r="N155"/>
      <c r="O155"/>
      <c r="P155"/>
      <c r="Q155"/>
      <c r="R155"/>
      <c r="S155"/>
      <c r="T155"/>
      <c r="U155"/>
      <c r="V155"/>
      <c r="W155"/>
    </row>
    <row r="156" spans="1:57" outlineLevel="1">
      <c r="B156" s="148" t="s">
        <v>1032</v>
      </c>
      <c r="C156" s="149" t="s">
        <v>1862</v>
      </c>
      <c r="D156" s="150"/>
      <c r="E156" s="151"/>
      <c r="F156" s="152"/>
      <c r="G156"/>
      <c r="H156"/>
      <c r="I156"/>
      <c r="J156"/>
      <c r="K156"/>
      <c r="L156"/>
      <c r="M156"/>
      <c r="N156"/>
      <c r="O156"/>
      <c r="P156"/>
      <c r="Q156"/>
      <c r="R156"/>
      <c r="S156"/>
      <c r="T156"/>
      <c r="U156"/>
      <c r="V156"/>
      <c r="W156"/>
    </row>
    <row r="157" spans="1:57" outlineLevel="1">
      <c r="B157" s="148" t="s">
        <v>1622</v>
      </c>
      <c r="C157" s="149" t="s">
        <v>2141</v>
      </c>
      <c r="D157" s="517" t="s">
        <v>2142</v>
      </c>
      <c r="E157" s="518" t="s">
        <v>2143</v>
      </c>
      <c r="F157" s="152"/>
      <c r="G157"/>
      <c r="H157"/>
      <c r="I157"/>
      <c r="J157"/>
      <c r="K157"/>
      <c r="L157"/>
      <c r="M157"/>
      <c r="N157"/>
      <c r="O157"/>
      <c r="P157"/>
      <c r="Q157"/>
      <c r="R157"/>
      <c r="S157"/>
      <c r="T157"/>
      <c r="U157"/>
      <c r="V157"/>
      <c r="W157"/>
    </row>
    <row r="158" spans="1:57" outlineLevel="1">
      <c r="B158" s="148" t="s">
        <v>1622</v>
      </c>
      <c r="C158" s="149" t="s">
        <v>2141</v>
      </c>
      <c r="D158" s="517" t="s">
        <v>2142</v>
      </c>
      <c r="E158" s="518" t="s">
        <v>2236</v>
      </c>
      <c r="F158" s="152"/>
      <c r="G158"/>
      <c r="H158"/>
      <c r="I158"/>
      <c r="J158"/>
      <c r="K158"/>
      <c r="L158"/>
      <c r="M158"/>
      <c r="N158"/>
      <c r="O158"/>
      <c r="P158"/>
      <c r="Q158"/>
      <c r="R158"/>
      <c r="S158"/>
      <c r="T158"/>
      <c r="U158"/>
      <c r="V158"/>
      <c r="W158"/>
    </row>
    <row r="159" spans="1:57" outlineLevel="1">
      <c r="B159" s="148" t="s">
        <v>1872</v>
      </c>
      <c r="C159" s="149"/>
      <c r="D159" s="151">
        <v>200000</v>
      </c>
      <c r="E159" s="151"/>
      <c r="F159" s="152"/>
      <c r="G159"/>
      <c r="H159"/>
      <c r="I159"/>
      <c r="J159"/>
      <c r="K159"/>
      <c r="L159"/>
      <c r="M159"/>
      <c r="N159"/>
      <c r="O159"/>
      <c r="P159"/>
      <c r="Q159"/>
      <c r="R159"/>
      <c r="S159"/>
      <c r="T159"/>
      <c r="U159"/>
      <c r="V159"/>
      <c r="W159"/>
    </row>
    <row r="160" spans="1:57" outlineLevel="1">
      <c r="B160" s="149"/>
      <c r="C160" s="149"/>
      <c r="D160" s="149"/>
      <c r="E160" s="149"/>
      <c r="F160" s="152"/>
      <c r="G160"/>
      <c r="H160"/>
      <c r="I160"/>
      <c r="J160"/>
      <c r="K160"/>
      <c r="L160"/>
      <c r="M160"/>
      <c r="N160"/>
      <c r="O160"/>
      <c r="P160"/>
      <c r="Q160"/>
      <c r="R160"/>
      <c r="S160"/>
      <c r="T160"/>
      <c r="U160"/>
      <c r="V160"/>
      <c r="W160"/>
    </row>
    <row r="161" spans="1:23" outlineLevel="1">
      <c r="B161" s="149"/>
      <c r="C161" s="149"/>
      <c r="D161" s="149"/>
      <c r="E161" s="149"/>
      <c r="F161" s="152"/>
      <c r="G161"/>
      <c r="H161"/>
      <c r="I161"/>
      <c r="J161"/>
      <c r="K161"/>
      <c r="L161"/>
      <c r="M161"/>
      <c r="N161"/>
      <c r="O161"/>
      <c r="P161"/>
      <c r="Q161"/>
      <c r="R161"/>
      <c r="S161"/>
      <c r="T161"/>
      <c r="U161"/>
      <c r="V161"/>
      <c r="W161"/>
    </row>
    <row r="162" spans="1:23" outlineLevel="1">
      <c r="B162" s="149"/>
      <c r="C162" s="149"/>
      <c r="D162" s="149"/>
      <c r="E162" s="149"/>
      <c r="F162" s="152"/>
      <c r="G162"/>
      <c r="H162"/>
      <c r="I162"/>
      <c r="J162"/>
      <c r="K162"/>
      <c r="L162"/>
      <c r="M162"/>
      <c r="N162"/>
      <c r="O162"/>
      <c r="P162"/>
      <c r="Q162"/>
      <c r="R162"/>
      <c r="S162"/>
      <c r="T162"/>
      <c r="U162"/>
      <c r="V162"/>
      <c r="W162"/>
    </row>
    <row r="163" spans="1:23" outlineLevel="1">
      <c r="B163" s="149"/>
      <c r="C163" s="149"/>
      <c r="D163" s="149"/>
      <c r="E163" s="149"/>
      <c r="F163" s="152"/>
      <c r="G163"/>
      <c r="H163"/>
      <c r="I163"/>
      <c r="J163"/>
      <c r="K163"/>
      <c r="L163"/>
      <c r="M163"/>
      <c r="N163"/>
      <c r="O163"/>
      <c r="P163"/>
      <c r="Q163"/>
      <c r="R163"/>
      <c r="S163"/>
      <c r="T163"/>
      <c r="U163"/>
      <c r="V163"/>
      <c r="W163"/>
    </row>
    <row r="164" spans="1:23" s="64" customFormat="1" outlineLevel="1">
      <c r="A164" s="65"/>
      <c r="B164" s="149"/>
      <c r="C164" s="149"/>
      <c r="D164" s="149"/>
      <c r="E164" s="149"/>
      <c r="F164" s="152"/>
      <c r="G164"/>
      <c r="H164"/>
      <c r="I164"/>
      <c r="J164"/>
      <c r="K164"/>
      <c r="L164"/>
      <c r="M164"/>
      <c r="N164"/>
      <c r="O164"/>
      <c r="P164"/>
      <c r="Q164"/>
      <c r="R164"/>
      <c r="S164"/>
      <c r="T164"/>
      <c r="U164"/>
      <c r="V164"/>
      <c r="W164"/>
    </row>
    <row r="165" spans="1:23" s="64" customFormat="1" outlineLevel="1">
      <c r="A165" s="65"/>
      <c r="B165" s="149"/>
      <c r="C165" s="149"/>
      <c r="D165" s="149"/>
      <c r="E165" s="149"/>
      <c r="F165" s="152"/>
      <c r="G165"/>
      <c r="H165"/>
      <c r="I165"/>
      <c r="J165"/>
      <c r="K165"/>
      <c r="L165"/>
      <c r="M165"/>
      <c r="N165"/>
      <c r="O165"/>
      <c r="P165"/>
      <c r="Q165"/>
      <c r="R165"/>
      <c r="S165"/>
      <c r="T165"/>
      <c r="U165"/>
      <c r="V165"/>
      <c r="W165"/>
    </row>
    <row r="166" spans="1:23" s="64" customFormat="1" outlineLevel="1">
      <c r="A166" s="65"/>
      <c r="B166" s="149"/>
      <c r="C166" s="149"/>
      <c r="D166" s="149"/>
      <c r="E166" s="149"/>
      <c r="F166" s="152"/>
      <c r="G166"/>
      <c r="H166"/>
      <c r="I166"/>
      <c r="J166"/>
      <c r="K166"/>
      <c r="L166"/>
      <c r="M166"/>
      <c r="N166"/>
      <c r="O166"/>
      <c r="P166"/>
      <c r="Q166"/>
      <c r="R166"/>
      <c r="S166"/>
      <c r="T166"/>
      <c r="U166"/>
      <c r="V166"/>
      <c r="W166"/>
    </row>
    <row r="167" spans="1:23" s="64" customFormat="1" outlineLevel="1">
      <c r="A167" s="65"/>
      <c r="B167" s="149"/>
      <c r="C167" s="149"/>
      <c r="D167" s="149"/>
      <c r="E167" s="149"/>
      <c r="F167" s="152"/>
      <c r="G167"/>
      <c r="H167"/>
      <c r="I167"/>
      <c r="J167"/>
      <c r="K167"/>
      <c r="L167"/>
      <c r="M167"/>
      <c r="N167"/>
      <c r="O167"/>
      <c r="P167"/>
      <c r="Q167"/>
      <c r="R167"/>
      <c r="S167"/>
      <c r="T167"/>
      <c r="U167"/>
      <c r="V167"/>
      <c r="W167"/>
    </row>
    <row r="168" spans="1:23" s="64" customFormat="1" outlineLevel="1">
      <c r="A168" s="65"/>
      <c r="B168" s="149"/>
      <c r="C168" s="149"/>
      <c r="D168" s="149"/>
      <c r="E168" s="149"/>
      <c r="F168" s="152"/>
      <c r="G168"/>
      <c r="H168"/>
      <c r="I168"/>
      <c r="J168"/>
      <c r="K168"/>
      <c r="L168"/>
      <c r="M168"/>
      <c r="N168"/>
      <c r="O168"/>
      <c r="P168"/>
      <c r="Q168"/>
      <c r="R168"/>
      <c r="S168"/>
      <c r="T168"/>
      <c r="U168"/>
      <c r="V168"/>
      <c r="W168"/>
    </row>
    <row r="169" spans="1:23" s="64" customFormat="1" outlineLevel="1">
      <c r="A169" s="65"/>
      <c r="B169" s="148"/>
      <c r="C169" s="149"/>
      <c r="D169" s="150"/>
      <c r="E169" s="151"/>
      <c r="F169" s="152"/>
      <c r="G169"/>
      <c r="H169"/>
      <c r="I169"/>
      <c r="J169"/>
      <c r="K169"/>
      <c r="L169"/>
      <c r="M169"/>
      <c r="N169"/>
      <c r="O169"/>
      <c r="P169"/>
      <c r="Q169"/>
      <c r="R169"/>
      <c r="S169"/>
      <c r="T169"/>
      <c r="U169"/>
      <c r="V169"/>
      <c r="W169"/>
    </row>
    <row r="170" spans="1:23" s="64" customFormat="1" outlineLevel="1">
      <c r="A170" s="65"/>
      <c r="B170" s="160"/>
      <c r="C170" s="161"/>
      <c r="D170" s="150"/>
      <c r="E170" s="162"/>
      <c r="F170" s="152"/>
      <c r="G170"/>
      <c r="H170"/>
      <c r="I170"/>
      <c r="J170"/>
      <c r="K170"/>
      <c r="L170"/>
      <c r="M170"/>
      <c r="N170"/>
      <c r="O170"/>
      <c r="P170"/>
      <c r="Q170"/>
      <c r="R170"/>
      <c r="S170"/>
      <c r="T170"/>
      <c r="U170"/>
      <c r="V170"/>
      <c r="W170"/>
    </row>
    <row r="171" spans="1:23" s="64" customFormat="1" outlineLevel="1">
      <c r="A171" s="65"/>
      <c r="B171" s="148"/>
      <c r="C171" s="149"/>
      <c r="D171" s="150"/>
      <c r="E171" s="151"/>
      <c r="F171" s="152"/>
      <c r="G171"/>
      <c r="H171"/>
      <c r="I171"/>
      <c r="J171"/>
      <c r="K171"/>
      <c r="L171"/>
      <c r="M171"/>
      <c r="N171"/>
      <c r="O171"/>
      <c r="P171"/>
      <c r="Q171"/>
      <c r="R171"/>
      <c r="S171"/>
      <c r="T171"/>
      <c r="U171"/>
      <c r="V171"/>
      <c r="W171"/>
    </row>
    <row r="172" spans="1:23" s="64" customFormat="1" outlineLevel="1">
      <c r="A172" s="65"/>
      <c r="B172" s="160"/>
      <c r="C172" s="161"/>
      <c r="D172" s="150"/>
      <c r="E172" s="162"/>
      <c r="F172" s="152"/>
      <c r="G172"/>
      <c r="H172"/>
      <c r="I172"/>
      <c r="J172"/>
      <c r="K172"/>
      <c r="L172"/>
      <c r="M172"/>
      <c r="N172"/>
      <c r="O172"/>
      <c r="P172"/>
      <c r="Q172"/>
      <c r="R172"/>
      <c r="S172"/>
      <c r="T172"/>
      <c r="U172"/>
      <c r="V172"/>
      <c r="W172"/>
    </row>
    <row r="173" spans="1:23" s="64" customFormat="1" outlineLevel="1">
      <c r="A173" s="65"/>
      <c r="B173" s="148"/>
      <c r="C173" s="149"/>
      <c r="D173" s="150"/>
      <c r="E173" s="151"/>
      <c r="F173" s="152"/>
      <c r="G173"/>
      <c r="H173"/>
      <c r="I173"/>
      <c r="J173"/>
      <c r="K173"/>
      <c r="L173"/>
      <c r="M173"/>
      <c r="N173"/>
      <c r="O173"/>
      <c r="P173"/>
      <c r="Q173"/>
      <c r="R173"/>
      <c r="S173"/>
      <c r="T173"/>
      <c r="U173"/>
      <c r="V173"/>
      <c r="W173"/>
    </row>
    <row r="174" spans="1:23" s="64" customFormat="1" outlineLevel="1">
      <c r="A174" s="65"/>
      <c r="B174" s="160"/>
      <c r="C174" s="161"/>
      <c r="D174" s="150"/>
      <c r="E174" s="162"/>
      <c r="F174" s="152"/>
      <c r="G174"/>
      <c r="H174"/>
      <c r="I174"/>
      <c r="J174"/>
      <c r="K174"/>
      <c r="L174"/>
      <c r="M174"/>
      <c r="N174"/>
      <c r="O174"/>
      <c r="P174"/>
      <c r="Q174"/>
      <c r="R174"/>
      <c r="S174"/>
      <c r="T174"/>
      <c r="U174"/>
      <c r="V174"/>
      <c r="W174"/>
    </row>
    <row r="175" spans="1:23" s="64" customFormat="1" outlineLevel="1">
      <c r="A175" s="65"/>
      <c r="B175" s="148"/>
      <c r="C175" s="149"/>
      <c r="D175" s="150"/>
      <c r="E175" s="151"/>
      <c r="F175" s="152"/>
      <c r="G175"/>
      <c r="H175"/>
      <c r="I175"/>
      <c r="J175"/>
      <c r="K175"/>
      <c r="L175"/>
      <c r="M175"/>
      <c r="N175"/>
      <c r="O175"/>
      <c r="P175"/>
      <c r="Q175"/>
      <c r="R175"/>
      <c r="S175"/>
      <c r="T175"/>
      <c r="U175"/>
      <c r="V175"/>
      <c r="W175"/>
    </row>
    <row r="176" spans="1:23" s="64" customFormat="1" outlineLevel="1">
      <c r="A176" s="65"/>
      <c r="B176" s="160"/>
      <c r="C176" s="161"/>
      <c r="D176" s="150"/>
      <c r="E176" s="162"/>
      <c r="F176" s="152"/>
      <c r="G176"/>
      <c r="H176"/>
      <c r="I176"/>
      <c r="J176"/>
      <c r="K176"/>
      <c r="L176"/>
      <c r="M176"/>
      <c r="N176"/>
      <c r="O176"/>
      <c r="P176"/>
      <c r="Q176"/>
      <c r="R176"/>
      <c r="S176"/>
      <c r="T176"/>
      <c r="U176"/>
      <c r="V176"/>
      <c r="W176"/>
    </row>
    <row r="177" spans="1:23" s="64" customFormat="1" outlineLevel="1">
      <c r="A177" s="65"/>
      <c r="B177" s="148"/>
      <c r="C177" s="149"/>
      <c r="D177" s="150"/>
      <c r="E177" s="151"/>
      <c r="F177" s="152"/>
      <c r="G177"/>
      <c r="H177"/>
      <c r="I177"/>
      <c r="J177"/>
      <c r="K177"/>
      <c r="L177"/>
      <c r="M177"/>
      <c r="N177"/>
      <c r="O177"/>
      <c r="P177"/>
      <c r="Q177"/>
      <c r="R177"/>
      <c r="S177"/>
      <c r="T177"/>
      <c r="U177"/>
      <c r="V177"/>
      <c r="W177"/>
    </row>
    <row r="178" spans="1:23" s="64" customFormat="1" outlineLevel="1">
      <c r="A178" s="65"/>
      <c r="B178" s="160"/>
      <c r="C178" s="161"/>
      <c r="D178" s="150"/>
      <c r="E178" s="162"/>
      <c r="F178" s="152"/>
      <c r="G178"/>
      <c r="H178"/>
      <c r="I178"/>
      <c r="J178"/>
      <c r="K178"/>
      <c r="L178"/>
      <c r="M178"/>
      <c r="N178"/>
      <c r="O178"/>
      <c r="P178"/>
      <c r="Q178"/>
      <c r="R178"/>
      <c r="S178"/>
      <c r="T178"/>
      <c r="U178"/>
      <c r="V178"/>
      <c r="W178"/>
    </row>
    <row r="179" spans="1:23" s="64" customFormat="1" outlineLevel="1">
      <c r="A179" s="65"/>
      <c r="B179" s="148"/>
      <c r="C179" s="149"/>
      <c r="D179" s="150"/>
      <c r="E179" s="151"/>
      <c r="F179" s="152"/>
      <c r="G179"/>
      <c r="H179"/>
      <c r="I179"/>
      <c r="J179"/>
      <c r="K179"/>
      <c r="L179"/>
      <c r="M179"/>
      <c r="N179"/>
      <c r="O179"/>
      <c r="P179"/>
      <c r="Q179"/>
      <c r="R179"/>
      <c r="S179"/>
      <c r="T179"/>
      <c r="U179"/>
      <c r="V179"/>
      <c r="W179"/>
    </row>
    <row r="180" spans="1:23" s="64" customFormat="1" outlineLevel="1">
      <c r="A180" s="65"/>
      <c r="B180" s="160"/>
      <c r="C180" s="161"/>
      <c r="D180" s="150"/>
      <c r="E180" s="162"/>
      <c r="F180" s="152"/>
      <c r="G180"/>
      <c r="H180"/>
      <c r="I180"/>
      <c r="J180"/>
      <c r="K180"/>
      <c r="L180"/>
      <c r="M180"/>
      <c r="N180"/>
      <c r="O180"/>
      <c r="P180"/>
      <c r="Q180"/>
      <c r="R180"/>
      <c r="S180"/>
      <c r="T180"/>
      <c r="U180"/>
      <c r="V180"/>
      <c r="W180"/>
    </row>
    <row r="181" spans="1:23" s="64" customFormat="1" outlineLevel="1">
      <c r="A181" s="65"/>
      <c r="B181" s="148"/>
      <c r="C181" s="149"/>
      <c r="D181" s="150"/>
      <c r="E181" s="151"/>
      <c r="F181" s="152"/>
      <c r="G181"/>
      <c r="H181"/>
      <c r="I181"/>
      <c r="J181"/>
      <c r="K181"/>
      <c r="L181"/>
      <c r="M181"/>
      <c r="N181"/>
      <c r="O181"/>
      <c r="P181"/>
      <c r="Q181"/>
      <c r="R181"/>
      <c r="S181"/>
      <c r="T181"/>
      <c r="U181"/>
      <c r="V181"/>
      <c r="W181"/>
    </row>
    <row r="182" spans="1:23" s="64" customFormat="1" outlineLevel="1">
      <c r="A182" s="65"/>
      <c r="B182" s="160"/>
      <c r="C182" s="161"/>
      <c r="D182" s="150"/>
      <c r="E182" s="162"/>
      <c r="F182" s="152"/>
      <c r="G182"/>
      <c r="H182"/>
      <c r="I182"/>
      <c r="J182"/>
      <c r="K182"/>
      <c r="L182"/>
      <c r="M182"/>
      <c r="N182"/>
      <c r="O182"/>
      <c r="P182"/>
      <c r="Q182"/>
      <c r="R182"/>
      <c r="S182"/>
      <c r="T182"/>
      <c r="U182"/>
      <c r="V182"/>
      <c r="W182"/>
    </row>
    <row r="183" spans="1:23" s="64" customFormat="1" outlineLevel="1">
      <c r="A183" s="65"/>
      <c r="B183" s="148"/>
      <c r="C183" s="149"/>
      <c r="D183" s="150"/>
      <c r="E183" s="151"/>
      <c r="F183" s="152"/>
      <c r="G183"/>
      <c r="H183"/>
      <c r="I183"/>
      <c r="J183"/>
      <c r="K183"/>
      <c r="L183"/>
      <c r="M183"/>
      <c r="N183"/>
      <c r="O183"/>
      <c r="P183"/>
      <c r="Q183"/>
      <c r="R183"/>
      <c r="S183"/>
      <c r="T183"/>
      <c r="U183"/>
      <c r="V183"/>
      <c r="W183"/>
    </row>
    <row r="184" spans="1:23" s="64" customFormat="1" outlineLevel="1">
      <c r="A184" s="65"/>
      <c r="B184" s="160"/>
      <c r="C184" s="161"/>
      <c r="D184" s="150"/>
      <c r="E184" s="162"/>
      <c r="F184" s="152"/>
      <c r="G184"/>
      <c r="H184"/>
      <c r="I184"/>
      <c r="J184"/>
      <c r="K184"/>
      <c r="L184"/>
      <c r="M184"/>
      <c r="N184"/>
      <c r="O184"/>
      <c r="P184"/>
      <c r="Q184"/>
      <c r="R184"/>
      <c r="S184"/>
      <c r="T184"/>
      <c r="U184"/>
      <c r="V184"/>
      <c r="W184"/>
    </row>
    <row r="185" spans="1:23" s="64" customFormat="1" outlineLevel="1">
      <c r="A185" s="65"/>
      <c r="B185" s="148"/>
      <c r="C185" s="149"/>
      <c r="D185" s="150"/>
      <c r="E185" s="151"/>
      <c r="F185" s="152"/>
      <c r="G185"/>
      <c r="H185"/>
      <c r="I185"/>
      <c r="J185"/>
      <c r="K185"/>
      <c r="L185"/>
      <c r="M185"/>
      <c r="N185"/>
      <c r="O185"/>
      <c r="P185"/>
      <c r="Q185"/>
      <c r="R185"/>
      <c r="S185"/>
      <c r="T185"/>
      <c r="U185"/>
      <c r="V185"/>
      <c r="W185"/>
    </row>
    <row r="186" spans="1:23" s="64" customFormat="1" outlineLevel="1">
      <c r="A186" s="65"/>
      <c r="B186" s="160"/>
      <c r="C186" s="161"/>
      <c r="D186" s="150"/>
      <c r="E186" s="162"/>
      <c r="F186" s="152"/>
      <c r="G186"/>
      <c r="H186"/>
      <c r="I186"/>
      <c r="J186"/>
      <c r="K186"/>
      <c r="L186"/>
      <c r="M186"/>
      <c r="N186"/>
      <c r="O186"/>
      <c r="P186"/>
      <c r="Q186"/>
      <c r="R186"/>
      <c r="S186"/>
      <c r="T186"/>
      <c r="U186"/>
      <c r="V186"/>
      <c r="W186"/>
    </row>
    <row r="187" spans="1:23" s="64" customFormat="1" outlineLevel="1">
      <c r="A187" s="65"/>
      <c r="B187" s="148"/>
      <c r="C187" s="149"/>
      <c r="D187" s="150"/>
      <c r="E187" s="151"/>
      <c r="F187" s="152"/>
      <c r="G187"/>
      <c r="H187"/>
      <c r="I187"/>
      <c r="J187"/>
      <c r="K187"/>
      <c r="L187"/>
      <c r="M187"/>
      <c r="N187"/>
      <c r="O187"/>
      <c r="P187"/>
      <c r="Q187"/>
      <c r="R187"/>
      <c r="S187"/>
      <c r="T187"/>
      <c r="U187"/>
      <c r="V187"/>
      <c r="W187"/>
    </row>
    <row r="188" spans="1:23" s="64" customFormat="1" outlineLevel="1">
      <c r="A188" s="65"/>
      <c r="B188" s="160"/>
      <c r="C188" s="161"/>
      <c r="D188" s="150"/>
      <c r="E188" s="162"/>
      <c r="F188" s="152"/>
      <c r="G188"/>
      <c r="H188"/>
      <c r="I188"/>
      <c r="J188"/>
      <c r="K188"/>
      <c r="L188"/>
      <c r="M188"/>
      <c r="N188"/>
      <c r="O188"/>
      <c r="P188"/>
      <c r="Q188"/>
      <c r="R188"/>
      <c r="S188"/>
      <c r="T188"/>
      <c r="U188"/>
      <c r="V188"/>
      <c r="W188"/>
    </row>
    <row r="189" spans="1:23" s="64" customFormat="1" outlineLevel="1">
      <c r="A189" s="65"/>
      <c r="B189" s="148"/>
      <c r="C189" s="149"/>
      <c r="D189" s="150"/>
      <c r="E189" s="151"/>
      <c r="F189" s="152"/>
      <c r="G189"/>
      <c r="H189"/>
      <c r="I189"/>
      <c r="J189"/>
      <c r="K189"/>
      <c r="L189"/>
      <c r="M189"/>
      <c r="N189"/>
      <c r="O189"/>
      <c r="P189"/>
      <c r="Q189"/>
      <c r="R189"/>
      <c r="S189"/>
      <c r="T189"/>
      <c r="U189"/>
      <c r="V189"/>
      <c r="W189"/>
    </row>
    <row r="190" spans="1:23" s="64" customFormat="1" outlineLevel="1">
      <c r="A190" s="65"/>
      <c r="B190" s="160"/>
      <c r="C190" s="161"/>
      <c r="D190" s="150"/>
      <c r="E190" s="162"/>
      <c r="F190" s="152"/>
      <c r="G190"/>
      <c r="H190"/>
      <c r="I190"/>
      <c r="J190"/>
      <c r="K190"/>
      <c r="L190"/>
      <c r="M190"/>
      <c r="N190"/>
      <c r="O190"/>
      <c r="P190"/>
      <c r="Q190"/>
      <c r="R190"/>
      <c r="S190"/>
      <c r="T190"/>
      <c r="U190"/>
      <c r="V190"/>
      <c r="W190"/>
    </row>
    <row r="191" spans="1:23" s="64" customFormat="1" outlineLevel="1">
      <c r="A191" s="65"/>
      <c r="B191" s="148"/>
      <c r="C191" s="149"/>
      <c r="D191" s="150"/>
      <c r="E191" s="151"/>
      <c r="F191" s="152"/>
      <c r="G191"/>
      <c r="H191"/>
      <c r="I191"/>
      <c r="J191"/>
      <c r="K191"/>
      <c r="L191"/>
      <c r="M191"/>
      <c r="N191"/>
      <c r="O191"/>
      <c r="P191"/>
      <c r="Q191"/>
      <c r="R191"/>
      <c r="S191"/>
      <c r="T191"/>
      <c r="U191"/>
      <c r="V191"/>
      <c r="W191"/>
    </row>
    <row r="192" spans="1:23" s="64" customFormat="1" outlineLevel="1">
      <c r="A192" s="65"/>
      <c r="B192" s="160"/>
      <c r="C192" s="161"/>
      <c r="D192" s="150"/>
      <c r="E192" s="162"/>
      <c r="F192" s="152"/>
      <c r="G192"/>
      <c r="H192"/>
      <c r="I192"/>
      <c r="J192"/>
      <c r="K192"/>
      <c r="L192"/>
      <c r="M192"/>
      <c r="N192"/>
      <c r="O192"/>
      <c r="P192"/>
      <c r="Q192"/>
      <c r="R192"/>
      <c r="S192"/>
      <c r="T192"/>
      <c r="U192"/>
      <c r="V192"/>
      <c r="W192"/>
    </row>
    <row r="193" spans="1:23" s="64" customFormat="1" outlineLevel="1">
      <c r="A193" s="65"/>
      <c r="B193" s="148"/>
      <c r="C193" s="149"/>
      <c r="D193" s="150"/>
      <c r="E193" s="151"/>
      <c r="F193" s="152"/>
      <c r="G193"/>
      <c r="H193"/>
      <c r="I193"/>
      <c r="J193"/>
      <c r="K193"/>
      <c r="L193"/>
      <c r="M193"/>
      <c r="N193"/>
      <c r="O193"/>
      <c r="P193"/>
      <c r="Q193"/>
      <c r="R193"/>
      <c r="S193"/>
      <c r="T193"/>
      <c r="U193"/>
      <c r="V193"/>
      <c r="W193"/>
    </row>
    <row r="194" spans="1:23" s="64" customFormat="1" outlineLevel="1">
      <c r="A194" s="65"/>
      <c r="B194" s="160"/>
      <c r="C194" s="161"/>
      <c r="D194" s="150"/>
      <c r="E194" s="162"/>
      <c r="F194" s="152"/>
      <c r="G194"/>
      <c r="H194"/>
      <c r="I194"/>
      <c r="J194"/>
      <c r="K194"/>
      <c r="L194"/>
      <c r="M194"/>
      <c r="N194"/>
      <c r="O194"/>
      <c r="P194"/>
      <c r="Q194"/>
      <c r="R194"/>
      <c r="S194"/>
      <c r="T194"/>
      <c r="U194"/>
      <c r="V194"/>
      <c r="W194"/>
    </row>
    <row r="195" spans="1:23" s="64" customFormat="1" outlineLevel="1">
      <c r="A195" s="65"/>
      <c r="B195" s="148"/>
      <c r="C195" s="149"/>
      <c r="D195" s="150"/>
      <c r="E195" s="151"/>
      <c r="F195" s="152"/>
      <c r="G195"/>
      <c r="H195"/>
      <c r="I195"/>
      <c r="J195"/>
      <c r="K195"/>
      <c r="L195"/>
      <c r="M195"/>
      <c r="N195"/>
      <c r="O195"/>
      <c r="P195"/>
      <c r="Q195"/>
      <c r="R195"/>
      <c r="S195"/>
      <c r="T195"/>
      <c r="U195"/>
      <c r="V195"/>
      <c r="W195"/>
    </row>
    <row r="196" spans="1:23" s="64" customFormat="1" outlineLevel="1">
      <c r="A196" s="65"/>
      <c r="B196" s="160"/>
      <c r="C196" s="161"/>
      <c r="D196" s="150"/>
      <c r="E196" s="162"/>
      <c r="F196" s="152"/>
      <c r="G196"/>
      <c r="H196"/>
      <c r="I196"/>
      <c r="J196"/>
      <c r="K196"/>
      <c r="L196"/>
      <c r="M196"/>
      <c r="N196"/>
      <c r="O196"/>
      <c r="P196"/>
      <c r="Q196"/>
      <c r="R196"/>
      <c r="S196"/>
      <c r="T196"/>
      <c r="U196"/>
      <c r="V196"/>
      <c r="W196"/>
    </row>
    <row r="197" spans="1:23" s="64" customFormat="1" outlineLevel="1">
      <c r="A197" s="65"/>
      <c r="B197" s="148"/>
      <c r="C197" s="149"/>
      <c r="D197" s="150"/>
      <c r="E197" s="151"/>
      <c r="F197" s="152"/>
      <c r="G197"/>
      <c r="H197"/>
      <c r="I197"/>
      <c r="J197"/>
      <c r="K197"/>
      <c r="L197"/>
      <c r="M197"/>
      <c r="N197"/>
      <c r="O197"/>
      <c r="P197"/>
      <c r="Q197"/>
      <c r="R197"/>
      <c r="S197"/>
      <c r="T197"/>
      <c r="U197"/>
      <c r="V197"/>
      <c r="W197"/>
    </row>
    <row r="198" spans="1:23" s="64" customFormat="1" outlineLevel="1">
      <c r="A198" s="65"/>
      <c r="B198" s="160"/>
      <c r="C198" s="161"/>
      <c r="D198" s="150"/>
      <c r="E198" s="162"/>
      <c r="F198" s="152"/>
      <c r="G198"/>
      <c r="H198"/>
      <c r="I198"/>
      <c r="J198"/>
      <c r="K198"/>
      <c r="L198"/>
      <c r="M198"/>
      <c r="N198"/>
      <c r="O198"/>
      <c r="P198"/>
      <c r="Q198"/>
      <c r="R198"/>
      <c r="S198"/>
      <c r="T198"/>
      <c r="U198"/>
      <c r="V198"/>
      <c r="W198"/>
    </row>
    <row r="199" spans="1:23" s="64" customFormat="1" outlineLevel="1">
      <c r="A199" s="65"/>
      <c r="B199" s="148"/>
      <c r="C199" s="149"/>
      <c r="D199" s="150"/>
      <c r="E199" s="151"/>
      <c r="F199" s="152"/>
      <c r="G199"/>
      <c r="H199"/>
      <c r="I199"/>
      <c r="J199"/>
      <c r="K199"/>
      <c r="L199"/>
      <c r="M199"/>
      <c r="N199"/>
      <c r="O199"/>
      <c r="P199"/>
      <c r="Q199"/>
      <c r="R199"/>
      <c r="S199"/>
      <c r="T199"/>
      <c r="U199"/>
      <c r="V199"/>
      <c r="W199"/>
    </row>
    <row r="200" spans="1:23" s="64" customFormat="1" outlineLevel="1">
      <c r="A200" s="65"/>
      <c r="B200" s="160"/>
      <c r="C200" s="161"/>
      <c r="D200" s="150"/>
      <c r="E200" s="162"/>
      <c r="F200" s="152"/>
      <c r="G200"/>
      <c r="H200"/>
      <c r="I200"/>
      <c r="J200"/>
      <c r="K200"/>
      <c r="L200"/>
      <c r="M200"/>
      <c r="N200"/>
      <c r="O200"/>
      <c r="P200"/>
      <c r="Q200"/>
      <c r="R200"/>
      <c r="S200"/>
      <c r="T200"/>
      <c r="U200"/>
      <c r="V200"/>
      <c r="W200"/>
    </row>
    <row r="201" spans="1:23" s="64" customFormat="1" outlineLevel="1">
      <c r="A201" s="65"/>
      <c r="B201" s="148"/>
      <c r="C201" s="149"/>
      <c r="D201" s="150"/>
      <c r="E201" s="151"/>
      <c r="F201" s="152"/>
      <c r="G201"/>
      <c r="H201"/>
      <c r="I201"/>
      <c r="J201"/>
      <c r="K201"/>
      <c r="L201"/>
      <c r="M201"/>
      <c r="N201"/>
      <c r="O201"/>
      <c r="P201"/>
      <c r="Q201"/>
      <c r="R201"/>
      <c r="S201"/>
      <c r="T201"/>
      <c r="U201"/>
      <c r="V201"/>
      <c r="W201"/>
    </row>
    <row r="202" spans="1:23" s="64" customFormat="1" outlineLevel="1">
      <c r="A202" s="65"/>
      <c r="B202" s="160"/>
      <c r="C202" s="161"/>
      <c r="D202" s="150"/>
      <c r="E202" s="162"/>
      <c r="F202" s="152"/>
      <c r="G202"/>
      <c r="H202"/>
      <c r="I202"/>
      <c r="J202"/>
      <c r="K202"/>
      <c r="L202"/>
      <c r="M202"/>
      <c r="N202"/>
      <c r="O202"/>
      <c r="P202"/>
      <c r="Q202"/>
      <c r="R202"/>
      <c r="S202"/>
      <c r="T202"/>
      <c r="U202"/>
      <c r="V202"/>
      <c r="W202"/>
    </row>
    <row r="203" spans="1:23" s="64" customFormat="1" outlineLevel="1">
      <c r="A203" s="65"/>
      <c r="B203" s="148"/>
      <c r="C203" s="149"/>
      <c r="D203" s="150"/>
      <c r="E203" s="151"/>
      <c r="F203" s="152"/>
      <c r="G203"/>
      <c r="H203"/>
      <c r="I203"/>
      <c r="J203"/>
      <c r="K203"/>
      <c r="L203"/>
      <c r="M203"/>
      <c r="N203"/>
      <c r="O203"/>
      <c r="P203"/>
      <c r="Q203"/>
      <c r="R203"/>
      <c r="S203"/>
      <c r="T203"/>
      <c r="U203"/>
      <c r="V203"/>
      <c r="W203"/>
    </row>
    <row r="204" spans="1:23" s="64" customFormat="1" outlineLevel="1">
      <c r="A204" s="65"/>
      <c r="B204" s="160"/>
      <c r="C204" s="161"/>
      <c r="D204" s="150"/>
      <c r="E204" s="162"/>
      <c r="F204" s="152"/>
      <c r="G204"/>
      <c r="H204"/>
      <c r="I204"/>
      <c r="J204"/>
      <c r="K204"/>
      <c r="L204"/>
      <c r="M204"/>
      <c r="N204"/>
      <c r="O204"/>
      <c r="P204"/>
      <c r="Q204"/>
      <c r="R204"/>
      <c r="S204"/>
      <c r="T204"/>
      <c r="U204"/>
      <c r="V204"/>
      <c r="W204"/>
    </row>
    <row r="205" spans="1:23" s="64" customFormat="1" outlineLevel="1">
      <c r="A205" s="65"/>
      <c r="B205" s="148"/>
      <c r="C205" s="149"/>
      <c r="D205" s="150"/>
      <c r="E205" s="151"/>
      <c r="F205" s="152"/>
      <c r="G205"/>
      <c r="H205"/>
      <c r="I205"/>
      <c r="J205"/>
      <c r="K205"/>
      <c r="L205"/>
      <c r="M205"/>
      <c r="N205"/>
      <c r="O205"/>
      <c r="P205"/>
      <c r="Q205"/>
      <c r="R205"/>
      <c r="S205"/>
      <c r="T205"/>
      <c r="U205"/>
      <c r="V205"/>
      <c r="W205"/>
    </row>
    <row r="206" spans="1:23" s="64" customFormat="1" outlineLevel="1">
      <c r="A206" s="65"/>
      <c r="B206" s="160"/>
      <c r="C206" s="161"/>
      <c r="D206" s="150"/>
      <c r="E206" s="162"/>
      <c r="F206" s="152"/>
      <c r="G206"/>
      <c r="H206"/>
      <c r="I206"/>
      <c r="J206"/>
      <c r="K206"/>
      <c r="L206"/>
      <c r="M206"/>
      <c r="N206"/>
      <c r="O206"/>
      <c r="P206"/>
      <c r="Q206"/>
      <c r="R206"/>
      <c r="S206"/>
      <c r="T206"/>
      <c r="U206"/>
      <c r="V206"/>
      <c r="W206"/>
    </row>
    <row r="207" spans="1:23" s="64" customFormat="1" outlineLevel="1">
      <c r="A207" s="65"/>
      <c r="B207" s="148"/>
      <c r="C207" s="149"/>
      <c r="D207" s="150"/>
      <c r="E207" s="151"/>
      <c r="F207" s="152"/>
      <c r="G207"/>
      <c r="H207"/>
      <c r="I207"/>
      <c r="J207"/>
      <c r="K207"/>
      <c r="L207"/>
      <c r="M207"/>
      <c r="N207"/>
      <c r="O207"/>
      <c r="P207"/>
      <c r="Q207"/>
      <c r="R207"/>
      <c r="S207"/>
      <c r="T207"/>
      <c r="U207"/>
      <c r="V207"/>
      <c r="W207"/>
    </row>
    <row r="208" spans="1:23" s="64" customFormat="1" outlineLevel="1">
      <c r="A208" s="65"/>
      <c r="B208" s="160"/>
      <c r="C208" s="161"/>
      <c r="D208" s="150"/>
      <c r="E208" s="162"/>
      <c r="F208" s="152"/>
      <c r="G208"/>
      <c r="H208"/>
      <c r="I208"/>
      <c r="J208"/>
      <c r="K208"/>
      <c r="L208"/>
      <c r="M208"/>
      <c r="N208"/>
      <c r="O208"/>
      <c r="P208"/>
      <c r="Q208"/>
      <c r="R208"/>
      <c r="S208"/>
      <c r="T208"/>
      <c r="U208"/>
      <c r="V208"/>
      <c r="W208"/>
    </row>
    <row r="209" spans="1:23" s="64" customFormat="1" outlineLevel="1">
      <c r="A209" s="65"/>
      <c r="B209" s="148"/>
      <c r="C209" s="149"/>
      <c r="D209" s="150"/>
      <c r="E209" s="151"/>
      <c r="F209" s="152"/>
      <c r="G209"/>
      <c r="H209"/>
      <c r="I209"/>
      <c r="J209"/>
      <c r="K209"/>
      <c r="L209"/>
      <c r="M209"/>
      <c r="N209"/>
      <c r="O209"/>
      <c r="P209"/>
      <c r="Q209"/>
      <c r="R209"/>
      <c r="S209"/>
      <c r="T209"/>
      <c r="U209"/>
      <c r="V209"/>
      <c r="W209"/>
    </row>
    <row r="210" spans="1:23" s="64" customFormat="1" outlineLevel="1">
      <c r="A210" s="65"/>
      <c r="B210" s="160"/>
      <c r="C210" s="161"/>
      <c r="D210" s="150"/>
      <c r="E210" s="162"/>
      <c r="F210" s="152"/>
      <c r="G210"/>
      <c r="H210"/>
      <c r="I210"/>
      <c r="J210"/>
      <c r="K210"/>
      <c r="L210"/>
      <c r="M210"/>
      <c r="N210"/>
      <c r="O210"/>
      <c r="P210"/>
      <c r="Q210"/>
      <c r="R210"/>
      <c r="S210"/>
      <c r="T210"/>
      <c r="U210"/>
      <c r="V210"/>
      <c r="W210"/>
    </row>
    <row r="211" spans="1:23" s="64" customFormat="1" outlineLevel="1">
      <c r="A211" s="65"/>
      <c r="B211" s="148"/>
      <c r="C211" s="149"/>
      <c r="D211" s="150"/>
      <c r="E211" s="151"/>
      <c r="F211" s="152"/>
      <c r="G211"/>
      <c r="H211"/>
      <c r="I211"/>
      <c r="J211"/>
      <c r="K211"/>
      <c r="L211"/>
      <c r="M211"/>
      <c r="N211"/>
      <c r="O211"/>
      <c r="P211"/>
      <c r="Q211"/>
      <c r="R211"/>
      <c r="S211"/>
      <c r="T211"/>
      <c r="U211"/>
      <c r="V211"/>
      <c r="W211"/>
    </row>
    <row r="212" spans="1:23" s="64" customFormat="1" outlineLevel="1">
      <c r="A212" s="65"/>
      <c r="B212" s="160"/>
      <c r="C212" s="161"/>
      <c r="D212" s="150"/>
      <c r="E212" s="162"/>
      <c r="F212" s="152"/>
      <c r="G212"/>
      <c r="H212"/>
      <c r="I212"/>
      <c r="J212"/>
      <c r="K212"/>
      <c r="L212"/>
      <c r="M212"/>
      <c r="N212"/>
      <c r="O212"/>
      <c r="P212"/>
      <c r="Q212"/>
      <c r="R212"/>
      <c r="S212"/>
      <c r="T212"/>
      <c r="U212"/>
      <c r="V212"/>
      <c r="W212"/>
    </row>
    <row r="213" spans="1:23" s="64" customFormat="1" outlineLevel="1">
      <c r="A213" s="65"/>
      <c r="B213" s="148"/>
      <c r="C213" s="149"/>
      <c r="D213" s="150"/>
      <c r="E213" s="151"/>
      <c r="F213" s="152"/>
      <c r="G213"/>
      <c r="H213"/>
      <c r="I213"/>
      <c r="J213"/>
      <c r="K213"/>
      <c r="L213"/>
      <c r="M213"/>
      <c r="N213"/>
      <c r="O213"/>
      <c r="P213"/>
      <c r="Q213"/>
      <c r="R213"/>
      <c r="S213"/>
      <c r="T213"/>
      <c r="U213"/>
      <c r="V213"/>
      <c r="W213"/>
    </row>
    <row r="214" spans="1:23" s="64" customFormat="1" outlineLevel="1">
      <c r="A214" s="65"/>
      <c r="B214" s="160"/>
      <c r="C214" s="161"/>
      <c r="D214" s="150"/>
      <c r="E214" s="162"/>
      <c r="F214" s="152"/>
      <c r="G214"/>
      <c r="H214"/>
      <c r="I214"/>
      <c r="J214"/>
      <c r="K214"/>
      <c r="L214"/>
      <c r="M214"/>
      <c r="N214"/>
      <c r="O214"/>
      <c r="P214"/>
      <c r="Q214"/>
      <c r="R214"/>
      <c r="S214"/>
      <c r="T214"/>
      <c r="U214"/>
      <c r="V214"/>
      <c r="W214"/>
    </row>
    <row r="215" spans="1:23" s="64" customFormat="1" outlineLevel="1">
      <c r="A215" s="65"/>
      <c r="B215" s="148"/>
      <c r="C215" s="149"/>
      <c r="D215" s="150"/>
      <c r="E215" s="151"/>
      <c r="F215" s="152"/>
      <c r="G215"/>
      <c r="H215"/>
      <c r="I215"/>
      <c r="J215"/>
      <c r="K215"/>
      <c r="L215"/>
      <c r="M215"/>
      <c r="N215"/>
      <c r="O215"/>
      <c r="P215"/>
      <c r="Q215"/>
      <c r="R215"/>
      <c r="S215"/>
      <c r="T215"/>
      <c r="U215"/>
      <c r="V215"/>
      <c r="W215"/>
    </row>
    <row r="216" spans="1:23" s="64" customFormat="1" outlineLevel="1">
      <c r="A216" s="65"/>
      <c r="B216" s="160"/>
      <c r="C216" s="161"/>
      <c r="D216" s="150"/>
      <c r="E216" s="162"/>
      <c r="F216" s="152"/>
      <c r="G216"/>
      <c r="H216"/>
      <c r="I216"/>
      <c r="J216"/>
      <c r="K216"/>
      <c r="L216"/>
      <c r="M216"/>
      <c r="N216"/>
      <c r="O216"/>
      <c r="P216"/>
      <c r="Q216"/>
      <c r="R216"/>
      <c r="S216"/>
      <c r="T216"/>
      <c r="U216"/>
      <c r="V216"/>
      <c r="W216"/>
    </row>
    <row r="217" spans="1:23" s="64" customFormat="1" outlineLevel="1">
      <c r="A217" s="65"/>
      <c r="B217" s="148"/>
      <c r="C217" s="149"/>
      <c r="D217" s="150"/>
      <c r="E217" s="151"/>
      <c r="F217" s="152"/>
      <c r="G217"/>
      <c r="H217"/>
      <c r="I217"/>
      <c r="J217"/>
      <c r="K217"/>
      <c r="L217"/>
      <c r="M217"/>
      <c r="N217"/>
      <c r="O217"/>
      <c r="P217"/>
      <c r="Q217"/>
      <c r="R217"/>
      <c r="S217"/>
      <c r="T217"/>
      <c r="U217"/>
      <c r="V217"/>
      <c r="W217"/>
    </row>
    <row r="218" spans="1:23" s="64" customFormat="1" outlineLevel="1">
      <c r="A218" s="65"/>
      <c r="B218" s="160"/>
      <c r="C218" s="161"/>
      <c r="D218" s="150"/>
      <c r="E218" s="162"/>
      <c r="F218" s="152"/>
      <c r="G218"/>
      <c r="H218"/>
      <c r="I218"/>
      <c r="J218"/>
      <c r="K218"/>
      <c r="L218"/>
      <c r="M218"/>
      <c r="N218"/>
      <c r="O218"/>
      <c r="P218"/>
      <c r="Q218"/>
      <c r="R218"/>
      <c r="S218"/>
      <c r="T218"/>
      <c r="U218"/>
      <c r="V218"/>
      <c r="W218"/>
    </row>
    <row r="219" spans="1:23" s="64" customFormat="1" outlineLevel="1">
      <c r="A219" s="65"/>
      <c r="B219" s="148"/>
      <c r="C219" s="149"/>
      <c r="D219" s="150"/>
      <c r="E219" s="151"/>
      <c r="F219" s="152"/>
      <c r="G219"/>
      <c r="H219"/>
      <c r="I219"/>
      <c r="J219"/>
      <c r="K219"/>
      <c r="L219"/>
      <c r="M219"/>
      <c r="N219"/>
      <c r="O219"/>
      <c r="P219"/>
      <c r="Q219"/>
      <c r="R219"/>
      <c r="S219"/>
      <c r="T219"/>
      <c r="U219"/>
      <c r="V219"/>
      <c r="W219"/>
    </row>
    <row r="220" spans="1:23" s="64" customFormat="1" outlineLevel="1">
      <c r="A220" s="65"/>
      <c r="B220" s="160"/>
      <c r="C220" s="161"/>
      <c r="D220" s="150"/>
      <c r="E220" s="162"/>
      <c r="F220" s="152"/>
      <c r="G220"/>
      <c r="H220"/>
      <c r="I220"/>
      <c r="J220"/>
      <c r="K220"/>
      <c r="L220"/>
      <c r="M220"/>
      <c r="N220"/>
      <c r="O220"/>
      <c r="P220"/>
      <c r="Q220"/>
      <c r="R220"/>
      <c r="S220"/>
      <c r="T220"/>
      <c r="U220"/>
      <c r="V220"/>
      <c r="W220"/>
    </row>
    <row r="221" spans="1:23" s="64" customFormat="1" outlineLevel="1">
      <c r="A221" s="65"/>
      <c r="B221" s="148"/>
      <c r="C221" s="149"/>
      <c r="D221" s="150"/>
      <c r="E221" s="151"/>
      <c r="F221" s="152"/>
      <c r="G221"/>
      <c r="H221"/>
      <c r="I221"/>
      <c r="J221"/>
      <c r="K221"/>
      <c r="L221"/>
      <c r="M221"/>
      <c r="N221"/>
      <c r="O221"/>
      <c r="P221"/>
      <c r="Q221"/>
      <c r="R221"/>
      <c r="S221"/>
      <c r="T221"/>
      <c r="U221"/>
      <c r="V221"/>
      <c r="W221"/>
    </row>
    <row r="222" spans="1:23" s="64" customFormat="1" outlineLevel="1">
      <c r="A222" s="65"/>
      <c r="B222" s="160"/>
      <c r="C222" s="161"/>
      <c r="D222" s="150"/>
      <c r="E222" s="162"/>
      <c r="F222" s="152"/>
      <c r="G222"/>
      <c r="H222"/>
      <c r="I222"/>
      <c r="J222"/>
      <c r="K222"/>
      <c r="L222"/>
      <c r="M222"/>
      <c r="N222"/>
      <c r="O222"/>
      <c r="P222"/>
      <c r="Q222"/>
      <c r="R222"/>
      <c r="S222"/>
      <c r="T222"/>
      <c r="U222"/>
      <c r="V222"/>
      <c r="W222"/>
    </row>
    <row r="223" spans="1:23" s="64" customFormat="1" outlineLevel="1">
      <c r="A223" s="65"/>
      <c r="B223" s="148"/>
      <c r="C223" s="149"/>
      <c r="D223" s="150"/>
      <c r="E223" s="151"/>
      <c r="F223" s="152"/>
      <c r="G223"/>
      <c r="H223"/>
      <c r="I223"/>
      <c r="J223"/>
      <c r="K223"/>
      <c r="L223"/>
      <c r="M223"/>
      <c r="N223"/>
      <c r="O223"/>
      <c r="P223"/>
      <c r="Q223"/>
      <c r="R223"/>
      <c r="S223"/>
      <c r="T223"/>
      <c r="U223"/>
      <c r="V223"/>
      <c r="W223"/>
    </row>
    <row r="224" spans="1:23" s="64" customFormat="1" outlineLevel="1">
      <c r="A224" s="65"/>
      <c r="B224" s="160"/>
      <c r="C224" s="161"/>
      <c r="D224" s="150"/>
      <c r="E224" s="162"/>
      <c r="F224" s="152"/>
      <c r="G224"/>
      <c r="H224"/>
      <c r="I224"/>
      <c r="J224"/>
      <c r="K224"/>
      <c r="L224"/>
      <c r="M224"/>
      <c r="N224"/>
      <c r="O224"/>
      <c r="P224"/>
      <c r="Q224"/>
      <c r="R224"/>
      <c r="S224"/>
      <c r="T224"/>
      <c r="U224"/>
      <c r="V224"/>
      <c r="W224"/>
    </row>
    <row r="225" spans="1:23" s="64" customFormat="1" outlineLevel="1">
      <c r="A225" s="65"/>
      <c r="B225" s="148"/>
      <c r="C225" s="149"/>
      <c r="D225" s="150"/>
      <c r="E225" s="151"/>
      <c r="F225" s="152"/>
      <c r="G225"/>
      <c r="H225"/>
      <c r="I225"/>
      <c r="J225"/>
      <c r="K225"/>
      <c r="L225"/>
      <c r="M225"/>
      <c r="N225"/>
      <c r="O225"/>
      <c r="P225"/>
      <c r="Q225"/>
      <c r="R225"/>
      <c r="S225"/>
      <c r="T225"/>
      <c r="U225"/>
      <c r="V225"/>
      <c r="W225"/>
    </row>
    <row r="226" spans="1:23" s="64" customFormat="1" outlineLevel="1">
      <c r="A226" s="65"/>
      <c r="B226" s="160"/>
      <c r="C226" s="161"/>
      <c r="D226" s="150"/>
      <c r="E226" s="162"/>
      <c r="F226" s="152"/>
      <c r="G226"/>
      <c r="H226"/>
      <c r="I226"/>
      <c r="J226"/>
      <c r="K226"/>
      <c r="L226"/>
      <c r="M226"/>
      <c r="N226"/>
      <c r="O226"/>
      <c r="P226"/>
      <c r="Q226"/>
      <c r="R226"/>
      <c r="S226"/>
      <c r="T226"/>
      <c r="U226"/>
      <c r="V226"/>
      <c r="W226"/>
    </row>
    <row r="227" spans="1:23" s="64" customFormat="1" outlineLevel="1">
      <c r="A227" s="65"/>
      <c r="B227" s="148"/>
      <c r="C227" s="149"/>
      <c r="D227" s="150"/>
      <c r="E227" s="151"/>
      <c r="F227" s="152"/>
      <c r="G227"/>
      <c r="H227"/>
      <c r="I227"/>
      <c r="J227"/>
      <c r="K227"/>
      <c r="L227"/>
      <c r="M227"/>
      <c r="N227"/>
      <c r="O227"/>
      <c r="P227"/>
      <c r="Q227"/>
      <c r="R227"/>
      <c r="S227"/>
      <c r="T227"/>
      <c r="U227"/>
      <c r="V227"/>
      <c r="W227"/>
    </row>
    <row r="228" spans="1:23" s="64" customFormat="1" outlineLevel="1">
      <c r="A228" s="65"/>
      <c r="B228" s="160"/>
      <c r="C228" s="161"/>
      <c r="D228" s="150"/>
      <c r="E228" s="162"/>
      <c r="F228" s="152"/>
      <c r="G228"/>
      <c r="H228"/>
      <c r="I228"/>
      <c r="J228"/>
      <c r="K228"/>
      <c r="L228"/>
      <c r="M228"/>
      <c r="N228"/>
      <c r="O228"/>
      <c r="P228"/>
      <c r="Q228"/>
      <c r="R228"/>
      <c r="S228"/>
      <c r="T228"/>
      <c r="U228"/>
      <c r="V228"/>
      <c r="W228"/>
    </row>
    <row r="229" spans="1:23" s="64" customFormat="1" outlineLevel="1">
      <c r="A229" s="65"/>
      <c r="B229" s="148"/>
      <c r="C229" s="149"/>
      <c r="D229" s="150"/>
      <c r="E229" s="151"/>
      <c r="F229" s="152"/>
      <c r="G229"/>
      <c r="H229"/>
      <c r="I229"/>
      <c r="J229"/>
      <c r="K229"/>
      <c r="L229"/>
      <c r="M229"/>
      <c r="N229"/>
      <c r="O229"/>
      <c r="P229"/>
      <c r="Q229"/>
      <c r="R229"/>
      <c r="S229"/>
      <c r="T229"/>
      <c r="U229"/>
      <c r="V229"/>
      <c r="W229"/>
    </row>
    <row r="230" spans="1:23" s="64" customFormat="1" outlineLevel="1">
      <c r="A230" s="65"/>
      <c r="B230" s="160"/>
      <c r="C230" s="161"/>
      <c r="D230" s="150"/>
      <c r="E230" s="162"/>
      <c r="F230" s="152"/>
      <c r="G230"/>
      <c r="H230"/>
      <c r="I230"/>
      <c r="J230"/>
      <c r="K230"/>
      <c r="L230"/>
      <c r="M230"/>
      <c r="N230"/>
      <c r="O230"/>
      <c r="P230"/>
      <c r="Q230"/>
      <c r="R230"/>
      <c r="S230"/>
      <c r="T230"/>
      <c r="U230"/>
      <c r="V230"/>
      <c r="W230"/>
    </row>
    <row r="231" spans="1:23" s="64" customFormat="1" outlineLevel="1">
      <c r="A231" s="65"/>
      <c r="B231" s="148"/>
      <c r="C231" s="149"/>
      <c r="D231" s="150"/>
      <c r="E231" s="151"/>
      <c r="F231" s="152"/>
      <c r="G231"/>
      <c r="H231"/>
      <c r="I231"/>
      <c r="J231"/>
      <c r="K231"/>
      <c r="L231"/>
      <c r="M231"/>
      <c r="N231"/>
      <c r="O231"/>
      <c r="P231"/>
      <c r="Q231"/>
      <c r="R231"/>
      <c r="S231"/>
      <c r="T231"/>
      <c r="U231"/>
      <c r="V231"/>
      <c r="W231"/>
    </row>
    <row r="232" spans="1:23" s="64" customFormat="1" outlineLevel="1">
      <c r="A232" s="65"/>
      <c r="B232" s="160"/>
      <c r="C232" s="161"/>
      <c r="D232" s="150"/>
      <c r="E232" s="162"/>
      <c r="F232" s="152"/>
      <c r="G232"/>
      <c r="H232"/>
      <c r="I232"/>
      <c r="J232"/>
      <c r="K232"/>
      <c r="L232"/>
      <c r="M232"/>
      <c r="N232"/>
      <c r="O232"/>
      <c r="P232"/>
      <c r="Q232"/>
      <c r="R232"/>
      <c r="S232"/>
      <c r="T232"/>
      <c r="U232"/>
      <c r="V232"/>
      <c r="W232"/>
    </row>
    <row r="233" spans="1:23" s="64" customFormat="1" outlineLevel="1">
      <c r="A233" s="65"/>
      <c r="B233" s="148"/>
      <c r="C233" s="149"/>
      <c r="D233" s="150"/>
      <c r="E233" s="151"/>
      <c r="F233" s="152"/>
      <c r="G233"/>
      <c r="H233"/>
      <c r="I233"/>
      <c r="J233"/>
      <c r="K233"/>
      <c r="L233"/>
      <c r="M233"/>
      <c r="N233"/>
      <c r="O233"/>
      <c r="P233"/>
      <c r="Q233"/>
      <c r="R233"/>
      <c r="S233"/>
      <c r="T233"/>
      <c r="U233"/>
      <c r="V233"/>
      <c r="W233"/>
    </row>
    <row r="234" spans="1:23" s="64" customFormat="1" outlineLevel="1">
      <c r="A234" s="65"/>
      <c r="B234" s="160"/>
      <c r="C234" s="161"/>
      <c r="D234" s="150"/>
      <c r="E234" s="162"/>
      <c r="F234" s="152"/>
      <c r="G234"/>
      <c r="H234"/>
      <c r="I234"/>
      <c r="J234"/>
      <c r="K234"/>
      <c r="L234"/>
      <c r="M234"/>
      <c r="N234"/>
      <c r="O234"/>
      <c r="P234"/>
      <c r="Q234"/>
      <c r="R234"/>
      <c r="S234"/>
      <c r="T234"/>
      <c r="U234"/>
      <c r="V234"/>
      <c r="W234"/>
    </row>
    <row r="235" spans="1:23" s="64" customFormat="1" outlineLevel="1">
      <c r="A235" s="65"/>
      <c r="B235" s="148"/>
      <c r="C235" s="149"/>
      <c r="D235" s="150"/>
      <c r="E235" s="151"/>
      <c r="F235" s="152"/>
      <c r="G235"/>
      <c r="H235"/>
      <c r="I235"/>
      <c r="J235"/>
      <c r="K235"/>
      <c r="L235"/>
      <c r="M235"/>
      <c r="N235"/>
      <c r="O235"/>
      <c r="P235"/>
      <c r="Q235"/>
      <c r="R235"/>
      <c r="S235"/>
      <c r="T235"/>
      <c r="U235"/>
      <c r="V235"/>
      <c r="W235"/>
    </row>
    <row r="236" spans="1:23" s="64" customFormat="1" outlineLevel="1">
      <c r="A236" s="65"/>
      <c r="B236" s="160"/>
      <c r="C236" s="161"/>
      <c r="D236" s="150"/>
      <c r="E236" s="162"/>
      <c r="F236" s="152"/>
      <c r="G236"/>
      <c r="H236"/>
      <c r="I236"/>
      <c r="J236"/>
      <c r="K236"/>
      <c r="L236"/>
      <c r="M236"/>
      <c r="N236"/>
      <c r="O236"/>
      <c r="P236"/>
      <c r="Q236"/>
      <c r="R236"/>
      <c r="S236"/>
      <c r="T236"/>
      <c r="U236"/>
      <c r="V236"/>
      <c r="W236"/>
    </row>
    <row r="237" spans="1:23" s="64" customFormat="1" outlineLevel="1">
      <c r="A237" s="65"/>
      <c r="B237" s="148"/>
      <c r="C237" s="149"/>
      <c r="D237" s="150"/>
      <c r="E237" s="151"/>
      <c r="F237" s="152"/>
      <c r="G237"/>
      <c r="H237"/>
      <c r="I237"/>
      <c r="J237"/>
      <c r="K237"/>
      <c r="L237"/>
      <c r="M237"/>
      <c r="N237"/>
      <c r="O237"/>
      <c r="P237"/>
      <c r="Q237"/>
      <c r="R237"/>
      <c r="S237"/>
      <c r="T237"/>
      <c r="U237"/>
      <c r="V237"/>
      <c r="W237"/>
    </row>
    <row r="238" spans="1:23" s="64" customFormat="1" outlineLevel="1">
      <c r="A238" s="65"/>
      <c r="B238" s="160"/>
      <c r="C238" s="161"/>
      <c r="D238" s="150"/>
      <c r="E238" s="162"/>
      <c r="F238" s="152"/>
      <c r="G238"/>
      <c r="H238"/>
      <c r="I238"/>
      <c r="J238"/>
      <c r="K238"/>
      <c r="L238"/>
      <c r="M238"/>
      <c r="N238"/>
      <c r="O238"/>
      <c r="P238"/>
      <c r="Q238"/>
      <c r="R238"/>
      <c r="S238"/>
      <c r="T238"/>
      <c r="U238"/>
      <c r="V238"/>
      <c r="W238"/>
    </row>
    <row r="239" spans="1:23" s="64" customFormat="1" outlineLevel="1">
      <c r="A239" s="65"/>
      <c r="B239" s="148"/>
      <c r="C239" s="149"/>
      <c r="D239" s="150"/>
      <c r="E239" s="151"/>
      <c r="F239" s="152"/>
      <c r="G239"/>
      <c r="H239"/>
      <c r="I239"/>
      <c r="J239"/>
      <c r="K239"/>
      <c r="L239"/>
      <c r="M239"/>
      <c r="N239"/>
      <c r="O239"/>
      <c r="P239"/>
      <c r="Q239"/>
      <c r="R239"/>
      <c r="S239"/>
      <c r="T239"/>
      <c r="U239"/>
      <c r="V239"/>
      <c r="W239"/>
    </row>
    <row r="240" spans="1:23" s="64" customFormat="1" outlineLevel="1">
      <c r="A240" s="65"/>
      <c r="B240" s="160"/>
      <c r="C240" s="161"/>
      <c r="D240" s="150"/>
      <c r="E240" s="162"/>
      <c r="F240" s="152"/>
      <c r="G240"/>
      <c r="H240"/>
      <c r="I240"/>
      <c r="J240"/>
      <c r="K240"/>
      <c r="L240"/>
      <c r="M240"/>
      <c r="N240"/>
      <c r="O240"/>
      <c r="P240"/>
      <c r="Q240"/>
      <c r="R240"/>
      <c r="S240"/>
      <c r="T240"/>
      <c r="U240"/>
      <c r="V240"/>
      <c r="W240"/>
    </row>
    <row r="241" spans="1:23" s="64" customFormat="1" outlineLevel="1">
      <c r="A241" s="65"/>
      <c r="B241" s="148"/>
      <c r="C241" s="149"/>
      <c r="D241" s="150"/>
      <c r="E241" s="151"/>
      <c r="F241" s="152"/>
      <c r="G241"/>
      <c r="H241"/>
      <c r="I241"/>
      <c r="J241"/>
      <c r="K241"/>
      <c r="L241"/>
      <c r="M241"/>
      <c r="N241"/>
      <c r="O241"/>
      <c r="P241"/>
      <c r="Q241"/>
      <c r="R241"/>
      <c r="S241"/>
      <c r="T241"/>
      <c r="U241"/>
      <c r="V241"/>
      <c r="W241"/>
    </row>
    <row r="242" spans="1:23" s="64" customFormat="1" outlineLevel="1">
      <c r="A242" s="65"/>
      <c r="B242" s="160"/>
      <c r="C242" s="161"/>
      <c r="D242" s="150"/>
      <c r="E242" s="162"/>
      <c r="F242" s="152"/>
      <c r="G242"/>
      <c r="H242"/>
      <c r="I242"/>
      <c r="J242"/>
      <c r="K242"/>
      <c r="L242"/>
      <c r="M242"/>
      <c r="N242"/>
      <c r="O242"/>
      <c r="P242"/>
      <c r="Q242"/>
      <c r="R242"/>
      <c r="S242"/>
      <c r="T242"/>
      <c r="U242"/>
      <c r="V242"/>
      <c r="W242"/>
    </row>
    <row r="243" spans="1:23" s="64" customFormat="1" outlineLevel="1">
      <c r="A243" s="65"/>
      <c r="B243" s="148"/>
      <c r="C243" s="149"/>
      <c r="D243" s="150"/>
      <c r="E243" s="151"/>
      <c r="F243" s="152"/>
      <c r="G243"/>
      <c r="H243"/>
      <c r="I243"/>
      <c r="J243"/>
      <c r="K243"/>
      <c r="L243"/>
      <c r="M243"/>
      <c r="N243"/>
      <c r="O243"/>
      <c r="P243"/>
      <c r="Q243"/>
      <c r="R243"/>
      <c r="S243"/>
      <c r="T243"/>
      <c r="U243"/>
      <c r="V243"/>
      <c r="W243"/>
    </row>
    <row r="244" spans="1:23" s="64" customFormat="1" outlineLevel="1">
      <c r="A244" s="65"/>
      <c r="B244" s="160"/>
      <c r="C244" s="161"/>
      <c r="D244" s="150"/>
      <c r="E244" s="162"/>
      <c r="F244" s="152"/>
      <c r="G244"/>
      <c r="H244"/>
      <c r="I244"/>
      <c r="J244"/>
      <c r="K244"/>
      <c r="L244"/>
      <c r="M244"/>
      <c r="N244"/>
      <c r="O244"/>
      <c r="P244"/>
      <c r="Q244"/>
      <c r="R244"/>
      <c r="S244"/>
      <c r="T244"/>
      <c r="U244"/>
      <c r="V244"/>
      <c r="W244"/>
    </row>
    <row r="245" spans="1:23" s="64" customFormat="1" outlineLevel="1">
      <c r="A245" s="65"/>
      <c r="B245" s="148"/>
      <c r="C245" s="149"/>
      <c r="D245" s="150"/>
      <c r="E245" s="151"/>
      <c r="F245" s="152"/>
      <c r="G245"/>
      <c r="H245"/>
      <c r="I245"/>
      <c r="J245"/>
      <c r="K245"/>
      <c r="L245"/>
      <c r="M245"/>
      <c r="N245"/>
      <c r="O245"/>
      <c r="P245"/>
      <c r="Q245"/>
      <c r="R245"/>
      <c r="S245"/>
      <c r="T245"/>
      <c r="U245"/>
      <c r="V245"/>
      <c r="W245"/>
    </row>
    <row r="246" spans="1:23" s="64" customFormat="1" outlineLevel="1">
      <c r="A246" s="65"/>
      <c r="B246" s="160"/>
      <c r="C246" s="161"/>
      <c r="D246" s="150"/>
      <c r="E246" s="162"/>
      <c r="F246" s="152"/>
      <c r="G246"/>
      <c r="H246"/>
      <c r="I246"/>
      <c r="J246"/>
      <c r="K246"/>
      <c r="L246"/>
      <c r="M246"/>
      <c r="N246"/>
      <c r="O246"/>
      <c r="P246"/>
      <c r="Q246"/>
      <c r="R246"/>
      <c r="S246"/>
      <c r="T246"/>
      <c r="U246"/>
      <c r="V246"/>
      <c r="W246"/>
    </row>
    <row r="247" spans="1:23" s="64" customFormat="1" outlineLevel="1">
      <c r="A247" s="65"/>
      <c r="B247" s="148"/>
      <c r="C247" s="149"/>
      <c r="D247" s="150"/>
      <c r="E247" s="151"/>
      <c r="F247" s="152"/>
      <c r="G247"/>
      <c r="H247"/>
      <c r="I247"/>
      <c r="J247"/>
      <c r="K247"/>
      <c r="L247"/>
      <c r="M247"/>
      <c r="N247"/>
      <c r="O247"/>
      <c r="P247"/>
      <c r="Q247"/>
      <c r="R247"/>
      <c r="S247"/>
      <c r="T247"/>
      <c r="U247"/>
      <c r="V247"/>
      <c r="W247"/>
    </row>
    <row r="248" spans="1:23" s="64" customFormat="1" outlineLevel="1">
      <c r="A248" s="65"/>
      <c r="B248" s="160"/>
      <c r="C248" s="161"/>
      <c r="D248" s="150"/>
      <c r="E248" s="162"/>
      <c r="F248" s="152"/>
      <c r="G248"/>
      <c r="H248"/>
      <c r="I248"/>
      <c r="J248"/>
      <c r="K248"/>
      <c r="L248"/>
      <c r="M248"/>
      <c r="N248"/>
      <c r="O248"/>
      <c r="P248"/>
      <c r="Q248"/>
      <c r="R248"/>
      <c r="S248"/>
      <c r="T248"/>
      <c r="U248"/>
      <c r="V248"/>
      <c r="W248"/>
    </row>
    <row r="249" spans="1:23" s="64" customFormat="1" outlineLevel="1">
      <c r="A249" s="65"/>
      <c r="B249" s="148"/>
      <c r="C249" s="149"/>
      <c r="D249" s="150"/>
      <c r="E249" s="151"/>
      <c r="F249" s="152"/>
      <c r="G249"/>
      <c r="H249"/>
      <c r="I249"/>
      <c r="J249"/>
      <c r="K249"/>
      <c r="L249"/>
      <c r="M249"/>
      <c r="N249"/>
      <c r="O249"/>
      <c r="P249"/>
      <c r="Q249"/>
      <c r="R249"/>
      <c r="S249"/>
      <c r="T249"/>
      <c r="U249"/>
      <c r="V249"/>
      <c r="W249"/>
    </row>
    <row r="250" spans="1:23" s="64" customFormat="1" outlineLevel="1">
      <c r="A250" s="65"/>
      <c r="B250" s="160"/>
      <c r="C250" s="161"/>
      <c r="D250" s="150"/>
      <c r="E250" s="162"/>
      <c r="F250" s="152"/>
      <c r="G250"/>
      <c r="H250"/>
      <c r="I250"/>
      <c r="J250"/>
      <c r="K250"/>
      <c r="L250"/>
      <c r="M250"/>
      <c r="N250"/>
      <c r="O250"/>
      <c r="P250"/>
      <c r="Q250"/>
      <c r="R250"/>
      <c r="S250"/>
      <c r="T250"/>
      <c r="U250"/>
      <c r="V250"/>
      <c r="W250"/>
    </row>
    <row r="251" spans="1:23" s="64" customFormat="1" outlineLevel="1">
      <c r="A251" s="65"/>
      <c r="B251" s="148"/>
      <c r="C251" s="149"/>
      <c r="D251" s="150"/>
      <c r="E251" s="151"/>
      <c r="F251" s="152"/>
      <c r="G251"/>
      <c r="H251"/>
      <c r="I251"/>
      <c r="J251"/>
      <c r="K251"/>
      <c r="L251"/>
      <c r="M251"/>
      <c r="N251"/>
      <c r="O251"/>
      <c r="P251"/>
      <c r="Q251"/>
      <c r="R251"/>
      <c r="S251"/>
      <c r="T251"/>
      <c r="U251"/>
      <c r="V251"/>
      <c r="W251"/>
    </row>
    <row r="252" spans="1:23" s="64" customFormat="1" outlineLevel="1">
      <c r="A252" s="65"/>
      <c r="B252" s="160"/>
      <c r="C252" s="161"/>
      <c r="D252" s="150"/>
      <c r="E252" s="162"/>
      <c r="F252" s="152"/>
      <c r="G252"/>
      <c r="H252"/>
      <c r="I252"/>
      <c r="J252"/>
      <c r="K252"/>
      <c r="L252"/>
      <c r="M252"/>
      <c r="N252"/>
      <c r="O252"/>
      <c r="P252"/>
      <c r="Q252"/>
      <c r="R252"/>
      <c r="S252"/>
      <c r="T252"/>
      <c r="U252"/>
      <c r="V252"/>
      <c r="W252"/>
    </row>
    <row r="253" spans="1:23" s="64" customFormat="1" outlineLevel="1">
      <c r="A253" s="65"/>
      <c r="B253" s="148"/>
      <c r="C253" s="149"/>
      <c r="D253" s="150"/>
      <c r="E253" s="151"/>
      <c r="F253" s="152"/>
      <c r="G253"/>
      <c r="H253"/>
      <c r="I253"/>
      <c r="J253"/>
      <c r="K253"/>
      <c r="L253"/>
      <c r="M253"/>
      <c r="N253"/>
      <c r="O253"/>
      <c r="P253"/>
      <c r="Q253"/>
      <c r="R253"/>
      <c r="S253"/>
      <c r="T253"/>
      <c r="U253"/>
      <c r="V253"/>
      <c r="W253"/>
    </row>
    <row r="254" spans="1:23" s="64" customFormat="1" outlineLevel="1">
      <c r="A254" s="65"/>
      <c r="B254" s="160"/>
      <c r="C254" s="161"/>
      <c r="D254" s="150"/>
      <c r="E254" s="162"/>
      <c r="F254" s="152"/>
      <c r="G254"/>
      <c r="H254"/>
      <c r="I254"/>
      <c r="J254"/>
      <c r="K254"/>
      <c r="L254"/>
      <c r="M254"/>
      <c r="N254"/>
      <c r="O254"/>
      <c r="P254"/>
      <c r="Q254"/>
      <c r="R254"/>
      <c r="S254"/>
      <c r="T254"/>
      <c r="U254"/>
      <c r="V254"/>
      <c r="W254"/>
    </row>
    <row r="255" spans="1:23" s="64" customFormat="1" outlineLevel="1">
      <c r="A255" s="65"/>
      <c r="B255" s="148"/>
      <c r="C255" s="149"/>
      <c r="D255" s="150"/>
      <c r="E255" s="151"/>
      <c r="F255" s="152"/>
      <c r="G255"/>
      <c r="H255"/>
      <c r="I255"/>
      <c r="J255"/>
      <c r="K255"/>
      <c r="L255"/>
      <c r="M255"/>
      <c r="N255"/>
      <c r="O255"/>
      <c r="P255"/>
      <c r="Q255"/>
      <c r="R255"/>
      <c r="S255"/>
      <c r="T255"/>
      <c r="U255"/>
      <c r="V255"/>
      <c r="W255"/>
    </row>
    <row r="256" spans="1:23" s="64" customFormat="1" outlineLevel="1">
      <c r="A256" s="65"/>
      <c r="B256" s="160"/>
      <c r="C256" s="161"/>
      <c r="D256" s="150"/>
      <c r="E256" s="162"/>
      <c r="F256" s="152"/>
      <c r="G256"/>
      <c r="H256"/>
      <c r="I256"/>
      <c r="J256"/>
      <c r="K256"/>
      <c r="L256"/>
      <c r="M256"/>
      <c r="N256"/>
      <c r="O256"/>
      <c r="P256"/>
      <c r="Q256"/>
      <c r="R256"/>
      <c r="S256"/>
      <c r="T256"/>
      <c r="U256"/>
      <c r="V256"/>
      <c r="W256"/>
    </row>
    <row r="257" spans="1:23" s="64" customFormat="1" outlineLevel="1">
      <c r="A257" s="65"/>
      <c r="B257" s="148"/>
      <c r="C257" s="149"/>
      <c r="D257" s="150"/>
      <c r="E257" s="151"/>
      <c r="F257" s="152"/>
      <c r="G257"/>
      <c r="H257"/>
      <c r="I257"/>
      <c r="J257"/>
      <c r="K257"/>
      <c r="L257"/>
      <c r="M257"/>
      <c r="N257"/>
      <c r="O257"/>
      <c r="P257"/>
      <c r="Q257"/>
      <c r="R257"/>
      <c r="S257"/>
      <c r="T257"/>
      <c r="U257"/>
      <c r="V257"/>
      <c r="W257"/>
    </row>
    <row r="258" spans="1:23" s="64" customFormat="1" outlineLevel="1">
      <c r="A258" s="65"/>
      <c r="B258" s="160"/>
      <c r="C258" s="161"/>
      <c r="D258" s="150"/>
      <c r="E258" s="162"/>
      <c r="F258" s="152"/>
      <c r="G258"/>
      <c r="H258"/>
      <c r="I258"/>
      <c r="J258"/>
      <c r="K258"/>
      <c r="L258"/>
      <c r="M258"/>
      <c r="N258"/>
      <c r="O258"/>
      <c r="P258"/>
      <c r="Q258"/>
      <c r="R258"/>
      <c r="S258"/>
      <c r="T258"/>
      <c r="U258"/>
      <c r="V258"/>
      <c r="W258"/>
    </row>
    <row r="259" spans="1:23" s="64" customFormat="1" outlineLevel="1">
      <c r="A259" s="65"/>
      <c r="B259" s="148"/>
      <c r="C259" s="149"/>
      <c r="D259" s="150"/>
      <c r="E259" s="151"/>
      <c r="F259" s="152"/>
      <c r="G259"/>
      <c r="H259"/>
      <c r="I259"/>
      <c r="J259"/>
      <c r="K259"/>
      <c r="L259"/>
      <c r="M259"/>
      <c r="N259"/>
      <c r="O259"/>
      <c r="P259"/>
      <c r="Q259"/>
      <c r="R259"/>
      <c r="S259"/>
      <c r="T259"/>
      <c r="U259"/>
      <c r="V259"/>
      <c r="W259"/>
    </row>
    <row r="260" spans="1:23" s="64" customFormat="1" outlineLevel="1">
      <c r="A260" s="65"/>
      <c r="B260" s="160"/>
      <c r="C260" s="161"/>
      <c r="D260" s="150"/>
      <c r="E260" s="162"/>
      <c r="F260" s="152"/>
      <c r="G260"/>
      <c r="H260"/>
      <c r="I260"/>
      <c r="J260"/>
      <c r="K260"/>
      <c r="L260"/>
      <c r="M260"/>
      <c r="N260"/>
      <c r="O260"/>
      <c r="P260"/>
      <c r="Q260"/>
      <c r="R260"/>
      <c r="S260"/>
      <c r="T260"/>
      <c r="U260"/>
      <c r="V260"/>
      <c r="W260"/>
    </row>
    <row r="261" spans="1:23" s="64" customFormat="1" outlineLevel="1">
      <c r="A261" s="65"/>
      <c r="B261" s="148"/>
      <c r="C261" s="149"/>
      <c r="D261" s="150"/>
      <c r="E261" s="151"/>
      <c r="F261" s="152"/>
      <c r="G261"/>
      <c r="H261"/>
      <c r="I261"/>
      <c r="J261"/>
      <c r="K261"/>
      <c r="L261"/>
      <c r="M261"/>
      <c r="N261"/>
      <c r="O261"/>
      <c r="P261"/>
      <c r="Q261"/>
      <c r="R261"/>
      <c r="S261"/>
      <c r="T261"/>
      <c r="U261"/>
      <c r="V261"/>
      <c r="W261"/>
    </row>
    <row r="262" spans="1:23" s="64" customFormat="1" outlineLevel="1">
      <c r="A262" s="65"/>
      <c r="B262" s="160"/>
      <c r="C262" s="161"/>
      <c r="D262" s="150"/>
      <c r="E262" s="162"/>
      <c r="F262" s="152"/>
      <c r="G262"/>
      <c r="H262"/>
      <c r="I262"/>
      <c r="J262"/>
      <c r="K262"/>
      <c r="L262"/>
      <c r="M262"/>
      <c r="N262"/>
      <c r="O262"/>
      <c r="P262"/>
      <c r="Q262"/>
      <c r="R262"/>
      <c r="S262"/>
      <c r="T262"/>
      <c r="U262"/>
      <c r="V262"/>
      <c r="W262"/>
    </row>
    <row r="263" spans="1:23" s="64" customFormat="1" outlineLevel="1">
      <c r="A263" s="65"/>
      <c r="B263" s="148"/>
      <c r="C263" s="149"/>
      <c r="D263" s="150"/>
      <c r="E263" s="151"/>
      <c r="F263" s="152"/>
      <c r="G263"/>
      <c r="H263"/>
      <c r="I263"/>
      <c r="J263"/>
      <c r="K263"/>
      <c r="L263"/>
      <c r="M263"/>
      <c r="N263"/>
      <c r="O263"/>
      <c r="P263"/>
      <c r="Q263"/>
      <c r="R263"/>
      <c r="S263"/>
      <c r="T263"/>
      <c r="U263"/>
      <c r="V263"/>
      <c r="W263"/>
    </row>
    <row r="264" spans="1:23" s="64" customFormat="1" outlineLevel="1">
      <c r="A264" s="65"/>
      <c r="B264" s="160"/>
      <c r="C264" s="161"/>
      <c r="D264" s="150"/>
      <c r="E264" s="162"/>
      <c r="F264" s="152"/>
      <c r="G264"/>
      <c r="H264"/>
      <c r="I264"/>
      <c r="J264"/>
      <c r="K264"/>
      <c r="L264"/>
      <c r="M264"/>
      <c r="N264"/>
      <c r="O264"/>
      <c r="P264"/>
      <c r="Q264"/>
      <c r="R264"/>
      <c r="S264"/>
      <c r="T264"/>
      <c r="U264"/>
      <c r="V264"/>
      <c r="W264"/>
    </row>
    <row r="265" spans="1:23" s="64" customFormat="1" outlineLevel="1">
      <c r="A265" s="65"/>
      <c r="B265" s="148"/>
      <c r="C265" s="149"/>
      <c r="D265" s="150"/>
      <c r="E265" s="151"/>
      <c r="F265" s="152"/>
      <c r="G265"/>
      <c r="H265"/>
      <c r="I265"/>
      <c r="J265"/>
      <c r="K265"/>
      <c r="L265"/>
      <c r="M265"/>
      <c r="N265"/>
      <c r="O265"/>
      <c r="P265"/>
      <c r="Q265"/>
      <c r="R265"/>
      <c r="S265"/>
      <c r="T265"/>
      <c r="U265"/>
      <c r="V265"/>
      <c r="W265"/>
    </row>
    <row r="266" spans="1:23" s="64" customFormat="1" outlineLevel="1">
      <c r="A266" s="65"/>
      <c r="B266" s="160"/>
      <c r="C266" s="161"/>
      <c r="D266" s="150"/>
      <c r="E266" s="162"/>
      <c r="F266" s="152"/>
      <c r="G266"/>
      <c r="H266"/>
      <c r="I266"/>
      <c r="J266"/>
      <c r="K266"/>
      <c r="L266"/>
      <c r="M266"/>
      <c r="N266"/>
      <c r="O266"/>
      <c r="P266"/>
      <c r="Q266"/>
      <c r="R266"/>
      <c r="S266"/>
      <c r="T266"/>
      <c r="U266"/>
      <c r="V266"/>
      <c r="W266"/>
    </row>
    <row r="267" spans="1:23" s="64" customFormat="1" outlineLevel="1">
      <c r="A267" s="65"/>
      <c r="B267" s="148"/>
      <c r="C267" s="149"/>
      <c r="D267" s="150"/>
      <c r="E267" s="151"/>
      <c r="F267" s="152"/>
      <c r="G267"/>
      <c r="H267"/>
      <c r="I267"/>
      <c r="J267"/>
      <c r="K267"/>
      <c r="L267"/>
      <c r="M267"/>
      <c r="N267"/>
      <c r="O267"/>
      <c r="P267"/>
      <c r="Q267"/>
      <c r="R267"/>
      <c r="S267"/>
      <c r="T267"/>
      <c r="U267"/>
      <c r="V267"/>
      <c r="W267"/>
    </row>
    <row r="268" spans="1:23" s="64" customFormat="1" outlineLevel="1">
      <c r="A268" s="65"/>
      <c r="B268" s="160"/>
      <c r="C268" s="161"/>
      <c r="D268" s="150"/>
      <c r="E268" s="162"/>
      <c r="F268" s="152"/>
      <c r="G268"/>
      <c r="H268"/>
      <c r="I268"/>
      <c r="J268"/>
      <c r="K268"/>
      <c r="L268"/>
      <c r="M268"/>
      <c r="N268"/>
      <c r="O268"/>
      <c r="P268"/>
      <c r="Q268"/>
      <c r="R268"/>
      <c r="S268"/>
      <c r="T268"/>
      <c r="U268"/>
      <c r="V268"/>
      <c r="W268"/>
    </row>
    <row r="269" spans="1:23" s="64" customFormat="1" outlineLevel="1">
      <c r="A269" s="65"/>
      <c r="B269" s="148"/>
      <c r="C269" s="149"/>
      <c r="D269" s="150"/>
      <c r="E269" s="151"/>
      <c r="F269" s="152"/>
      <c r="G269"/>
      <c r="H269"/>
      <c r="I269"/>
      <c r="J269"/>
      <c r="K269"/>
      <c r="L269"/>
      <c r="M269"/>
      <c r="N269"/>
      <c r="O269"/>
      <c r="P269"/>
      <c r="Q269"/>
      <c r="R269"/>
      <c r="S269"/>
      <c r="T269"/>
      <c r="U269"/>
      <c r="V269"/>
      <c r="W269"/>
    </row>
    <row r="270" spans="1:23" s="64" customFormat="1" outlineLevel="1">
      <c r="A270" s="65"/>
      <c r="B270" s="160"/>
      <c r="C270" s="161"/>
      <c r="D270" s="150"/>
      <c r="E270" s="162"/>
      <c r="F270" s="152"/>
      <c r="G270"/>
      <c r="H270"/>
      <c r="I270"/>
      <c r="J270"/>
      <c r="K270"/>
      <c r="L270"/>
      <c r="M270"/>
      <c r="N270"/>
      <c r="O270"/>
      <c r="P270"/>
      <c r="Q270"/>
      <c r="R270"/>
      <c r="S270"/>
      <c r="T270"/>
      <c r="U270"/>
      <c r="V270"/>
      <c r="W270"/>
    </row>
    <row r="271" spans="1:23" s="64" customFormat="1" outlineLevel="1">
      <c r="A271" s="65"/>
      <c r="B271" s="148"/>
      <c r="C271" s="149"/>
      <c r="D271" s="150"/>
      <c r="E271" s="151"/>
      <c r="F271" s="152"/>
      <c r="G271"/>
      <c r="H271"/>
      <c r="I271"/>
      <c r="J271"/>
      <c r="K271"/>
      <c r="L271"/>
      <c r="M271"/>
      <c r="N271"/>
      <c r="O271"/>
      <c r="P271"/>
      <c r="Q271"/>
      <c r="R271"/>
      <c r="S271"/>
      <c r="T271"/>
      <c r="U271"/>
      <c r="V271"/>
      <c r="W271"/>
    </row>
    <row r="272" spans="1:23" s="64" customFormat="1" outlineLevel="1">
      <c r="A272" s="65"/>
      <c r="B272" s="160"/>
      <c r="C272" s="161"/>
      <c r="D272" s="150"/>
      <c r="E272" s="162"/>
      <c r="F272" s="152"/>
      <c r="G272"/>
      <c r="H272"/>
      <c r="I272"/>
      <c r="J272"/>
      <c r="K272"/>
      <c r="L272"/>
      <c r="M272"/>
      <c r="N272"/>
      <c r="O272"/>
      <c r="P272"/>
      <c r="Q272"/>
      <c r="R272"/>
      <c r="S272"/>
      <c r="T272"/>
      <c r="U272"/>
      <c r="V272"/>
      <c r="W272"/>
    </row>
    <row r="273" spans="1:23" s="64" customFormat="1" outlineLevel="1">
      <c r="A273" s="65"/>
      <c r="B273" s="148"/>
      <c r="C273" s="149"/>
      <c r="D273" s="150"/>
      <c r="E273" s="151"/>
      <c r="F273" s="152"/>
      <c r="G273"/>
      <c r="H273"/>
      <c r="I273"/>
      <c r="J273"/>
      <c r="K273"/>
      <c r="L273"/>
      <c r="M273"/>
      <c r="N273"/>
      <c r="O273"/>
      <c r="P273"/>
      <c r="Q273"/>
      <c r="R273"/>
      <c r="S273"/>
      <c r="T273"/>
      <c r="U273"/>
      <c r="V273"/>
      <c r="W273"/>
    </row>
    <row r="274" spans="1:23" s="64" customFormat="1" outlineLevel="1">
      <c r="A274" s="65"/>
      <c r="B274" s="160"/>
      <c r="C274" s="161"/>
      <c r="D274" s="150"/>
      <c r="E274" s="162"/>
      <c r="F274" s="152"/>
      <c r="G274"/>
      <c r="H274"/>
      <c r="I274"/>
      <c r="J274"/>
      <c r="K274"/>
      <c r="L274"/>
      <c r="M274"/>
      <c r="N274"/>
      <c r="O274"/>
      <c r="P274"/>
      <c r="Q274"/>
      <c r="R274"/>
      <c r="S274"/>
      <c r="T274"/>
      <c r="U274"/>
      <c r="V274"/>
      <c r="W274"/>
    </row>
    <row r="275" spans="1:23" s="64" customFormat="1" outlineLevel="1">
      <c r="A275" s="65"/>
      <c r="B275" s="148"/>
      <c r="C275" s="149"/>
      <c r="D275" s="150"/>
      <c r="E275" s="151"/>
      <c r="F275" s="152"/>
      <c r="G275"/>
      <c r="H275"/>
      <c r="I275"/>
      <c r="J275"/>
      <c r="K275"/>
      <c r="L275"/>
      <c r="M275"/>
      <c r="N275"/>
      <c r="O275"/>
      <c r="P275"/>
      <c r="Q275"/>
      <c r="R275"/>
      <c r="S275"/>
      <c r="T275"/>
      <c r="U275"/>
      <c r="V275"/>
      <c r="W275"/>
    </row>
    <row r="276" spans="1:23" s="64" customFormat="1" outlineLevel="1">
      <c r="A276" s="65"/>
      <c r="B276" s="160"/>
      <c r="C276" s="161"/>
      <c r="D276" s="150"/>
      <c r="E276" s="162"/>
      <c r="F276" s="152"/>
      <c r="G276"/>
      <c r="H276"/>
      <c r="I276"/>
      <c r="J276"/>
      <c r="K276"/>
      <c r="L276"/>
      <c r="M276"/>
      <c r="N276"/>
      <c r="O276"/>
      <c r="P276"/>
      <c r="Q276"/>
      <c r="R276"/>
      <c r="S276"/>
      <c r="T276"/>
      <c r="U276"/>
      <c r="V276"/>
      <c r="W276"/>
    </row>
    <row r="277" spans="1:23" s="64" customFormat="1" outlineLevel="1">
      <c r="A277" s="65"/>
      <c r="B277" s="148"/>
      <c r="C277" s="149"/>
      <c r="D277" s="150"/>
      <c r="E277" s="151"/>
      <c r="F277" s="152"/>
      <c r="G277"/>
      <c r="H277"/>
      <c r="I277"/>
      <c r="J277"/>
      <c r="K277"/>
      <c r="L277"/>
      <c r="M277"/>
      <c r="N277"/>
      <c r="O277"/>
      <c r="P277"/>
      <c r="Q277"/>
      <c r="R277"/>
      <c r="S277"/>
      <c r="T277"/>
      <c r="U277"/>
      <c r="V277"/>
      <c r="W277"/>
    </row>
    <row r="278" spans="1:23" s="64" customFormat="1" outlineLevel="1">
      <c r="A278" s="65"/>
      <c r="B278" s="160"/>
      <c r="C278" s="161"/>
      <c r="D278" s="150"/>
      <c r="E278" s="162"/>
      <c r="F278" s="152"/>
      <c r="G278"/>
      <c r="H278"/>
      <c r="I278"/>
      <c r="J278"/>
      <c r="K278"/>
      <c r="L278"/>
      <c r="M278"/>
      <c r="N278"/>
      <c r="O278"/>
      <c r="P278"/>
      <c r="Q278"/>
      <c r="R278"/>
      <c r="S278"/>
      <c r="T278"/>
      <c r="U278"/>
      <c r="V278"/>
      <c r="W278"/>
    </row>
    <row r="279" spans="1:23" s="64" customFormat="1" outlineLevel="1">
      <c r="A279" s="65"/>
      <c r="B279" s="148"/>
      <c r="C279" s="149"/>
      <c r="D279" s="150"/>
      <c r="E279" s="151"/>
      <c r="F279" s="152"/>
      <c r="G279"/>
      <c r="H279"/>
      <c r="I279"/>
      <c r="J279"/>
      <c r="K279"/>
      <c r="L279"/>
      <c r="M279"/>
      <c r="N279"/>
      <c r="O279"/>
      <c r="P279"/>
      <c r="Q279"/>
      <c r="R279"/>
      <c r="S279"/>
      <c r="T279"/>
      <c r="U279"/>
      <c r="V279"/>
      <c r="W279"/>
    </row>
    <row r="280" spans="1:23" s="64" customFormat="1" outlineLevel="1">
      <c r="A280" s="65"/>
      <c r="B280" s="160"/>
      <c r="C280" s="161"/>
      <c r="D280" s="150"/>
      <c r="E280" s="162"/>
      <c r="F280" s="152"/>
      <c r="G280"/>
      <c r="H280"/>
      <c r="I280"/>
      <c r="J280"/>
      <c r="K280"/>
      <c r="L280"/>
      <c r="M280"/>
      <c r="N280"/>
      <c r="O280"/>
      <c r="P280"/>
      <c r="Q280"/>
      <c r="R280"/>
      <c r="S280"/>
      <c r="T280"/>
      <c r="U280"/>
      <c r="V280"/>
      <c r="W280"/>
    </row>
    <row r="281" spans="1:23" s="64" customFormat="1" outlineLevel="1">
      <c r="A281" s="65"/>
      <c r="B281" s="148"/>
      <c r="C281" s="149"/>
      <c r="D281" s="150"/>
      <c r="E281" s="151"/>
      <c r="F281" s="152"/>
      <c r="G281"/>
      <c r="H281"/>
      <c r="I281"/>
      <c r="J281"/>
      <c r="K281"/>
      <c r="L281"/>
      <c r="M281"/>
      <c r="N281"/>
      <c r="O281"/>
      <c r="P281"/>
      <c r="Q281"/>
      <c r="R281"/>
      <c r="S281"/>
      <c r="T281"/>
      <c r="U281"/>
      <c r="V281"/>
      <c r="W281"/>
    </row>
    <row r="282" spans="1:23" s="64" customFormat="1" outlineLevel="1">
      <c r="A282" s="65"/>
      <c r="B282" s="160"/>
      <c r="C282" s="161"/>
      <c r="D282" s="150"/>
      <c r="E282" s="162"/>
      <c r="F282" s="152"/>
      <c r="G282"/>
      <c r="H282"/>
      <c r="I282"/>
      <c r="J282"/>
      <c r="K282"/>
      <c r="L282"/>
      <c r="M282"/>
      <c r="N282"/>
      <c r="O282"/>
      <c r="P282"/>
      <c r="Q282"/>
      <c r="R282"/>
      <c r="S282"/>
      <c r="T282"/>
      <c r="U282"/>
      <c r="V282"/>
      <c r="W282"/>
    </row>
    <row r="283" spans="1:23" s="64" customFormat="1" outlineLevel="1">
      <c r="A283" s="65"/>
      <c r="B283" s="148"/>
      <c r="C283" s="149"/>
      <c r="D283" s="150"/>
      <c r="E283" s="151"/>
      <c r="F283" s="152"/>
      <c r="G283"/>
      <c r="H283"/>
      <c r="I283"/>
      <c r="J283"/>
      <c r="K283"/>
      <c r="L283"/>
      <c r="M283"/>
      <c r="N283"/>
      <c r="O283"/>
      <c r="P283"/>
      <c r="Q283"/>
      <c r="R283"/>
      <c r="S283"/>
      <c r="T283"/>
      <c r="U283"/>
      <c r="V283"/>
      <c r="W283"/>
    </row>
    <row r="284" spans="1:23" s="64" customFormat="1" outlineLevel="1">
      <c r="A284" s="65"/>
      <c r="B284" s="160"/>
      <c r="C284" s="161"/>
      <c r="D284" s="150"/>
      <c r="E284" s="162"/>
      <c r="F284" s="152"/>
      <c r="G284"/>
      <c r="H284"/>
      <c r="I284"/>
      <c r="J284"/>
      <c r="K284"/>
      <c r="L284"/>
      <c r="M284"/>
      <c r="N284"/>
      <c r="O284"/>
      <c r="P284"/>
      <c r="Q284"/>
      <c r="R284"/>
      <c r="S284"/>
      <c r="T284"/>
      <c r="U284"/>
      <c r="V284"/>
      <c r="W284"/>
    </row>
    <row r="285" spans="1:23" s="64" customFormat="1" outlineLevel="1">
      <c r="A285" s="65"/>
      <c r="B285" s="148"/>
      <c r="C285" s="149"/>
      <c r="D285" s="150"/>
      <c r="E285" s="151"/>
      <c r="F285" s="152"/>
      <c r="G285"/>
      <c r="H285"/>
      <c r="I285"/>
      <c r="J285"/>
      <c r="K285"/>
      <c r="L285"/>
      <c r="M285"/>
      <c r="N285"/>
      <c r="O285"/>
      <c r="P285"/>
      <c r="Q285"/>
      <c r="R285"/>
      <c r="S285"/>
      <c r="T285"/>
      <c r="U285"/>
      <c r="V285"/>
      <c r="W285"/>
    </row>
    <row r="286" spans="1:23" s="64" customFormat="1" outlineLevel="1">
      <c r="A286" s="65"/>
      <c r="B286" s="160"/>
      <c r="C286" s="161"/>
      <c r="D286" s="150"/>
      <c r="E286" s="162"/>
      <c r="F286" s="152"/>
      <c r="G286"/>
      <c r="H286"/>
      <c r="I286"/>
      <c r="J286"/>
      <c r="K286"/>
      <c r="L286"/>
      <c r="M286"/>
      <c r="N286"/>
      <c r="O286"/>
      <c r="P286"/>
      <c r="Q286"/>
      <c r="R286"/>
      <c r="S286"/>
      <c r="T286"/>
      <c r="U286"/>
      <c r="V286"/>
      <c r="W286"/>
    </row>
    <row r="287" spans="1:23" s="64" customFormat="1" outlineLevel="1">
      <c r="A287" s="65"/>
      <c r="B287" s="148"/>
      <c r="C287" s="149"/>
      <c r="D287" s="150"/>
      <c r="E287" s="151"/>
      <c r="F287" s="152"/>
      <c r="G287"/>
      <c r="H287"/>
      <c r="I287"/>
      <c r="J287"/>
      <c r="K287"/>
      <c r="L287"/>
      <c r="M287"/>
      <c r="N287"/>
      <c r="O287"/>
      <c r="P287"/>
      <c r="Q287"/>
      <c r="R287"/>
      <c r="S287"/>
      <c r="T287"/>
      <c r="U287"/>
      <c r="V287"/>
      <c r="W287"/>
    </row>
    <row r="288" spans="1:23" s="64" customFormat="1" outlineLevel="1">
      <c r="A288" s="65"/>
      <c r="B288" s="160"/>
      <c r="C288" s="161"/>
      <c r="D288" s="150"/>
      <c r="E288" s="162"/>
      <c r="F288" s="152"/>
      <c r="G288"/>
      <c r="H288"/>
      <c r="I288"/>
      <c r="J288"/>
      <c r="K288"/>
      <c r="L288"/>
      <c r="M288"/>
      <c r="N288"/>
      <c r="O288"/>
      <c r="P288"/>
      <c r="Q288"/>
      <c r="R288"/>
      <c r="S288"/>
      <c r="T288"/>
      <c r="U288"/>
      <c r="V288"/>
      <c r="W288"/>
    </row>
    <row r="289" spans="1:23" s="64" customFormat="1" outlineLevel="1">
      <c r="A289" s="65"/>
      <c r="B289" s="148"/>
      <c r="C289" s="149"/>
      <c r="D289" s="150"/>
      <c r="E289" s="151"/>
      <c r="F289" s="152"/>
      <c r="G289"/>
      <c r="H289"/>
      <c r="I289"/>
      <c r="J289"/>
      <c r="K289"/>
      <c r="L289"/>
      <c r="M289"/>
      <c r="N289"/>
      <c r="O289"/>
      <c r="P289"/>
      <c r="Q289"/>
      <c r="R289"/>
      <c r="S289"/>
      <c r="T289"/>
      <c r="U289"/>
      <c r="V289"/>
      <c r="W289"/>
    </row>
    <row r="290" spans="1:23" s="64" customFormat="1" outlineLevel="1">
      <c r="A290" s="65"/>
      <c r="B290" s="160"/>
      <c r="C290" s="161"/>
      <c r="D290" s="150"/>
      <c r="E290" s="162"/>
      <c r="F290" s="152"/>
      <c r="G290"/>
      <c r="H290"/>
      <c r="I290"/>
      <c r="J290"/>
      <c r="K290"/>
      <c r="L290"/>
      <c r="M290"/>
      <c r="N290"/>
      <c r="O290"/>
      <c r="P290"/>
      <c r="Q290"/>
      <c r="R290"/>
      <c r="S290"/>
      <c r="T290"/>
      <c r="U290"/>
      <c r="V290"/>
      <c r="W290"/>
    </row>
    <row r="291" spans="1:23" s="64" customFormat="1" outlineLevel="1">
      <c r="A291" s="65"/>
      <c r="B291" s="148"/>
      <c r="C291" s="149"/>
      <c r="D291" s="150"/>
      <c r="E291" s="151"/>
      <c r="F291" s="152"/>
      <c r="G291"/>
      <c r="H291"/>
      <c r="I291"/>
      <c r="J291"/>
      <c r="K291"/>
      <c r="L291"/>
      <c r="M291"/>
      <c r="N291"/>
      <c r="O291"/>
      <c r="P291"/>
      <c r="Q291"/>
      <c r="R291"/>
      <c r="S291"/>
      <c r="T291"/>
      <c r="U291"/>
      <c r="V291"/>
      <c r="W291"/>
    </row>
    <row r="292" spans="1:23" s="64" customFormat="1" outlineLevel="1">
      <c r="A292" s="65"/>
      <c r="B292" s="160"/>
      <c r="C292" s="161"/>
      <c r="D292" s="150"/>
      <c r="E292" s="162"/>
      <c r="F292" s="152"/>
      <c r="G292"/>
      <c r="H292"/>
      <c r="I292"/>
      <c r="J292"/>
      <c r="K292"/>
      <c r="L292"/>
      <c r="M292"/>
      <c r="N292"/>
      <c r="O292"/>
      <c r="P292"/>
      <c r="Q292"/>
      <c r="R292"/>
      <c r="S292"/>
      <c r="T292"/>
      <c r="U292"/>
      <c r="V292"/>
      <c r="W292"/>
    </row>
    <row r="293" spans="1:23" s="64" customFormat="1" outlineLevel="1">
      <c r="A293" s="65"/>
      <c r="B293" s="148"/>
      <c r="C293" s="149"/>
      <c r="D293" s="150"/>
      <c r="E293" s="151"/>
      <c r="F293" s="152"/>
      <c r="G293"/>
      <c r="H293"/>
      <c r="I293"/>
      <c r="J293"/>
      <c r="K293"/>
      <c r="L293"/>
      <c r="M293"/>
      <c r="N293"/>
      <c r="O293"/>
      <c r="P293"/>
      <c r="Q293"/>
      <c r="R293"/>
      <c r="S293"/>
      <c r="T293"/>
      <c r="U293"/>
      <c r="V293"/>
      <c r="W293"/>
    </row>
    <row r="294" spans="1:23" s="64" customFormat="1" outlineLevel="1">
      <c r="A294" s="65"/>
      <c r="B294" s="160"/>
      <c r="C294" s="161"/>
      <c r="D294" s="150"/>
      <c r="E294" s="162"/>
      <c r="F294" s="152"/>
      <c r="G294"/>
      <c r="H294"/>
      <c r="I294"/>
      <c r="J294"/>
      <c r="K294"/>
      <c r="L294"/>
      <c r="M294"/>
      <c r="N294"/>
      <c r="O294"/>
      <c r="P294"/>
      <c r="Q294"/>
      <c r="R294"/>
      <c r="S294"/>
      <c r="T294"/>
      <c r="U294"/>
      <c r="V294"/>
      <c r="W294"/>
    </row>
    <row r="295" spans="1:23" s="64" customFormat="1" outlineLevel="1">
      <c r="A295" s="65"/>
      <c r="B295" s="148"/>
      <c r="C295" s="149"/>
      <c r="D295" s="150"/>
      <c r="E295" s="151"/>
      <c r="F295" s="152"/>
      <c r="G295"/>
      <c r="H295"/>
      <c r="I295"/>
      <c r="J295"/>
      <c r="K295"/>
      <c r="L295"/>
      <c r="M295"/>
      <c r="N295"/>
      <c r="O295"/>
      <c r="P295"/>
      <c r="Q295"/>
      <c r="R295"/>
      <c r="S295"/>
      <c r="T295"/>
      <c r="U295"/>
      <c r="V295"/>
      <c r="W295"/>
    </row>
    <row r="296" spans="1:23" s="64" customFormat="1" outlineLevel="1">
      <c r="A296" s="65"/>
      <c r="B296" s="160"/>
      <c r="C296" s="161"/>
      <c r="D296" s="150"/>
      <c r="E296" s="162"/>
      <c r="F296" s="152"/>
      <c r="G296"/>
      <c r="H296"/>
      <c r="I296"/>
      <c r="J296"/>
      <c r="K296"/>
      <c r="L296"/>
      <c r="M296"/>
      <c r="N296"/>
      <c r="O296"/>
      <c r="P296"/>
      <c r="Q296"/>
      <c r="R296"/>
      <c r="S296"/>
      <c r="T296"/>
      <c r="U296"/>
      <c r="V296"/>
      <c r="W296"/>
    </row>
    <row r="297" spans="1:23" s="64" customFormat="1" outlineLevel="1">
      <c r="A297" s="65"/>
      <c r="B297" s="148"/>
      <c r="C297" s="149"/>
      <c r="D297" s="150"/>
      <c r="E297" s="151"/>
      <c r="F297" s="152"/>
      <c r="G297"/>
      <c r="H297"/>
      <c r="I297"/>
      <c r="J297"/>
      <c r="K297"/>
      <c r="L297"/>
      <c r="M297"/>
      <c r="N297"/>
      <c r="O297"/>
      <c r="P297"/>
      <c r="Q297"/>
      <c r="R297"/>
      <c r="S297"/>
      <c r="T297"/>
      <c r="U297"/>
      <c r="V297"/>
      <c r="W297"/>
    </row>
    <row r="298" spans="1:23" s="64" customFormat="1" outlineLevel="1">
      <c r="A298" s="65"/>
      <c r="B298" s="160"/>
      <c r="C298" s="161"/>
      <c r="D298" s="150"/>
      <c r="E298" s="162"/>
      <c r="F298" s="152"/>
      <c r="G298"/>
      <c r="H298"/>
      <c r="I298"/>
      <c r="J298"/>
      <c r="K298"/>
      <c r="L298"/>
      <c r="M298"/>
      <c r="N298"/>
      <c r="O298"/>
      <c r="P298"/>
      <c r="Q298"/>
      <c r="R298"/>
      <c r="S298"/>
      <c r="T298"/>
      <c r="U298"/>
      <c r="V298"/>
      <c r="W298"/>
    </row>
    <row r="299" spans="1:23" s="64" customFormat="1" outlineLevel="1">
      <c r="A299" s="65"/>
      <c r="B299" s="148"/>
      <c r="C299" s="149"/>
      <c r="D299" s="150"/>
      <c r="E299" s="151"/>
      <c r="F299" s="152"/>
      <c r="G299"/>
      <c r="H299"/>
      <c r="I299"/>
      <c r="J299"/>
      <c r="K299"/>
      <c r="L299"/>
      <c r="M299"/>
      <c r="N299"/>
      <c r="O299"/>
      <c r="P299"/>
      <c r="Q299"/>
      <c r="R299"/>
      <c r="S299"/>
      <c r="T299"/>
      <c r="U299"/>
      <c r="V299"/>
      <c r="W299"/>
    </row>
    <row r="300" spans="1:23" s="64" customFormat="1" outlineLevel="1">
      <c r="A300" s="65"/>
      <c r="B300" s="160"/>
      <c r="C300" s="161"/>
      <c r="D300" s="150"/>
      <c r="E300" s="162"/>
      <c r="F300" s="152"/>
      <c r="G300"/>
      <c r="H300"/>
      <c r="I300"/>
      <c r="J300"/>
      <c r="K300"/>
      <c r="L300"/>
      <c r="M300"/>
      <c r="N300"/>
      <c r="O300"/>
      <c r="P300"/>
      <c r="Q300"/>
      <c r="R300"/>
      <c r="S300"/>
      <c r="T300"/>
      <c r="U300"/>
      <c r="V300"/>
      <c r="W300"/>
    </row>
    <row r="301" spans="1:23" s="64" customFormat="1" outlineLevel="1">
      <c r="A301" s="65"/>
      <c r="B301" s="148"/>
      <c r="C301" s="149"/>
      <c r="D301" s="150"/>
      <c r="E301" s="151"/>
      <c r="F301" s="152"/>
      <c r="G301"/>
      <c r="H301"/>
      <c r="I301"/>
      <c r="J301"/>
      <c r="K301"/>
      <c r="L301"/>
      <c r="M301"/>
      <c r="N301"/>
      <c r="O301"/>
      <c r="P301"/>
      <c r="Q301"/>
      <c r="R301"/>
      <c r="S301"/>
      <c r="T301"/>
      <c r="U301"/>
      <c r="V301"/>
      <c r="W301"/>
    </row>
    <row r="302" spans="1:23" s="64" customFormat="1" outlineLevel="1">
      <c r="A302" s="65"/>
      <c r="B302" s="160"/>
      <c r="C302" s="161"/>
      <c r="D302" s="150"/>
      <c r="E302" s="162"/>
      <c r="F302" s="152"/>
      <c r="G302"/>
      <c r="H302"/>
      <c r="I302"/>
      <c r="J302"/>
      <c r="K302"/>
      <c r="L302"/>
      <c r="M302"/>
      <c r="N302"/>
      <c r="O302"/>
      <c r="P302"/>
      <c r="Q302"/>
      <c r="R302"/>
      <c r="S302"/>
      <c r="T302"/>
      <c r="U302"/>
      <c r="V302"/>
      <c r="W302"/>
    </row>
    <row r="303" spans="1:23" s="64" customFormat="1" outlineLevel="1">
      <c r="A303" s="65"/>
      <c r="B303" s="148"/>
      <c r="C303" s="149"/>
      <c r="D303" s="150"/>
      <c r="E303" s="151"/>
      <c r="F303" s="152"/>
      <c r="G303"/>
      <c r="H303"/>
      <c r="I303"/>
      <c r="J303"/>
      <c r="K303"/>
      <c r="L303"/>
      <c r="M303"/>
      <c r="N303"/>
      <c r="O303"/>
      <c r="P303"/>
      <c r="Q303"/>
      <c r="R303"/>
      <c r="S303"/>
      <c r="T303"/>
      <c r="U303"/>
      <c r="V303"/>
      <c r="W303"/>
    </row>
    <row r="304" spans="1:23" s="64" customFormat="1" outlineLevel="1">
      <c r="A304" s="65"/>
      <c r="B304" s="160"/>
      <c r="C304" s="161"/>
      <c r="D304" s="150"/>
      <c r="E304" s="162"/>
      <c r="F304" s="152"/>
      <c r="G304"/>
      <c r="H304"/>
      <c r="I304"/>
      <c r="J304"/>
      <c r="K304"/>
      <c r="L304"/>
      <c r="M304"/>
      <c r="N304"/>
      <c r="O304"/>
      <c r="P304"/>
      <c r="Q304"/>
      <c r="R304"/>
      <c r="S304"/>
      <c r="T304"/>
      <c r="U304"/>
      <c r="V304"/>
      <c r="W304"/>
    </row>
    <row r="305" spans="1:23" s="64" customFormat="1" outlineLevel="1">
      <c r="A305" s="65"/>
      <c r="B305" s="148"/>
      <c r="C305" s="149"/>
      <c r="D305" s="150"/>
      <c r="E305" s="151"/>
      <c r="F305" s="152"/>
      <c r="G305"/>
      <c r="H305"/>
      <c r="I305"/>
      <c r="J305"/>
      <c r="K305"/>
      <c r="L305"/>
      <c r="M305"/>
      <c r="N305"/>
      <c r="O305"/>
      <c r="P305"/>
      <c r="Q305"/>
      <c r="R305"/>
      <c r="S305"/>
      <c r="T305"/>
      <c r="U305"/>
      <c r="V305"/>
      <c r="W305"/>
    </row>
    <row r="306" spans="1:23" s="64" customFormat="1" outlineLevel="1">
      <c r="A306" s="65"/>
      <c r="B306" s="160"/>
      <c r="C306" s="161"/>
      <c r="D306" s="150"/>
      <c r="E306" s="162"/>
      <c r="F306" s="152"/>
      <c r="G306"/>
      <c r="H306"/>
      <c r="I306"/>
      <c r="J306"/>
      <c r="K306"/>
      <c r="L306"/>
      <c r="M306"/>
      <c r="N306"/>
      <c r="O306"/>
      <c r="P306"/>
      <c r="Q306"/>
      <c r="R306"/>
      <c r="S306"/>
      <c r="T306"/>
      <c r="U306"/>
      <c r="V306"/>
      <c r="W306"/>
    </row>
    <row r="307" spans="1:23" s="64" customFormat="1" outlineLevel="1">
      <c r="A307" s="65"/>
      <c r="B307" s="148"/>
      <c r="C307" s="149"/>
      <c r="D307" s="150"/>
      <c r="E307" s="151"/>
      <c r="F307" s="152"/>
      <c r="G307"/>
      <c r="H307"/>
      <c r="I307"/>
      <c r="J307"/>
      <c r="K307"/>
      <c r="L307"/>
      <c r="M307"/>
      <c r="N307"/>
      <c r="O307"/>
      <c r="P307"/>
      <c r="Q307"/>
      <c r="R307"/>
      <c r="S307"/>
      <c r="T307"/>
      <c r="U307"/>
      <c r="V307"/>
      <c r="W307"/>
    </row>
    <row r="308" spans="1:23" s="64" customFormat="1" outlineLevel="1">
      <c r="A308" s="65"/>
      <c r="B308" s="160"/>
      <c r="C308" s="161"/>
      <c r="D308" s="150"/>
      <c r="E308" s="162"/>
      <c r="F308" s="152"/>
      <c r="G308"/>
      <c r="H308"/>
      <c r="I308"/>
      <c r="J308"/>
      <c r="K308"/>
      <c r="L308"/>
      <c r="M308"/>
      <c r="N308"/>
      <c r="O308"/>
      <c r="P308"/>
      <c r="Q308"/>
      <c r="R308"/>
      <c r="S308"/>
      <c r="T308"/>
      <c r="U308"/>
      <c r="V308"/>
      <c r="W308"/>
    </row>
    <row r="309" spans="1:23" s="64" customFormat="1" outlineLevel="1">
      <c r="A309" s="65"/>
      <c r="B309" s="148"/>
      <c r="C309" s="149"/>
      <c r="D309" s="150"/>
      <c r="E309" s="151"/>
      <c r="F309" s="152"/>
      <c r="G309"/>
      <c r="H309"/>
      <c r="I309"/>
      <c r="J309"/>
      <c r="K309"/>
      <c r="L309"/>
      <c r="M309"/>
      <c r="N309"/>
      <c r="O309"/>
      <c r="P309"/>
      <c r="Q309"/>
      <c r="R309"/>
      <c r="S309"/>
      <c r="T309"/>
      <c r="U309"/>
      <c r="V309"/>
      <c r="W309"/>
    </row>
    <row r="310" spans="1:23" s="64" customFormat="1" outlineLevel="1">
      <c r="A310" s="65"/>
      <c r="B310" s="160"/>
      <c r="C310" s="161"/>
      <c r="D310" s="150"/>
      <c r="E310" s="162"/>
      <c r="F310" s="152"/>
      <c r="G310"/>
      <c r="H310"/>
      <c r="I310"/>
      <c r="J310"/>
      <c r="K310"/>
      <c r="L310"/>
      <c r="M310"/>
      <c r="N310"/>
      <c r="O310"/>
      <c r="P310"/>
      <c r="Q310"/>
      <c r="R310"/>
      <c r="S310"/>
      <c r="T310"/>
      <c r="U310"/>
      <c r="V310"/>
      <c r="W310"/>
    </row>
    <row r="311" spans="1:23" s="64" customFormat="1" outlineLevel="1">
      <c r="A311" s="65"/>
      <c r="B311" s="148"/>
      <c r="C311" s="149"/>
      <c r="D311" s="150"/>
      <c r="E311" s="151"/>
      <c r="F311" s="152"/>
      <c r="G311"/>
      <c r="H311"/>
      <c r="I311"/>
      <c r="J311"/>
      <c r="K311"/>
      <c r="L311"/>
      <c r="M311"/>
      <c r="N311"/>
      <c r="O311"/>
      <c r="P311"/>
      <c r="Q311"/>
      <c r="R311"/>
      <c r="S311"/>
      <c r="T311"/>
      <c r="U311"/>
      <c r="V311"/>
      <c r="W311"/>
    </row>
    <row r="312" spans="1:23" s="64" customFormat="1" outlineLevel="1">
      <c r="A312" s="65"/>
      <c r="B312" s="160"/>
      <c r="C312" s="161"/>
      <c r="D312" s="150"/>
      <c r="E312" s="162"/>
      <c r="F312" s="152"/>
      <c r="G312"/>
      <c r="H312"/>
      <c r="I312"/>
      <c r="J312"/>
      <c r="K312"/>
      <c r="L312"/>
      <c r="M312"/>
      <c r="N312"/>
      <c r="O312"/>
      <c r="P312"/>
      <c r="Q312"/>
      <c r="R312"/>
      <c r="S312"/>
      <c r="T312"/>
      <c r="U312"/>
      <c r="V312"/>
      <c r="W312"/>
    </row>
    <row r="313" spans="1:23" s="64" customFormat="1" outlineLevel="1">
      <c r="A313" s="65"/>
      <c r="B313" s="148"/>
      <c r="C313" s="149"/>
      <c r="D313" s="150"/>
      <c r="E313" s="151"/>
      <c r="F313" s="152"/>
      <c r="G313"/>
      <c r="H313"/>
      <c r="I313"/>
      <c r="J313"/>
      <c r="K313"/>
      <c r="L313"/>
      <c r="M313"/>
      <c r="N313"/>
      <c r="O313"/>
      <c r="P313"/>
      <c r="Q313"/>
      <c r="R313"/>
      <c r="S313"/>
      <c r="T313"/>
      <c r="U313"/>
      <c r="V313"/>
      <c r="W313"/>
    </row>
    <row r="314" spans="1:23" s="64" customFormat="1" outlineLevel="1">
      <c r="A314" s="65"/>
      <c r="B314" s="160"/>
      <c r="C314" s="161"/>
      <c r="D314" s="150"/>
      <c r="E314" s="162"/>
      <c r="F314" s="152"/>
      <c r="G314"/>
      <c r="H314"/>
      <c r="I314"/>
      <c r="J314"/>
      <c r="K314"/>
      <c r="L314"/>
      <c r="M314"/>
      <c r="N314"/>
      <c r="O314"/>
      <c r="P314"/>
      <c r="Q314"/>
      <c r="R314"/>
      <c r="S314"/>
      <c r="T314"/>
      <c r="U314"/>
      <c r="V314"/>
      <c r="W314"/>
    </row>
    <row r="315" spans="1:23" s="64" customFormat="1" outlineLevel="1">
      <c r="A315" s="65"/>
      <c r="B315" s="148"/>
      <c r="C315" s="149"/>
      <c r="D315" s="150"/>
      <c r="E315" s="151"/>
      <c r="F315" s="152"/>
      <c r="G315"/>
      <c r="H315"/>
      <c r="I315"/>
      <c r="J315"/>
      <c r="K315"/>
      <c r="L315"/>
      <c r="M315"/>
      <c r="N315"/>
      <c r="O315"/>
      <c r="P315"/>
      <c r="Q315"/>
      <c r="R315"/>
      <c r="S315"/>
      <c r="T315"/>
      <c r="U315"/>
      <c r="V315"/>
      <c r="W315"/>
    </row>
    <row r="316" spans="1:23" s="64" customFormat="1" outlineLevel="1">
      <c r="A316" s="65"/>
      <c r="B316" s="160"/>
      <c r="C316" s="161"/>
      <c r="D316" s="150"/>
      <c r="E316" s="162"/>
      <c r="F316" s="152"/>
      <c r="G316"/>
      <c r="H316"/>
      <c r="I316"/>
      <c r="J316"/>
      <c r="K316"/>
      <c r="L316"/>
      <c r="M316"/>
      <c r="N316"/>
      <c r="O316"/>
      <c r="P316"/>
      <c r="Q316"/>
      <c r="R316"/>
      <c r="S316"/>
      <c r="T316"/>
      <c r="U316"/>
      <c r="V316"/>
      <c r="W316"/>
    </row>
    <row r="317" spans="1:23" s="64" customFormat="1" outlineLevel="1">
      <c r="A317" s="65"/>
      <c r="B317" s="148"/>
      <c r="C317" s="149"/>
      <c r="D317" s="150"/>
      <c r="E317" s="151"/>
      <c r="F317" s="152"/>
      <c r="G317"/>
      <c r="H317"/>
      <c r="I317"/>
      <c r="J317"/>
      <c r="K317"/>
      <c r="L317"/>
      <c r="M317"/>
      <c r="N317"/>
      <c r="O317"/>
      <c r="P317"/>
      <c r="Q317"/>
      <c r="R317"/>
      <c r="S317"/>
      <c r="T317"/>
      <c r="U317"/>
      <c r="V317"/>
      <c r="W317"/>
    </row>
    <row r="318" spans="1:23" s="64" customFormat="1" outlineLevel="1">
      <c r="A318" s="65"/>
      <c r="B318" s="160"/>
      <c r="C318" s="161"/>
      <c r="D318" s="150"/>
      <c r="E318" s="162"/>
      <c r="F318" s="152"/>
      <c r="G318"/>
      <c r="H318"/>
      <c r="I318"/>
      <c r="J318"/>
      <c r="K318"/>
      <c r="L318"/>
      <c r="M318"/>
      <c r="N318"/>
      <c r="O318"/>
      <c r="P318"/>
      <c r="Q318"/>
      <c r="R318"/>
      <c r="S318"/>
      <c r="T318"/>
      <c r="U318"/>
      <c r="V318"/>
      <c r="W318"/>
    </row>
    <row r="319" spans="1:23" s="64" customFormat="1" outlineLevel="1">
      <c r="A319" s="65"/>
      <c r="B319" s="148"/>
      <c r="C319" s="149"/>
      <c r="D319" s="150"/>
      <c r="E319" s="151"/>
      <c r="F319" s="152"/>
      <c r="G319"/>
      <c r="H319"/>
      <c r="I319"/>
      <c r="J319"/>
      <c r="K319"/>
      <c r="L319"/>
      <c r="M319"/>
      <c r="N319"/>
      <c r="O319"/>
      <c r="P319"/>
      <c r="Q319"/>
      <c r="R319"/>
      <c r="S319"/>
      <c r="T319"/>
      <c r="U319"/>
      <c r="V319"/>
      <c r="W319"/>
    </row>
    <row r="320" spans="1:23" s="64" customFormat="1" outlineLevel="1">
      <c r="A320" s="65"/>
      <c r="B320" s="160"/>
      <c r="C320" s="161"/>
      <c r="D320" s="150"/>
      <c r="E320" s="162"/>
      <c r="F320" s="152"/>
      <c r="G320"/>
      <c r="H320"/>
      <c r="I320"/>
      <c r="J320"/>
      <c r="K320"/>
      <c r="L320"/>
      <c r="M320"/>
      <c r="N320"/>
      <c r="O320"/>
      <c r="P320"/>
      <c r="Q320"/>
      <c r="R320"/>
      <c r="S320"/>
      <c r="T320"/>
      <c r="U320"/>
      <c r="V320"/>
      <c r="W320"/>
    </row>
    <row r="321" spans="1:23" s="64" customFormat="1" outlineLevel="1">
      <c r="A321" s="65"/>
      <c r="B321" s="148"/>
      <c r="C321" s="149"/>
      <c r="D321" s="150"/>
      <c r="E321" s="151"/>
      <c r="F321" s="152"/>
      <c r="G321"/>
      <c r="H321"/>
      <c r="I321"/>
      <c r="J321"/>
      <c r="K321"/>
      <c r="L321"/>
      <c r="M321"/>
      <c r="N321"/>
      <c r="O321"/>
      <c r="P321"/>
      <c r="Q321"/>
      <c r="R321"/>
      <c r="S321"/>
      <c r="T321"/>
      <c r="U321"/>
      <c r="V321"/>
      <c r="W321"/>
    </row>
    <row r="322" spans="1:23" s="64" customFormat="1" outlineLevel="1">
      <c r="A322" s="65"/>
      <c r="B322" s="160"/>
      <c r="C322" s="161"/>
      <c r="D322" s="150"/>
      <c r="E322" s="162"/>
      <c r="F322" s="152"/>
      <c r="G322"/>
      <c r="H322"/>
      <c r="I322"/>
      <c r="J322"/>
      <c r="K322"/>
      <c r="L322"/>
      <c r="M322"/>
      <c r="N322"/>
      <c r="O322"/>
      <c r="P322"/>
      <c r="Q322"/>
      <c r="R322"/>
      <c r="S322"/>
      <c r="T322"/>
      <c r="U322"/>
      <c r="V322"/>
      <c r="W322"/>
    </row>
    <row r="323" spans="1:23" s="64" customFormat="1" outlineLevel="1">
      <c r="A323" s="65"/>
      <c r="B323" s="148"/>
      <c r="C323" s="149"/>
      <c r="D323" s="150"/>
      <c r="E323" s="151"/>
      <c r="F323" s="152"/>
      <c r="G323"/>
      <c r="H323"/>
      <c r="I323"/>
      <c r="J323"/>
      <c r="K323"/>
      <c r="L323"/>
      <c r="M323"/>
      <c r="N323"/>
      <c r="O323"/>
      <c r="P323"/>
      <c r="Q323"/>
      <c r="R323"/>
      <c r="S323"/>
      <c r="T323"/>
      <c r="U323"/>
      <c r="V323"/>
      <c r="W323"/>
    </row>
    <row r="324" spans="1:23" s="64" customFormat="1" outlineLevel="1">
      <c r="A324" s="65"/>
      <c r="B324" s="160"/>
      <c r="C324" s="161"/>
      <c r="D324" s="150"/>
      <c r="E324" s="162"/>
      <c r="F324" s="152"/>
      <c r="G324"/>
      <c r="H324"/>
      <c r="I324"/>
      <c r="J324"/>
      <c r="K324"/>
      <c r="L324"/>
      <c r="M324"/>
      <c r="N324"/>
      <c r="O324"/>
      <c r="P324"/>
      <c r="Q324"/>
      <c r="R324"/>
      <c r="S324"/>
      <c r="T324"/>
      <c r="U324"/>
      <c r="V324"/>
      <c r="W324"/>
    </row>
    <row r="325" spans="1:23" s="64" customFormat="1" outlineLevel="1">
      <c r="A325" s="65"/>
      <c r="B325" s="148"/>
      <c r="C325" s="149"/>
      <c r="D325" s="150"/>
      <c r="E325" s="151"/>
      <c r="F325" s="152"/>
      <c r="G325"/>
      <c r="H325"/>
      <c r="I325"/>
      <c r="J325"/>
      <c r="K325"/>
      <c r="L325"/>
      <c r="M325"/>
      <c r="N325"/>
      <c r="O325"/>
      <c r="P325"/>
      <c r="Q325"/>
      <c r="R325"/>
      <c r="S325"/>
      <c r="T325"/>
      <c r="U325"/>
      <c r="V325"/>
      <c r="W325"/>
    </row>
    <row r="326" spans="1:23" s="64" customFormat="1" outlineLevel="1">
      <c r="A326" s="65"/>
      <c r="B326" s="160"/>
      <c r="C326" s="161"/>
      <c r="D326" s="150"/>
      <c r="E326" s="162"/>
      <c r="F326" s="152"/>
      <c r="G326"/>
      <c r="H326"/>
      <c r="I326"/>
      <c r="J326"/>
      <c r="K326"/>
      <c r="L326"/>
      <c r="M326"/>
      <c r="N326"/>
      <c r="O326"/>
      <c r="P326"/>
      <c r="Q326"/>
      <c r="R326"/>
      <c r="S326"/>
      <c r="T326"/>
      <c r="U326"/>
      <c r="V326"/>
      <c r="W326"/>
    </row>
    <row r="327" spans="1:23" s="64" customFormat="1" outlineLevel="1">
      <c r="A327" s="65"/>
      <c r="B327" s="148"/>
      <c r="C327" s="149"/>
      <c r="D327" s="150"/>
      <c r="E327" s="151"/>
      <c r="F327" s="152"/>
      <c r="G327"/>
      <c r="H327"/>
      <c r="I327"/>
      <c r="J327"/>
      <c r="K327"/>
      <c r="L327"/>
      <c r="M327"/>
      <c r="N327"/>
      <c r="O327"/>
      <c r="P327"/>
      <c r="Q327"/>
      <c r="R327"/>
      <c r="S327"/>
      <c r="T327"/>
      <c r="U327"/>
      <c r="V327"/>
      <c r="W327"/>
    </row>
    <row r="328" spans="1:23" s="64" customFormat="1" outlineLevel="1">
      <c r="A328" s="65"/>
      <c r="B328" s="160"/>
      <c r="C328" s="161"/>
      <c r="D328" s="150"/>
      <c r="E328" s="162"/>
      <c r="F328" s="152"/>
      <c r="G328"/>
      <c r="H328"/>
      <c r="I328"/>
      <c r="J328"/>
      <c r="K328"/>
      <c r="L328"/>
      <c r="M328"/>
      <c r="N328"/>
      <c r="O328"/>
      <c r="P328"/>
      <c r="Q328"/>
      <c r="R328"/>
      <c r="S328"/>
      <c r="T328"/>
      <c r="U328"/>
      <c r="V328"/>
      <c r="W328"/>
    </row>
    <row r="329" spans="1:23" s="64" customFormat="1" outlineLevel="1">
      <c r="A329" s="65"/>
      <c r="B329" s="148"/>
      <c r="C329" s="149"/>
      <c r="D329" s="150"/>
      <c r="E329" s="151"/>
      <c r="F329" s="152"/>
      <c r="G329"/>
      <c r="H329"/>
      <c r="I329"/>
      <c r="J329"/>
      <c r="K329"/>
      <c r="L329"/>
      <c r="M329"/>
      <c r="N329"/>
      <c r="O329"/>
      <c r="P329"/>
      <c r="Q329"/>
      <c r="R329"/>
      <c r="S329"/>
      <c r="T329"/>
      <c r="U329"/>
      <c r="V329"/>
      <c r="W329"/>
    </row>
    <row r="330" spans="1:23" s="64" customFormat="1" outlineLevel="1">
      <c r="A330" s="65"/>
      <c r="B330" s="160"/>
      <c r="C330" s="161"/>
      <c r="D330" s="150"/>
      <c r="E330" s="162"/>
      <c r="F330" s="152"/>
      <c r="G330"/>
      <c r="H330"/>
      <c r="I330"/>
      <c r="J330"/>
      <c r="K330"/>
      <c r="L330"/>
      <c r="M330"/>
      <c r="N330"/>
      <c r="O330"/>
      <c r="P330"/>
      <c r="Q330"/>
      <c r="R330"/>
      <c r="S330"/>
      <c r="T330"/>
      <c r="U330"/>
      <c r="V330"/>
      <c r="W330"/>
    </row>
    <row r="331" spans="1:23" s="64" customFormat="1" outlineLevel="1">
      <c r="A331" s="65"/>
      <c r="B331" s="148"/>
      <c r="C331" s="149"/>
      <c r="D331" s="150"/>
      <c r="E331" s="151"/>
      <c r="F331" s="152"/>
      <c r="G331"/>
      <c r="H331"/>
      <c r="I331"/>
      <c r="J331"/>
      <c r="K331"/>
      <c r="L331"/>
      <c r="M331"/>
      <c r="N331"/>
      <c r="O331"/>
      <c r="P331"/>
      <c r="Q331"/>
      <c r="R331"/>
      <c r="S331"/>
      <c r="T331"/>
      <c r="U331"/>
      <c r="V331"/>
      <c r="W331"/>
    </row>
    <row r="332" spans="1:23" s="64" customFormat="1" outlineLevel="1">
      <c r="A332" s="65"/>
      <c r="B332" s="160"/>
      <c r="C332" s="161"/>
      <c r="D332" s="150"/>
      <c r="E332" s="162"/>
      <c r="F332" s="152"/>
      <c r="G332"/>
      <c r="H332"/>
      <c r="I332"/>
      <c r="J332"/>
      <c r="K332"/>
      <c r="L332"/>
      <c r="M332"/>
      <c r="N332"/>
      <c r="O332"/>
      <c r="P332"/>
      <c r="Q332"/>
      <c r="R332"/>
      <c r="S332"/>
      <c r="T332"/>
      <c r="U332"/>
      <c r="V332"/>
      <c r="W332"/>
    </row>
    <row r="333" spans="1:23" s="64" customFormat="1" outlineLevel="1">
      <c r="A333" s="65"/>
      <c r="B333" s="148"/>
      <c r="C333" s="149"/>
      <c r="D333" s="150"/>
      <c r="E333" s="151"/>
      <c r="F333" s="152"/>
      <c r="G333"/>
      <c r="H333"/>
      <c r="I333"/>
      <c r="J333"/>
      <c r="K333"/>
      <c r="L333"/>
      <c r="M333"/>
      <c r="N333"/>
      <c r="O333"/>
      <c r="P333"/>
      <c r="Q333"/>
      <c r="R333"/>
      <c r="S333"/>
      <c r="T333"/>
      <c r="U333"/>
      <c r="V333"/>
      <c r="W333"/>
    </row>
    <row r="334" spans="1:23" s="64" customFormat="1" outlineLevel="1">
      <c r="A334" s="65"/>
      <c r="B334" s="160"/>
      <c r="C334" s="161"/>
      <c r="D334" s="150"/>
      <c r="E334" s="162"/>
      <c r="F334" s="152"/>
      <c r="G334"/>
      <c r="H334"/>
      <c r="I334"/>
      <c r="J334"/>
      <c r="K334"/>
      <c r="L334"/>
      <c r="M334"/>
      <c r="N334"/>
      <c r="O334"/>
      <c r="P334"/>
      <c r="Q334"/>
      <c r="R334"/>
      <c r="S334"/>
      <c r="T334"/>
      <c r="U334"/>
      <c r="V334"/>
      <c r="W334"/>
    </row>
    <row r="335" spans="1:23" s="64" customFormat="1" outlineLevel="1">
      <c r="A335" s="65"/>
      <c r="B335" s="148"/>
      <c r="C335" s="149"/>
      <c r="D335" s="150"/>
      <c r="E335" s="151"/>
      <c r="F335" s="152"/>
      <c r="G335"/>
      <c r="H335"/>
      <c r="I335"/>
      <c r="J335"/>
      <c r="K335"/>
      <c r="L335"/>
      <c r="M335"/>
      <c r="N335"/>
      <c r="O335"/>
      <c r="P335"/>
      <c r="Q335"/>
      <c r="R335"/>
      <c r="S335"/>
      <c r="T335"/>
      <c r="U335"/>
      <c r="V335"/>
      <c r="W335"/>
    </row>
    <row r="336" spans="1:23" s="64" customFormat="1" outlineLevel="1">
      <c r="A336" s="65"/>
      <c r="B336" s="160"/>
      <c r="C336" s="161"/>
      <c r="D336" s="150"/>
      <c r="E336" s="162"/>
      <c r="F336" s="152"/>
      <c r="G336"/>
      <c r="H336"/>
      <c r="I336"/>
      <c r="J336"/>
      <c r="K336"/>
      <c r="L336"/>
      <c r="M336"/>
      <c r="N336"/>
      <c r="O336"/>
      <c r="P336"/>
      <c r="Q336"/>
      <c r="R336"/>
      <c r="S336"/>
      <c r="T336"/>
      <c r="U336"/>
      <c r="V336"/>
      <c r="W336"/>
    </row>
    <row r="337" spans="1:23" s="64" customFormat="1" outlineLevel="1">
      <c r="A337" s="65"/>
      <c r="B337" s="148"/>
      <c r="C337" s="149"/>
      <c r="D337" s="150"/>
      <c r="E337" s="151"/>
      <c r="F337" s="152"/>
      <c r="G337"/>
      <c r="H337"/>
      <c r="I337"/>
      <c r="J337"/>
      <c r="K337"/>
      <c r="L337"/>
      <c r="M337"/>
      <c r="N337"/>
      <c r="O337"/>
      <c r="P337"/>
      <c r="Q337"/>
      <c r="R337"/>
      <c r="S337"/>
      <c r="T337"/>
      <c r="U337"/>
      <c r="V337"/>
      <c r="W337"/>
    </row>
    <row r="338" spans="1:23" s="64" customFormat="1" outlineLevel="1">
      <c r="A338" s="65"/>
      <c r="B338" s="160"/>
      <c r="C338" s="161"/>
      <c r="D338" s="150"/>
      <c r="E338" s="162"/>
      <c r="F338" s="152"/>
      <c r="G338"/>
      <c r="H338"/>
      <c r="I338"/>
      <c r="J338"/>
      <c r="K338"/>
      <c r="L338"/>
      <c r="M338"/>
      <c r="N338"/>
      <c r="O338"/>
      <c r="P338"/>
      <c r="Q338"/>
      <c r="R338"/>
      <c r="S338"/>
      <c r="T338"/>
      <c r="U338"/>
      <c r="V338"/>
      <c r="W338"/>
    </row>
    <row r="339" spans="1:23" s="64" customFormat="1" outlineLevel="1">
      <c r="A339" s="65"/>
      <c r="B339" s="148"/>
      <c r="C339" s="149"/>
      <c r="D339" s="150"/>
      <c r="E339" s="151"/>
      <c r="F339" s="152"/>
      <c r="G339"/>
      <c r="H339"/>
      <c r="I339"/>
      <c r="J339"/>
      <c r="K339"/>
      <c r="L339"/>
      <c r="M339"/>
      <c r="N339"/>
      <c r="O339"/>
      <c r="P339"/>
      <c r="Q339"/>
      <c r="R339"/>
      <c r="S339"/>
      <c r="T339"/>
      <c r="U339"/>
      <c r="V339"/>
      <c r="W339"/>
    </row>
    <row r="340" spans="1:23" s="64" customFormat="1" outlineLevel="1">
      <c r="A340" s="65"/>
      <c r="B340" s="160"/>
      <c r="C340" s="161"/>
      <c r="D340" s="150"/>
      <c r="E340" s="162"/>
      <c r="F340" s="152"/>
      <c r="G340"/>
      <c r="H340"/>
      <c r="I340"/>
      <c r="J340"/>
      <c r="K340"/>
      <c r="L340"/>
      <c r="M340"/>
      <c r="N340"/>
      <c r="O340"/>
      <c r="P340"/>
      <c r="Q340"/>
      <c r="R340"/>
      <c r="S340"/>
      <c r="T340"/>
      <c r="U340"/>
      <c r="V340"/>
      <c r="W340"/>
    </row>
    <row r="341" spans="1:23" s="64" customFormat="1" outlineLevel="1">
      <c r="A341" s="65"/>
      <c r="B341" s="148"/>
      <c r="C341" s="149"/>
      <c r="D341" s="150"/>
      <c r="E341" s="151"/>
      <c r="F341" s="152"/>
      <c r="G341"/>
      <c r="H341"/>
      <c r="I341"/>
      <c r="J341"/>
      <c r="K341"/>
      <c r="L341"/>
      <c r="M341"/>
      <c r="N341"/>
      <c r="O341"/>
      <c r="P341"/>
      <c r="Q341"/>
      <c r="R341"/>
      <c r="S341"/>
      <c r="T341"/>
      <c r="U341"/>
      <c r="V341"/>
      <c r="W341"/>
    </row>
    <row r="342" spans="1:23" s="64" customFormat="1" outlineLevel="1">
      <c r="A342" s="65"/>
      <c r="B342" s="160"/>
      <c r="C342" s="161"/>
      <c r="D342" s="150"/>
      <c r="E342" s="162"/>
      <c r="F342" s="152"/>
      <c r="G342"/>
      <c r="H342"/>
      <c r="I342"/>
      <c r="J342"/>
      <c r="K342"/>
      <c r="L342"/>
      <c r="M342"/>
      <c r="N342"/>
      <c r="O342"/>
      <c r="P342"/>
      <c r="Q342"/>
      <c r="R342"/>
      <c r="S342"/>
      <c r="T342"/>
      <c r="U342"/>
      <c r="V342"/>
      <c r="W342"/>
    </row>
    <row r="343" spans="1:23" s="64" customFormat="1" outlineLevel="1">
      <c r="A343" s="65"/>
      <c r="B343" s="148"/>
      <c r="C343" s="149"/>
      <c r="D343" s="150"/>
      <c r="E343" s="151"/>
      <c r="F343" s="152"/>
      <c r="G343"/>
      <c r="H343"/>
      <c r="I343"/>
      <c r="J343"/>
      <c r="K343"/>
      <c r="L343"/>
      <c r="M343"/>
      <c r="N343"/>
      <c r="O343"/>
      <c r="P343"/>
      <c r="Q343"/>
      <c r="R343"/>
      <c r="S343"/>
      <c r="T343"/>
      <c r="U343"/>
      <c r="V343"/>
      <c r="W343"/>
    </row>
    <row r="344" spans="1:23" s="64" customFormat="1" outlineLevel="1">
      <c r="A344" s="65"/>
      <c r="B344" s="160"/>
      <c r="C344" s="161"/>
      <c r="D344" s="150"/>
      <c r="E344" s="162"/>
      <c r="F344" s="152"/>
      <c r="G344"/>
      <c r="H344"/>
      <c r="I344"/>
      <c r="J344"/>
      <c r="K344"/>
      <c r="L344"/>
      <c r="M344"/>
      <c r="N344"/>
      <c r="O344"/>
      <c r="P344"/>
      <c r="Q344"/>
      <c r="R344"/>
      <c r="S344"/>
      <c r="T344"/>
      <c r="U344"/>
      <c r="V344"/>
      <c r="W344"/>
    </row>
    <row r="345" spans="1:23" s="64" customFormat="1" outlineLevel="1">
      <c r="A345" s="65"/>
      <c r="B345" s="148"/>
      <c r="C345" s="149"/>
      <c r="D345" s="150"/>
      <c r="E345" s="151"/>
      <c r="F345" s="152"/>
      <c r="G345"/>
      <c r="H345"/>
      <c r="I345"/>
      <c r="J345"/>
      <c r="K345"/>
      <c r="L345"/>
      <c r="M345"/>
      <c r="N345"/>
      <c r="O345"/>
      <c r="P345"/>
      <c r="Q345"/>
      <c r="R345"/>
      <c r="S345"/>
      <c r="T345"/>
      <c r="U345"/>
      <c r="V345"/>
      <c r="W345"/>
    </row>
    <row r="346" spans="1:23" s="64" customFormat="1" outlineLevel="1">
      <c r="A346" s="65"/>
      <c r="B346" s="160"/>
      <c r="C346" s="161"/>
      <c r="D346" s="150"/>
      <c r="E346" s="162"/>
      <c r="F346" s="152"/>
      <c r="G346"/>
      <c r="H346"/>
      <c r="I346"/>
      <c r="J346"/>
      <c r="K346"/>
      <c r="L346"/>
      <c r="M346"/>
      <c r="N346"/>
      <c r="O346"/>
      <c r="P346"/>
      <c r="Q346"/>
      <c r="R346"/>
      <c r="S346"/>
      <c r="T346"/>
      <c r="U346"/>
      <c r="V346"/>
      <c r="W346"/>
    </row>
    <row r="347" spans="1:23" s="64" customFormat="1" outlineLevel="1">
      <c r="A347" s="65"/>
      <c r="B347" s="148"/>
      <c r="C347" s="149"/>
      <c r="D347" s="150"/>
      <c r="E347" s="151"/>
      <c r="F347" s="152"/>
      <c r="G347"/>
      <c r="H347"/>
      <c r="I347"/>
      <c r="J347"/>
      <c r="K347"/>
      <c r="L347"/>
      <c r="M347"/>
      <c r="N347"/>
      <c r="O347"/>
      <c r="P347"/>
      <c r="Q347"/>
      <c r="R347"/>
      <c r="S347"/>
      <c r="T347"/>
      <c r="U347"/>
      <c r="V347"/>
      <c r="W347"/>
    </row>
    <row r="348" spans="1:23" s="64" customFormat="1" outlineLevel="1">
      <c r="A348" s="65"/>
      <c r="B348" s="160"/>
      <c r="C348" s="161"/>
      <c r="D348" s="150"/>
      <c r="E348" s="162"/>
      <c r="F348" s="152"/>
      <c r="G348"/>
      <c r="H348"/>
      <c r="I348"/>
      <c r="J348"/>
      <c r="K348"/>
      <c r="L348"/>
      <c r="M348"/>
      <c r="N348"/>
      <c r="O348"/>
      <c r="P348"/>
      <c r="Q348"/>
      <c r="R348"/>
      <c r="S348"/>
      <c r="T348"/>
      <c r="U348"/>
      <c r="V348"/>
      <c r="W348"/>
    </row>
    <row r="349" spans="1:23" s="64" customFormat="1" outlineLevel="1">
      <c r="A349" s="65"/>
      <c r="B349" s="148"/>
      <c r="C349" s="149"/>
      <c r="D349" s="150"/>
      <c r="E349" s="151"/>
      <c r="F349" s="152"/>
      <c r="G349"/>
      <c r="H349"/>
      <c r="I349"/>
      <c r="J349"/>
      <c r="K349"/>
      <c r="L349"/>
      <c r="M349"/>
      <c r="N349"/>
      <c r="O349"/>
      <c r="P349"/>
      <c r="Q349"/>
      <c r="R349"/>
      <c r="S349"/>
      <c r="T349"/>
      <c r="U349"/>
      <c r="V349"/>
      <c r="W349"/>
    </row>
    <row r="350" spans="1:23" s="64" customFormat="1" outlineLevel="1">
      <c r="A350" s="65"/>
      <c r="B350" s="160"/>
      <c r="C350" s="161"/>
      <c r="D350" s="150"/>
      <c r="E350" s="162"/>
      <c r="F350" s="152"/>
      <c r="G350"/>
      <c r="H350"/>
      <c r="I350"/>
      <c r="J350"/>
      <c r="K350"/>
      <c r="L350"/>
      <c r="M350"/>
      <c r="N350"/>
      <c r="O350"/>
      <c r="P350"/>
      <c r="Q350"/>
      <c r="R350"/>
      <c r="S350"/>
      <c r="T350"/>
      <c r="U350"/>
      <c r="V350"/>
      <c r="W350"/>
    </row>
    <row r="351" spans="1:23" s="64" customFormat="1" outlineLevel="1">
      <c r="A351" s="65"/>
      <c r="B351" s="148"/>
      <c r="C351" s="149"/>
      <c r="D351" s="150"/>
      <c r="E351" s="151"/>
      <c r="F351" s="152"/>
      <c r="G351"/>
      <c r="H351"/>
      <c r="I351"/>
      <c r="J351"/>
      <c r="K351"/>
      <c r="L351"/>
      <c r="M351"/>
      <c r="N351"/>
      <c r="O351"/>
      <c r="P351"/>
      <c r="Q351"/>
      <c r="R351"/>
      <c r="S351"/>
      <c r="T351"/>
      <c r="U351"/>
      <c r="V351"/>
      <c r="W351"/>
    </row>
    <row r="352" spans="1:23" s="64" customFormat="1" outlineLevel="1">
      <c r="A352" s="65"/>
      <c r="B352" s="160"/>
      <c r="C352" s="161"/>
      <c r="D352" s="150"/>
      <c r="E352" s="162"/>
      <c r="F352" s="152"/>
      <c r="G352"/>
      <c r="H352"/>
      <c r="I352"/>
      <c r="J352"/>
      <c r="K352"/>
      <c r="L352"/>
      <c r="M352"/>
      <c r="N352"/>
      <c r="O352"/>
      <c r="P352"/>
      <c r="Q352"/>
      <c r="R352"/>
      <c r="S352"/>
      <c r="T352"/>
      <c r="U352"/>
      <c r="V352"/>
      <c r="W352"/>
    </row>
    <row r="353" spans="1:23" s="64" customFormat="1" outlineLevel="1">
      <c r="A353" s="65"/>
      <c r="B353" s="148"/>
      <c r="C353" s="149"/>
      <c r="D353" s="150"/>
      <c r="E353" s="151"/>
      <c r="F353" s="152"/>
      <c r="G353"/>
      <c r="H353"/>
      <c r="I353"/>
      <c r="J353"/>
      <c r="K353"/>
      <c r="L353"/>
      <c r="M353"/>
      <c r="N353"/>
      <c r="O353"/>
      <c r="P353"/>
      <c r="Q353"/>
      <c r="R353"/>
      <c r="S353"/>
      <c r="T353"/>
      <c r="U353"/>
      <c r="V353"/>
      <c r="W353"/>
    </row>
    <row r="354" spans="1:23" s="64" customFormat="1" outlineLevel="1">
      <c r="A354" s="65"/>
      <c r="B354" s="160"/>
      <c r="C354" s="161"/>
      <c r="D354" s="150"/>
      <c r="E354" s="162"/>
      <c r="F354" s="152"/>
      <c r="G354"/>
      <c r="H354"/>
      <c r="I354"/>
      <c r="J354"/>
      <c r="K354"/>
      <c r="L354"/>
      <c r="M354"/>
      <c r="N354"/>
      <c r="O354"/>
      <c r="P354"/>
      <c r="Q354"/>
      <c r="R354"/>
      <c r="S354"/>
      <c r="T354"/>
      <c r="U354"/>
      <c r="V354"/>
      <c r="W354"/>
    </row>
    <row r="355" spans="1:23" s="64" customFormat="1" outlineLevel="1">
      <c r="A355" s="65"/>
      <c r="B355" s="148"/>
      <c r="C355" s="149"/>
      <c r="D355" s="150"/>
      <c r="E355" s="151"/>
      <c r="F355" s="152"/>
      <c r="G355"/>
      <c r="H355"/>
      <c r="I355"/>
      <c r="J355"/>
      <c r="K355"/>
      <c r="L355"/>
      <c r="M355"/>
      <c r="N355"/>
      <c r="O355"/>
      <c r="P355"/>
      <c r="Q355"/>
      <c r="R355"/>
      <c r="S355"/>
      <c r="T355"/>
      <c r="U355"/>
      <c r="V355"/>
      <c r="W355"/>
    </row>
    <row r="356" spans="1:23" s="64" customFormat="1" outlineLevel="1">
      <c r="A356" s="65"/>
      <c r="B356" s="160"/>
      <c r="C356" s="161"/>
      <c r="D356" s="150"/>
      <c r="E356" s="162"/>
      <c r="F356" s="152"/>
      <c r="G356"/>
      <c r="H356"/>
      <c r="I356"/>
      <c r="J356"/>
      <c r="K356"/>
      <c r="L356"/>
      <c r="M356"/>
      <c r="N356"/>
      <c r="O356"/>
      <c r="P356"/>
      <c r="Q356"/>
      <c r="R356"/>
      <c r="S356"/>
      <c r="T356"/>
      <c r="U356"/>
      <c r="V356"/>
      <c r="W356"/>
    </row>
    <row r="357" spans="1:23" s="64" customFormat="1" outlineLevel="1">
      <c r="A357" s="65"/>
      <c r="B357" s="148"/>
      <c r="C357" s="149"/>
      <c r="D357" s="150"/>
      <c r="E357" s="151"/>
      <c r="F357" s="152"/>
      <c r="G357"/>
      <c r="H357"/>
      <c r="I357"/>
      <c r="J357"/>
      <c r="K357"/>
      <c r="L357"/>
      <c r="M357"/>
      <c r="N357"/>
      <c r="O357"/>
      <c r="P357"/>
      <c r="Q357"/>
      <c r="R357"/>
      <c r="S357"/>
      <c r="T357"/>
      <c r="U357"/>
      <c r="V357"/>
      <c r="W357"/>
    </row>
    <row r="358" spans="1:23" s="64" customFormat="1" outlineLevel="1">
      <c r="A358" s="65"/>
      <c r="B358" s="160"/>
      <c r="C358" s="161"/>
      <c r="D358" s="150"/>
      <c r="E358" s="162"/>
      <c r="F358" s="152"/>
      <c r="G358"/>
      <c r="H358"/>
      <c r="I358"/>
      <c r="J358"/>
      <c r="K358"/>
      <c r="L358"/>
      <c r="M358"/>
      <c r="N358"/>
      <c r="O358"/>
      <c r="P358"/>
      <c r="Q358"/>
      <c r="R358"/>
      <c r="S358"/>
      <c r="T358"/>
      <c r="U358"/>
      <c r="V358"/>
      <c r="W358"/>
    </row>
    <row r="359" spans="1:23" s="64" customFormat="1" outlineLevel="1">
      <c r="A359" s="65"/>
      <c r="B359" s="148"/>
      <c r="C359" s="149"/>
      <c r="D359" s="150"/>
      <c r="E359" s="151"/>
      <c r="F359" s="152"/>
      <c r="G359"/>
      <c r="H359"/>
      <c r="I359"/>
      <c r="J359"/>
      <c r="K359"/>
      <c r="L359"/>
      <c r="M359"/>
      <c r="N359"/>
      <c r="O359"/>
      <c r="P359"/>
      <c r="Q359"/>
      <c r="R359"/>
      <c r="S359"/>
      <c r="T359"/>
      <c r="U359"/>
      <c r="V359"/>
      <c r="W359"/>
    </row>
    <row r="360" spans="1:23" s="64" customFormat="1" outlineLevel="1">
      <c r="A360" s="65"/>
      <c r="B360" s="160"/>
      <c r="C360" s="161"/>
      <c r="D360" s="150"/>
      <c r="E360" s="162"/>
      <c r="F360" s="152"/>
      <c r="G360"/>
      <c r="H360"/>
      <c r="I360"/>
      <c r="J360"/>
      <c r="K360"/>
      <c r="L360"/>
      <c r="M360"/>
      <c r="N360"/>
      <c r="O360"/>
      <c r="P360"/>
      <c r="Q360"/>
      <c r="R360"/>
      <c r="S360"/>
      <c r="T360"/>
      <c r="U360"/>
      <c r="V360"/>
      <c r="W360"/>
    </row>
    <row r="361" spans="1:23" s="64" customFormat="1" outlineLevel="1">
      <c r="A361" s="65"/>
      <c r="B361" s="148"/>
      <c r="C361" s="149"/>
      <c r="D361" s="150"/>
      <c r="E361" s="151"/>
      <c r="F361" s="152"/>
      <c r="G361"/>
      <c r="H361"/>
      <c r="I361"/>
      <c r="J361"/>
      <c r="K361"/>
      <c r="L361"/>
      <c r="M361"/>
      <c r="N361"/>
      <c r="O361"/>
      <c r="P361"/>
      <c r="Q361"/>
      <c r="R361"/>
      <c r="S361"/>
      <c r="T361"/>
      <c r="U361"/>
      <c r="V361"/>
      <c r="W361"/>
    </row>
    <row r="362" spans="1:23" s="64" customFormat="1" outlineLevel="1">
      <c r="A362" s="65"/>
      <c r="B362" s="160"/>
      <c r="C362" s="161"/>
      <c r="D362" s="150"/>
      <c r="E362" s="162"/>
      <c r="F362" s="152"/>
      <c r="G362"/>
      <c r="H362"/>
      <c r="I362"/>
      <c r="J362"/>
      <c r="K362"/>
      <c r="L362"/>
      <c r="M362"/>
      <c r="N362"/>
      <c r="O362"/>
      <c r="P362"/>
      <c r="Q362"/>
      <c r="R362"/>
      <c r="S362"/>
      <c r="T362"/>
      <c r="U362"/>
      <c r="V362"/>
      <c r="W362"/>
    </row>
    <row r="363" spans="1:23" s="64" customFormat="1" outlineLevel="1">
      <c r="A363" s="65"/>
      <c r="B363" s="148"/>
      <c r="C363" s="149"/>
      <c r="D363" s="150"/>
      <c r="E363" s="151"/>
      <c r="F363" s="152"/>
      <c r="G363"/>
      <c r="H363"/>
      <c r="I363"/>
      <c r="J363"/>
      <c r="K363"/>
      <c r="L363"/>
      <c r="M363"/>
      <c r="N363"/>
      <c r="O363"/>
      <c r="P363"/>
      <c r="Q363"/>
      <c r="R363"/>
      <c r="S363"/>
      <c r="T363"/>
      <c r="U363"/>
      <c r="V363"/>
      <c r="W363"/>
    </row>
    <row r="364" spans="1:23" s="64" customFormat="1" outlineLevel="1">
      <c r="A364" s="65"/>
      <c r="B364" s="160"/>
      <c r="C364" s="161"/>
      <c r="D364" s="150"/>
      <c r="E364" s="162"/>
      <c r="F364" s="152"/>
      <c r="G364"/>
      <c r="H364"/>
      <c r="I364"/>
      <c r="J364"/>
      <c r="K364"/>
      <c r="L364"/>
      <c r="M364"/>
      <c r="N364"/>
      <c r="O364"/>
      <c r="P364"/>
      <c r="Q364"/>
      <c r="R364"/>
      <c r="S364"/>
      <c r="T364"/>
      <c r="U364"/>
      <c r="V364"/>
      <c r="W364"/>
    </row>
    <row r="365" spans="1:23" s="64" customFormat="1" outlineLevel="1">
      <c r="A365" s="65"/>
      <c r="B365" s="148"/>
      <c r="C365" s="149"/>
      <c r="D365" s="150"/>
      <c r="E365" s="151"/>
      <c r="F365" s="152"/>
      <c r="G365"/>
      <c r="H365"/>
      <c r="I365"/>
      <c r="J365"/>
      <c r="K365"/>
      <c r="L365"/>
      <c r="M365"/>
      <c r="N365"/>
      <c r="O365"/>
      <c r="P365"/>
      <c r="Q365"/>
      <c r="R365"/>
      <c r="S365"/>
      <c r="T365"/>
      <c r="U365"/>
      <c r="V365"/>
      <c r="W365"/>
    </row>
    <row r="366" spans="1:23" s="64" customFormat="1" outlineLevel="1">
      <c r="A366" s="65"/>
      <c r="B366" s="160"/>
      <c r="C366" s="161"/>
      <c r="D366" s="150"/>
      <c r="E366" s="162"/>
      <c r="F366" s="152"/>
      <c r="G366"/>
      <c r="H366"/>
      <c r="I366"/>
      <c r="J366"/>
      <c r="K366"/>
      <c r="L366"/>
      <c r="M366"/>
      <c r="N366"/>
      <c r="O366"/>
      <c r="P366"/>
      <c r="Q366"/>
      <c r="R366"/>
      <c r="S366"/>
      <c r="T366"/>
      <c r="U366"/>
      <c r="V366"/>
      <c r="W366"/>
    </row>
    <row r="367" spans="1:23" s="64" customFormat="1" outlineLevel="1">
      <c r="A367" s="65"/>
      <c r="B367" s="148"/>
      <c r="C367" s="149"/>
      <c r="D367" s="150"/>
      <c r="E367" s="151"/>
      <c r="F367" s="152"/>
      <c r="G367"/>
      <c r="H367"/>
      <c r="I367"/>
      <c r="J367"/>
      <c r="K367"/>
      <c r="L367"/>
      <c r="M367"/>
      <c r="N367"/>
      <c r="O367"/>
      <c r="P367"/>
      <c r="Q367"/>
      <c r="R367"/>
      <c r="S367"/>
      <c r="T367"/>
      <c r="U367"/>
      <c r="V367"/>
      <c r="W367"/>
    </row>
    <row r="368" spans="1:23" s="64" customFormat="1" outlineLevel="1">
      <c r="A368" s="65"/>
      <c r="B368" s="160"/>
      <c r="C368" s="161"/>
      <c r="D368" s="150"/>
      <c r="E368" s="162"/>
      <c r="F368" s="152"/>
      <c r="G368"/>
      <c r="H368"/>
      <c r="I368"/>
      <c r="J368"/>
      <c r="K368"/>
      <c r="L368"/>
      <c r="M368"/>
      <c r="N368"/>
      <c r="O368"/>
      <c r="P368"/>
      <c r="Q368"/>
      <c r="R368"/>
      <c r="S368"/>
      <c r="T368"/>
      <c r="U368"/>
      <c r="V368"/>
      <c r="W368"/>
    </row>
    <row r="369" spans="1:23" s="64" customFormat="1" outlineLevel="1">
      <c r="A369" s="65"/>
      <c r="B369" s="148"/>
      <c r="C369" s="149"/>
      <c r="D369" s="150"/>
      <c r="E369" s="151"/>
      <c r="F369" s="152"/>
      <c r="G369"/>
      <c r="H369"/>
      <c r="I369"/>
      <c r="J369"/>
      <c r="K369"/>
      <c r="L369"/>
      <c r="M369"/>
      <c r="N369"/>
      <c r="O369"/>
      <c r="P369"/>
      <c r="Q369"/>
      <c r="R369"/>
      <c r="S369"/>
      <c r="T369"/>
      <c r="U369"/>
      <c r="V369"/>
      <c r="W369"/>
    </row>
    <row r="370" spans="1:23" s="64" customFormat="1" outlineLevel="1">
      <c r="A370" s="65"/>
      <c r="B370" s="160"/>
      <c r="C370" s="161"/>
      <c r="D370" s="150"/>
      <c r="E370" s="162"/>
      <c r="F370" s="152"/>
      <c r="G370"/>
      <c r="H370"/>
      <c r="I370"/>
      <c r="J370"/>
      <c r="K370"/>
      <c r="L370"/>
      <c r="M370"/>
      <c r="N370"/>
      <c r="O370"/>
      <c r="P370"/>
      <c r="Q370"/>
      <c r="R370"/>
      <c r="S370"/>
      <c r="T370"/>
      <c r="U370"/>
      <c r="V370"/>
      <c r="W370"/>
    </row>
    <row r="371" spans="1:23" s="64" customFormat="1" outlineLevel="1">
      <c r="A371" s="65"/>
      <c r="B371" s="148"/>
      <c r="C371" s="149"/>
      <c r="D371" s="150"/>
      <c r="E371" s="151"/>
      <c r="F371" s="152"/>
      <c r="G371"/>
      <c r="H371"/>
      <c r="I371"/>
      <c r="J371"/>
      <c r="K371"/>
      <c r="L371"/>
      <c r="M371"/>
      <c r="N371"/>
      <c r="O371"/>
      <c r="P371"/>
      <c r="Q371"/>
      <c r="R371"/>
      <c r="S371"/>
      <c r="T371"/>
      <c r="U371"/>
      <c r="V371"/>
      <c r="W371"/>
    </row>
    <row r="372" spans="1:23" s="64" customFormat="1" outlineLevel="1">
      <c r="A372" s="65"/>
      <c r="B372" s="160"/>
      <c r="C372" s="161"/>
      <c r="D372" s="150"/>
      <c r="E372" s="162"/>
      <c r="F372" s="152"/>
      <c r="G372"/>
      <c r="H372"/>
      <c r="I372"/>
      <c r="J372"/>
      <c r="K372"/>
      <c r="L372"/>
      <c r="M372"/>
      <c r="N372"/>
      <c r="O372"/>
      <c r="P372"/>
      <c r="Q372"/>
      <c r="R372"/>
      <c r="S372"/>
      <c r="T372"/>
      <c r="U372"/>
      <c r="V372"/>
      <c r="W372"/>
    </row>
    <row r="373" spans="1:23" s="64" customFormat="1" outlineLevel="1">
      <c r="A373" s="65"/>
      <c r="B373" s="148"/>
      <c r="C373" s="149"/>
      <c r="D373" s="150"/>
      <c r="E373" s="151"/>
      <c r="F373" s="152"/>
      <c r="G373"/>
      <c r="H373"/>
      <c r="I373"/>
      <c r="J373"/>
      <c r="K373"/>
      <c r="L373"/>
      <c r="M373"/>
      <c r="N373"/>
      <c r="O373"/>
      <c r="P373"/>
      <c r="Q373"/>
      <c r="R373"/>
      <c r="S373"/>
      <c r="T373"/>
      <c r="U373"/>
      <c r="V373"/>
      <c r="W373"/>
    </row>
    <row r="374" spans="1:23" s="64" customFormat="1" outlineLevel="1">
      <c r="A374" s="65"/>
      <c r="B374" s="160"/>
      <c r="C374" s="161"/>
      <c r="D374" s="150"/>
      <c r="E374" s="162"/>
      <c r="F374" s="152"/>
      <c r="G374"/>
      <c r="H374"/>
      <c r="I374"/>
      <c r="J374"/>
      <c r="K374"/>
      <c r="L374"/>
      <c r="M374"/>
      <c r="N374"/>
      <c r="O374"/>
      <c r="P374"/>
      <c r="Q374"/>
      <c r="R374"/>
      <c r="S374"/>
      <c r="T374"/>
      <c r="U374"/>
      <c r="V374"/>
      <c r="W374"/>
    </row>
    <row r="375" spans="1:23" s="64" customFormat="1" outlineLevel="1">
      <c r="A375" s="65"/>
      <c r="B375" s="148"/>
      <c r="C375" s="149"/>
      <c r="D375" s="150"/>
      <c r="E375" s="151"/>
      <c r="F375" s="152"/>
      <c r="G375"/>
      <c r="H375"/>
      <c r="I375"/>
      <c r="J375"/>
      <c r="K375"/>
      <c r="L375"/>
      <c r="M375"/>
      <c r="N375"/>
      <c r="O375"/>
      <c r="P375"/>
      <c r="Q375"/>
      <c r="R375"/>
      <c r="S375"/>
      <c r="T375"/>
      <c r="U375"/>
      <c r="V375"/>
      <c r="W375"/>
    </row>
    <row r="376" spans="1:23" s="64" customFormat="1" outlineLevel="1">
      <c r="A376" s="65"/>
      <c r="B376" s="160"/>
      <c r="C376" s="161"/>
      <c r="D376" s="150"/>
      <c r="E376" s="162"/>
      <c r="F376" s="152"/>
      <c r="G376"/>
      <c r="H376"/>
      <c r="I376"/>
      <c r="J376"/>
      <c r="K376"/>
      <c r="L376"/>
      <c r="M376"/>
      <c r="N376"/>
      <c r="O376"/>
      <c r="P376"/>
      <c r="Q376"/>
      <c r="R376"/>
      <c r="S376"/>
      <c r="T376"/>
      <c r="U376"/>
      <c r="V376"/>
      <c r="W376"/>
    </row>
    <row r="377" spans="1:23" s="64" customFormat="1" outlineLevel="1">
      <c r="A377" s="65"/>
      <c r="B377" s="148"/>
      <c r="C377" s="149"/>
      <c r="D377" s="150"/>
      <c r="E377" s="151"/>
      <c r="F377" s="152"/>
      <c r="G377"/>
      <c r="H377"/>
      <c r="I377"/>
      <c r="J377"/>
      <c r="K377"/>
      <c r="L377"/>
      <c r="M377"/>
      <c r="N377"/>
      <c r="O377"/>
      <c r="P377"/>
      <c r="Q377"/>
      <c r="R377"/>
      <c r="S377"/>
      <c r="T377"/>
      <c r="U377"/>
      <c r="V377"/>
      <c r="W377"/>
    </row>
    <row r="378" spans="1:23" s="64" customFormat="1" outlineLevel="1">
      <c r="A378" s="65"/>
      <c r="B378" s="160"/>
      <c r="C378" s="161"/>
      <c r="D378" s="150"/>
      <c r="E378" s="162"/>
      <c r="F378" s="152"/>
      <c r="G378"/>
      <c r="H378"/>
      <c r="I378"/>
      <c r="J378"/>
      <c r="K378"/>
      <c r="L378"/>
      <c r="M378"/>
      <c r="N378"/>
      <c r="O378"/>
      <c r="P378"/>
      <c r="Q378"/>
      <c r="R378"/>
      <c r="S378"/>
      <c r="T378"/>
      <c r="U378"/>
      <c r="V378"/>
      <c r="W378"/>
    </row>
    <row r="379" spans="1:23" s="64" customFormat="1" outlineLevel="1">
      <c r="A379" s="65"/>
      <c r="B379" s="148"/>
      <c r="C379" s="149"/>
      <c r="D379" s="150"/>
      <c r="E379" s="151"/>
      <c r="F379" s="152"/>
      <c r="G379"/>
      <c r="H379"/>
      <c r="I379"/>
      <c r="J379"/>
      <c r="K379"/>
      <c r="L379"/>
      <c r="M379"/>
      <c r="N379"/>
      <c r="O379"/>
      <c r="P379"/>
      <c r="Q379"/>
      <c r="R379"/>
      <c r="S379"/>
      <c r="T379"/>
      <c r="U379"/>
      <c r="V379"/>
      <c r="W379"/>
    </row>
    <row r="380" spans="1:23" s="64" customFormat="1" outlineLevel="1">
      <c r="A380" s="65"/>
      <c r="B380" s="160"/>
      <c r="C380" s="161"/>
      <c r="D380" s="150"/>
      <c r="E380" s="162"/>
      <c r="F380" s="152"/>
      <c r="G380"/>
      <c r="H380"/>
      <c r="I380"/>
      <c r="J380"/>
      <c r="K380"/>
      <c r="L380"/>
      <c r="M380"/>
      <c r="N380"/>
      <c r="O380"/>
      <c r="P380"/>
      <c r="Q380"/>
      <c r="R380"/>
      <c r="S380"/>
      <c r="T380"/>
      <c r="U380"/>
      <c r="V380"/>
      <c r="W380"/>
    </row>
    <row r="381" spans="1:23" s="64" customFormat="1" outlineLevel="1">
      <c r="A381" s="65"/>
      <c r="B381" s="148"/>
      <c r="C381" s="149"/>
      <c r="D381" s="150"/>
      <c r="E381" s="151"/>
      <c r="F381" s="152"/>
      <c r="G381"/>
      <c r="H381"/>
      <c r="I381"/>
      <c r="J381"/>
      <c r="K381"/>
      <c r="L381"/>
      <c r="M381"/>
      <c r="N381"/>
      <c r="O381"/>
      <c r="P381"/>
      <c r="Q381"/>
      <c r="R381"/>
      <c r="S381"/>
      <c r="T381"/>
      <c r="U381"/>
      <c r="V381"/>
      <c r="W381"/>
    </row>
    <row r="382" spans="1:23" s="64" customFormat="1" outlineLevel="1">
      <c r="A382" s="65"/>
      <c r="B382" s="160"/>
      <c r="C382" s="161"/>
      <c r="D382" s="150"/>
      <c r="E382" s="162"/>
      <c r="F382" s="152"/>
      <c r="G382"/>
      <c r="H382"/>
      <c r="I382"/>
      <c r="J382"/>
      <c r="K382"/>
      <c r="L382"/>
      <c r="M382"/>
      <c r="N382"/>
      <c r="O382"/>
      <c r="P382"/>
      <c r="Q382"/>
      <c r="R382"/>
      <c r="S382"/>
      <c r="T382"/>
      <c r="U382"/>
      <c r="V382"/>
      <c r="W382"/>
    </row>
    <row r="383" spans="1:23" s="64" customFormat="1" outlineLevel="1">
      <c r="A383" s="65"/>
      <c r="B383" s="148"/>
      <c r="C383" s="149"/>
      <c r="D383" s="150"/>
      <c r="E383" s="151"/>
      <c r="F383" s="152"/>
      <c r="G383"/>
      <c r="H383"/>
      <c r="I383"/>
      <c r="J383"/>
      <c r="K383"/>
      <c r="L383"/>
      <c r="M383"/>
      <c r="N383"/>
      <c r="O383"/>
      <c r="P383"/>
      <c r="Q383"/>
      <c r="R383"/>
      <c r="S383"/>
      <c r="T383"/>
      <c r="U383"/>
      <c r="V383"/>
      <c r="W383"/>
    </row>
    <row r="384" spans="1:23" s="64" customFormat="1" outlineLevel="1">
      <c r="A384" s="65"/>
      <c r="B384" s="160"/>
      <c r="C384" s="161"/>
      <c r="D384" s="150"/>
      <c r="E384" s="162"/>
      <c r="F384" s="152"/>
      <c r="G384"/>
      <c r="H384"/>
      <c r="I384"/>
      <c r="J384"/>
      <c r="K384"/>
      <c r="L384"/>
      <c r="M384"/>
      <c r="N384"/>
      <c r="O384"/>
      <c r="P384"/>
      <c r="Q384"/>
      <c r="R384"/>
      <c r="S384"/>
      <c r="T384"/>
      <c r="U384"/>
      <c r="V384"/>
      <c r="W384"/>
    </row>
    <row r="385" spans="1:23" s="64" customFormat="1" outlineLevel="1">
      <c r="A385" s="65"/>
      <c r="B385" s="148"/>
      <c r="C385" s="149"/>
      <c r="D385" s="150"/>
      <c r="E385" s="151"/>
      <c r="F385" s="152"/>
      <c r="G385"/>
      <c r="H385"/>
      <c r="I385"/>
      <c r="J385"/>
      <c r="K385"/>
      <c r="L385"/>
      <c r="M385"/>
      <c r="N385"/>
      <c r="O385"/>
      <c r="P385"/>
      <c r="Q385"/>
      <c r="R385"/>
      <c r="S385"/>
      <c r="T385"/>
      <c r="U385"/>
      <c r="V385"/>
      <c r="W385"/>
    </row>
    <row r="386" spans="1:23" s="64" customFormat="1" outlineLevel="1">
      <c r="A386" s="65"/>
      <c r="B386" s="160"/>
      <c r="C386" s="161"/>
      <c r="D386" s="150"/>
      <c r="E386" s="162"/>
      <c r="F386" s="152"/>
      <c r="G386"/>
      <c r="H386"/>
      <c r="I386"/>
      <c r="J386"/>
      <c r="K386"/>
      <c r="L386"/>
      <c r="M386"/>
      <c r="N386"/>
      <c r="O386"/>
      <c r="P386"/>
      <c r="Q386"/>
      <c r="R386"/>
      <c r="S386"/>
      <c r="T386"/>
      <c r="U386"/>
      <c r="V386"/>
      <c r="W386"/>
    </row>
    <row r="387" spans="1:23" s="64" customFormat="1" outlineLevel="1">
      <c r="A387" s="65"/>
      <c r="B387" s="148"/>
      <c r="C387" s="149"/>
      <c r="D387" s="150"/>
      <c r="E387" s="151"/>
      <c r="F387" s="152"/>
      <c r="G387"/>
      <c r="H387"/>
      <c r="I387"/>
      <c r="J387"/>
      <c r="K387"/>
      <c r="L387"/>
      <c r="M387"/>
      <c r="N387"/>
      <c r="O387"/>
      <c r="P387"/>
      <c r="Q387"/>
      <c r="R387"/>
      <c r="S387"/>
      <c r="T387"/>
      <c r="U387"/>
      <c r="V387"/>
      <c r="W387"/>
    </row>
    <row r="388" spans="1:23" s="64" customFormat="1" outlineLevel="1">
      <c r="A388" s="65"/>
      <c r="B388" s="160"/>
      <c r="C388" s="161"/>
      <c r="D388" s="150"/>
      <c r="E388" s="162"/>
      <c r="F388" s="152"/>
      <c r="G388"/>
      <c r="H388"/>
      <c r="I388"/>
      <c r="J388"/>
      <c r="K388"/>
      <c r="L388"/>
      <c r="M388"/>
      <c r="N388"/>
      <c r="O388"/>
      <c r="P388"/>
      <c r="Q388"/>
      <c r="R388"/>
      <c r="S388"/>
      <c r="T388"/>
      <c r="U388"/>
      <c r="V388"/>
      <c r="W388"/>
    </row>
    <row r="389" spans="1:23" s="64" customFormat="1" outlineLevel="1">
      <c r="A389" s="65"/>
      <c r="B389" s="148"/>
      <c r="C389" s="149"/>
      <c r="D389" s="150"/>
      <c r="E389" s="151"/>
      <c r="F389" s="152"/>
      <c r="G389"/>
      <c r="H389"/>
      <c r="I389"/>
      <c r="J389"/>
      <c r="K389"/>
      <c r="L389"/>
      <c r="M389"/>
      <c r="N389"/>
      <c r="O389"/>
      <c r="P389"/>
      <c r="Q389"/>
      <c r="R389"/>
      <c r="S389"/>
      <c r="T389"/>
      <c r="U389"/>
      <c r="V389"/>
      <c r="W389"/>
    </row>
    <row r="390" spans="1:23" s="64" customFormat="1" outlineLevel="1">
      <c r="A390" s="65"/>
      <c r="B390" s="160"/>
      <c r="C390" s="161"/>
      <c r="D390" s="150"/>
      <c r="E390" s="162"/>
      <c r="F390" s="152"/>
      <c r="G390"/>
      <c r="H390"/>
      <c r="I390"/>
      <c r="J390"/>
      <c r="K390"/>
      <c r="L390"/>
      <c r="M390"/>
      <c r="N390"/>
      <c r="O390"/>
      <c r="P390"/>
      <c r="Q390"/>
      <c r="R390"/>
      <c r="S390"/>
      <c r="T390"/>
      <c r="U390"/>
      <c r="V390"/>
      <c r="W390"/>
    </row>
    <row r="391" spans="1:23" s="64" customFormat="1" outlineLevel="1">
      <c r="A391" s="65"/>
      <c r="B391" s="148"/>
      <c r="C391" s="149"/>
      <c r="D391" s="150"/>
      <c r="E391" s="151"/>
      <c r="F391" s="152"/>
      <c r="G391"/>
      <c r="H391"/>
      <c r="I391"/>
      <c r="J391"/>
      <c r="K391"/>
      <c r="L391"/>
      <c r="M391"/>
      <c r="N391"/>
      <c r="O391"/>
      <c r="P391"/>
      <c r="Q391"/>
      <c r="R391"/>
      <c r="S391"/>
      <c r="T391"/>
      <c r="U391"/>
      <c r="V391"/>
      <c r="W391"/>
    </row>
    <row r="392" spans="1:23" s="64" customFormat="1" outlineLevel="1">
      <c r="A392" s="65"/>
      <c r="B392" s="160"/>
      <c r="C392" s="161"/>
      <c r="D392" s="150"/>
      <c r="E392" s="162"/>
      <c r="F392" s="152"/>
      <c r="G392"/>
      <c r="H392"/>
      <c r="I392"/>
      <c r="J392"/>
      <c r="K392"/>
      <c r="L392"/>
      <c r="M392"/>
      <c r="N392"/>
      <c r="O392"/>
      <c r="P392"/>
      <c r="Q392"/>
      <c r="R392"/>
      <c r="S392"/>
      <c r="T392"/>
      <c r="U392"/>
      <c r="V392"/>
      <c r="W392"/>
    </row>
    <row r="393" spans="1:23" s="64" customFormat="1" outlineLevel="1">
      <c r="A393" s="65"/>
      <c r="B393" s="148"/>
      <c r="C393" s="149"/>
      <c r="D393" s="150"/>
      <c r="E393" s="151"/>
      <c r="F393" s="152"/>
      <c r="G393"/>
      <c r="H393"/>
      <c r="I393"/>
      <c r="J393"/>
      <c r="K393"/>
      <c r="L393"/>
      <c r="M393"/>
      <c r="N393"/>
      <c r="O393"/>
      <c r="P393"/>
      <c r="Q393"/>
      <c r="R393"/>
      <c r="S393"/>
      <c r="T393"/>
      <c r="U393"/>
      <c r="V393"/>
      <c r="W393"/>
    </row>
    <row r="394" spans="1:23" s="64" customFormat="1" outlineLevel="1">
      <c r="A394" s="65"/>
      <c r="B394" s="160"/>
      <c r="C394" s="161"/>
      <c r="D394" s="150"/>
      <c r="E394" s="162"/>
      <c r="F394" s="152"/>
      <c r="G394"/>
      <c r="H394"/>
      <c r="I394"/>
      <c r="J394"/>
      <c r="K394"/>
      <c r="L394"/>
      <c r="M394"/>
      <c r="N394"/>
      <c r="O394"/>
      <c r="P394"/>
      <c r="Q394"/>
      <c r="R394"/>
      <c r="S394"/>
      <c r="T394"/>
      <c r="U394"/>
      <c r="V394"/>
      <c r="W394"/>
    </row>
    <row r="395" spans="1:23" s="64" customFormat="1" outlineLevel="1">
      <c r="A395" s="65"/>
      <c r="B395" s="148"/>
      <c r="C395" s="149"/>
      <c r="D395" s="150"/>
      <c r="E395" s="151"/>
      <c r="F395" s="152"/>
      <c r="G395"/>
      <c r="H395"/>
      <c r="I395"/>
      <c r="J395"/>
      <c r="K395"/>
      <c r="L395"/>
      <c r="M395"/>
      <c r="N395"/>
      <c r="O395"/>
      <c r="P395"/>
      <c r="Q395"/>
      <c r="R395"/>
      <c r="S395"/>
      <c r="T395"/>
      <c r="U395"/>
      <c r="V395"/>
      <c r="W395"/>
    </row>
    <row r="396" spans="1:23" s="64" customFormat="1" outlineLevel="1">
      <c r="A396" s="65"/>
      <c r="B396" s="160"/>
      <c r="C396" s="161"/>
      <c r="D396" s="150"/>
      <c r="E396" s="162"/>
      <c r="F396" s="152"/>
      <c r="G396"/>
      <c r="H396"/>
      <c r="I396"/>
      <c r="J396"/>
      <c r="K396"/>
      <c r="L396"/>
      <c r="M396"/>
      <c r="N396"/>
      <c r="O396"/>
      <c r="P396"/>
      <c r="Q396"/>
      <c r="R396"/>
      <c r="S396"/>
      <c r="T396"/>
      <c r="U396"/>
      <c r="V396"/>
      <c r="W396"/>
    </row>
    <row r="397" spans="1:23" s="64" customFormat="1" outlineLevel="1">
      <c r="A397" s="65"/>
      <c r="B397" s="148"/>
      <c r="C397" s="149"/>
      <c r="D397" s="150"/>
      <c r="E397" s="151"/>
      <c r="F397" s="152"/>
      <c r="G397"/>
      <c r="H397"/>
      <c r="I397"/>
      <c r="J397"/>
      <c r="K397"/>
      <c r="L397"/>
      <c r="M397"/>
      <c r="N397"/>
      <c r="O397"/>
      <c r="P397"/>
      <c r="Q397"/>
      <c r="R397"/>
      <c r="S397"/>
      <c r="T397"/>
      <c r="U397"/>
      <c r="V397"/>
      <c r="W397"/>
    </row>
    <row r="398" spans="1:23" s="64" customFormat="1" outlineLevel="1">
      <c r="A398" s="65"/>
      <c r="B398" s="160"/>
      <c r="C398" s="161"/>
      <c r="D398" s="150"/>
      <c r="E398" s="162"/>
      <c r="F398" s="152"/>
      <c r="G398"/>
      <c r="H398"/>
      <c r="I398"/>
      <c r="J398"/>
      <c r="K398"/>
      <c r="L398"/>
      <c r="M398"/>
      <c r="N398"/>
      <c r="O398"/>
      <c r="P398"/>
      <c r="Q398"/>
      <c r="R398"/>
      <c r="S398"/>
      <c r="T398"/>
      <c r="U398"/>
      <c r="V398"/>
      <c r="W398"/>
    </row>
    <row r="399" spans="1:23" s="64" customFormat="1" outlineLevel="1">
      <c r="A399" s="65"/>
      <c r="B399" s="148"/>
      <c r="C399" s="149"/>
      <c r="D399" s="150"/>
      <c r="E399" s="151"/>
      <c r="F399" s="152"/>
      <c r="G399"/>
      <c r="H399"/>
      <c r="I399"/>
      <c r="J399"/>
      <c r="K399"/>
      <c r="L399"/>
      <c r="M399"/>
      <c r="N399"/>
      <c r="O399"/>
      <c r="P399"/>
      <c r="Q399"/>
      <c r="R399"/>
      <c r="S399"/>
      <c r="T399"/>
      <c r="U399"/>
      <c r="V399"/>
      <c r="W399"/>
    </row>
    <row r="400" spans="1:23" s="64" customFormat="1" outlineLevel="1">
      <c r="A400" s="65"/>
      <c r="B400" s="160"/>
      <c r="C400" s="161"/>
      <c r="D400" s="150"/>
      <c r="E400" s="162"/>
      <c r="F400" s="152"/>
      <c r="G400"/>
      <c r="H400"/>
      <c r="I400"/>
      <c r="J400"/>
      <c r="K400"/>
      <c r="L400"/>
      <c r="M400"/>
      <c r="N400"/>
      <c r="O400"/>
      <c r="P400"/>
      <c r="Q400"/>
      <c r="R400"/>
      <c r="S400"/>
      <c r="T400"/>
      <c r="U400"/>
      <c r="V400"/>
      <c r="W400"/>
    </row>
    <row r="401" spans="1:71" s="64" customFormat="1" outlineLevel="1">
      <c r="A401" s="65"/>
      <c r="B401" s="148"/>
      <c r="C401" s="149"/>
      <c r="D401" s="150"/>
      <c r="E401" s="151"/>
      <c r="F401" s="152"/>
      <c r="G401"/>
      <c r="H401"/>
      <c r="I401"/>
      <c r="J401"/>
      <c r="K401"/>
      <c r="L401"/>
      <c r="M401"/>
      <c r="N401"/>
      <c r="O401"/>
      <c r="P401"/>
      <c r="Q401"/>
      <c r="R401"/>
      <c r="S401"/>
      <c r="T401"/>
      <c r="U401"/>
      <c r="V401"/>
      <c r="W401"/>
    </row>
    <row r="402" spans="1:71" s="64" customFormat="1" outlineLevel="1">
      <c r="A402" s="65"/>
      <c r="B402" s="160"/>
      <c r="C402" s="161"/>
      <c r="D402" s="150"/>
      <c r="E402" s="162"/>
      <c r="F402" s="152"/>
      <c r="G402"/>
      <c r="H402"/>
      <c r="I402"/>
      <c r="J402"/>
      <c r="K402"/>
      <c r="L402"/>
      <c r="M402"/>
      <c r="N402"/>
      <c r="O402"/>
      <c r="P402"/>
      <c r="Q402"/>
      <c r="R402"/>
      <c r="S402"/>
      <c r="T402"/>
      <c r="U402"/>
      <c r="V402"/>
      <c r="W402"/>
    </row>
    <row r="403" spans="1:71" s="64" customFormat="1" outlineLevel="1">
      <c r="A403" s="65"/>
      <c r="B403" s="148"/>
      <c r="C403" s="149"/>
      <c r="D403" s="150"/>
      <c r="E403" s="151"/>
      <c r="F403" s="152"/>
      <c r="G403"/>
      <c r="H403"/>
      <c r="I403"/>
      <c r="J403"/>
      <c r="K403"/>
      <c r="L403"/>
      <c r="M403"/>
      <c r="N403"/>
      <c r="O403"/>
      <c r="P403"/>
      <c r="Q403"/>
      <c r="R403"/>
      <c r="S403"/>
      <c r="T403"/>
      <c r="U403"/>
      <c r="V403"/>
      <c r="W403"/>
    </row>
    <row r="404" spans="1:71" s="64" customFormat="1" outlineLevel="1">
      <c r="A404" s="65"/>
      <c r="B404" s="160"/>
      <c r="C404" s="161"/>
      <c r="D404" s="150"/>
      <c r="E404" s="162"/>
      <c r="F404" s="152"/>
      <c r="G404"/>
      <c r="H404"/>
      <c r="I404"/>
      <c r="J404"/>
      <c r="K404"/>
      <c r="L404"/>
      <c r="M404"/>
      <c r="N404"/>
      <c r="O404"/>
      <c r="P404"/>
      <c r="Q404"/>
      <c r="R404"/>
      <c r="S404"/>
      <c r="T404"/>
      <c r="U404"/>
      <c r="V404"/>
      <c r="W404"/>
    </row>
    <row r="405" spans="1:71" s="64" customFormat="1" outlineLevel="1">
      <c r="A405" s="65"/>
      <c r="B405" s="148"/>
      <c r="C405" s="149"/>
      <c r="D405" s="150"/>
      <c r="E405" s="151"/>
      <c r="F405" s="152"/>
      <c r="G405"/>
      <c r="H405"/>
      <c r="I405"/>
      <c r="J405"/>
      <c r="K405"/>
      <c r="L405"/>
      <c r="M405"/>
      <c r="N405"/>
      <c r="O405"/>
      <c r="P405"/>
      <c r="Q405"/>
      <c r="R405"/>
      <c r="S405"/>
      <c r="T405"/>
      <c r="U405"/>
      <c r="V405"/>
      <c r="W405"/>
    </row>
    <row r="406" spans="1:71" s="64" customFormat="1" outlineLevel="1">
      <c r="A406" s="65"/>
      <c r="B406" s="160"/>
      <c r="C406" s="161"/>
      <c r="D406" s="150"/>
      <c r="E406" s="162"/>
      <c r="F406" s="152"/>
      <c r="G406"/>
      <c r="H406"/>
      <c r="I406"/>
      <c r="J406"/>
      <c r="K406"/>
      <c r="L406"/>
      <c r="M406"/>
      <c r="N406"/>
      <c r="O406"/>
      <c r="P406"/>
      <c r="Q406"/>
      <c r="R406"/>
      <c r="S406"/>
      <c r="T406"/>
      <c r="U406"/>
      <c r="V406"/>
      <c r="W406"/>
    </row>
    <row r="407" spans="1:71" s="64" customFormat="1" outlineLevel="1">
      <c r="A407" s="65"/>
      <c r="B407" s="148"/>
      <c r="C407" s="149"/>
      <c r="D407" s="150"/>
      <c r="E407" s="151"/>
      <c r="F407" s="152"/>
      <c r="G407"/>
      <c r="H407"/>
      <c r="I407"/>
      <c r="J407"/>
      <c r="K407"/>
      <c r="L407"/>
      <c r="M407"/>
      <c r="N407"/>
      <c r="O407"/>
      <c r="P407"/>
      <c r="Q407"/>
      <c r="R407"/>
      <c r="S407"/>
      <c r="T407"/>
      <c r="U407"/>
      <c r="V407"/>
      <c r="W407"/>
    </row>
    <row r="408" spans="1:71">
      <c r="B408" s="93" t="s">
        <v>1622</v>
      </c>
      <c r="C408" s="89" t="s">
        <v>1623</v>
      </c>
      <c r="D408" s="510" t="s">
        <v>954</v>
      </c>
      <c r="E408" s="91" t="str">
        <f>DEC2HEX(Main_Parameters!$D$119-3,4)</f>
        <v>0C34</v>
      </c>
      <c r="F408" s="97"/>
      <c r="G408"/>
      <c r="H408"/>
      <c r="I408"/>
      <c r="J408"/>
      <c r="K408"/>
      <c r="L408"/>
      <c r="M408"/>
      <c r="N408"/>
      <c r="O408"/>
      <c r="P408"/>
      <c r="Q408"/>
      <c r="R408"/>
      <c r="S408"/>
      <c r="T408"/>
      <c r="U408"/>
      <c r="V408"/>
      <c r="W408"/>
    </row>
    <row r="409" spans="1:71">
      <c r="B409" s="88" t="s">
        <v>1622</v>
      </c>
      <c r="C409" s="98" t="s">
        <v>2220</v>
      </c>
      <c r="D409" s="513" t="s">
        <v>1007</v>
      </c>
      <c r="E409" s="511" t="s">
        <v>1870</v>
      </c>
      <c r="F409" s="92"/>
      <c r="G409"/>
      <c r="H409"/>
      <c r="I409"/>
      <c r="J409"/>
      <c r="K409"/>
      <c r="L409"/>
      <c r="M409"/>
      <c r="N409"/>
      <c r="O409"/>
      <c r="P409"/>
      <c r="Q409"/>
      <c r="R409"/>
      <c r="S409"/>
      <c r="T409"/>
      <c r="U409"/>
      <c r="V409"/>
      <c r="W409"/>
    </row>
    <row r="410" spans="1:71" s="64" customFormat="1">
      <c r="A410" s="65"/>
      <c r="B410" s="173" t="s">
        <v>1864</v>
      </c>
      <c r="C410" s="89"/>
      <c r="D410" s="90"/>
      <c r="E410" s="166"/>
      <c r="F410" s="97"/>
      <c r="G410"/>
      <c r="H410" s="65"/>
      <c r="I410" s="65"/>
      <c r="J410" s="65"/>
      <c r="K410" s="65"/>
      <c r="L410" s="65"/>
      <c r="M410" s="65"/>
      <c r="N410" s="65"/>
      <c r="O410" s="65"/>
      <c r="P410" s="65"/>
      <c r="Q410" s="65"/>
      <c r="R410" s="65"/>
      <c r="S410" s="65"/>
      <c r="T410" s="65"/>
      <c r="U410" s="65"/>
      <c r="V410" s="65"/>
      <c r="W410" s="65"/>
    </row>
    <row r="411" spans="1:71" s="64" customFormat="1">
      <c r="A411" s="65"/>
      <c r="B411"/>
      <c r="C411" s="65"/>
      <c r="D411" s="65"/>
      <c r="E411" s="66"/>
      <c r="F411" s="65"/>
      <c r="G411" s="65"/>
      <c r="H411" s="65"/>
      <c r="I411" s="65"/>
      <c r="J411" s="65"/>
      <c r="K411" s="65"/>
      <c r="L411" s="65"/>
      <c r="M411" s="65"/>
      <c r="N411" s="65"/>
      <c r="O411" s="65"/>
      <c r="P411" s="65"/>
      <c r="Q411" s="65"/>
      <c r="R411" s="65"/>
      <c r="S411" s="65"/>
      <c r="T411" s="65"/>
      <c r="U411" s="65"/>
      <c r="V411" s="65"/>
      <c r="W411" s="65"/>
    </row>
    <row r="413" spans="1:71" ht="28.5" customHeight="1">
      <c r="B413" s="168" t="s">
        <v>1032</v>
      </c>
      <c r="C413" s="169" t="s">
        <v>2237</v>
      </c>
      <c r="D413" s="170"/>
      <c r="E413" s="171"/>
      <c r="F413" s="172" t="s">
        <v>2219</v>
      </c>
      <c r="X413" s="65"/>
      <c r="Y413" s="65"/>
      <c r="Z413" s="65"/>
      <c r="AA413" s="65"/>
      <c r="AB413" s="65"/>
      <c r="AC413" s="65"/>
      <c r="AD413" s="65"/>
      <c r="AE413" s="65"/>
      <c r="AF413" s="65"/>
      <c r="AG413" s="65"/>
      <c r="AH413" s="65"/>
      <c r="AI413" s="65"/>
      <c r="AJ413" s="65"/>
      <c r="AK413" s="65"/>
      <c r="AL413" s="65"/>
      <c r="AM413" s="65"/>
      <c r="AN413" s="65"/>
      <c r="AO413" s="65"/>
      <c r="AP413" s="65"/>
      <c r="AQ413" s="65"/>
      <c r="AR413" s="65"/>
      <c r="AS413" s="65"/>
      <c r="AT413" s="65"/>
      <c r="AU413" s="65"/>
      <c r="AV413" s="65"/>
      <c r="AW413" s="65"/>
      <c r="AX413" s="65"/>
      <c r="AY413" s="65"/>
      <c r="AZ413" s="65"/>
      <c r="BA413" s="65"/>
      <c r="BB413" s="65"/>
      <c r="BC413" s="65"/>
      <c r="BD413" s="65"/>
      <c r="BE413" s="65"/>
    </row>
    <row r="414" spans="1:71" s="64" customFormat="1" ht="15.75">
      <c r="B414" s="174" t="s">
        <v>1032</v>
      </c>
      <c r="C414" s="175" t="s">
        <v>2238</v>
      </c>
      <c r="D414" s="176"/>
      <c r="E414" s="176"/>
      <c r="F414" s="177"/>
      <c r="G414"/>
      <c r="H414" s="65"/>
      <c r="I414" s="65"/>
      <c r="J414" s="65"/>
      <c r="K414" s="65"/>
      <c r="L414" s="65"/>
      <c r="M414" s="65"/>
      <c r="N414" s="65"/>
      <c r="O414" s="65"/>
      <c r="P414" s="65"/>
      <c r="Q414"/>
      <c r="R414"/>
      <c r="S414"/>
      <c r="T414"/>
      <c r="U414"/>
      <c r="V414"/>
      <c r="W414"/>
      <c r="X414" s="131"/>
      <c r="AH414" s="131"/>
      <c r="BF414" s="65"/>
      <c r="BG414" s="65"/>
      <c r="BH414" s="65"/>
      <c r="BI414" s="65"/>
      <c r="BJ414" s="65"/>
      <c r="BK414" s="65"/>
      <c r="BL414" s="65"/>
      <c r="BM414" s="65"/>
      <c r="BN414" s="65"/>
      <c r="BO414" s="65"/>
      <c r="BP414" s="65"/>
      <c r="BQ414" s="65"/>
      <c r="BR414" s="65"/>
      <c r="BS414" s="65"/>
    </row>
    <row r="415" spans="1:71">
      <c r="B415" s="84" t="s">
        <v>1032</v>
      </c>
      <c r="C415" s="163" t="s">
        <v>2239</v>
      </c>
      <c r="D415" s="164"/>
      <c r="E415" s="165"/>
      <c r="F415" s="87"/>
      <c r="X415" s="65"/>
      <c r="Y415" s="65"/>
      <c r="Z415" s="65"/>
      <c r="AA415" s="65"/>
      <c r="AB415" s="65"/>
      <c r="AC415" s="65"/>
      <c r="AD415" s="65"/>
      <c r="AE415" s="65"/>
      <c r="AF415" s="65"/>
      <c r="AG415" s="65"/>
      <c r="AH415" s="65"/>
      <c r="AI415" s="65"/>
      <c r="AJ415" s="65"/>
      <c r="AK415" s="65"/>
      <c r="AL415" s="65"/>
      <c r="AM415" s="65"/>
      <c r="AN415" s="65"/>
      <c r="AO415" s="65"/>
      <c r="AP415" s="65"/>
      <c r="AQ415" s="65"/>
      <c r="AR415" s="65"/>
      <c r="AS415" s="65"/>
      <c r="AT415" s="65"/>
      <c r="AU415" s="65"/>
      <c r="AV415" s="65"/>
      <c r="AW415" s="65"/>
      <c r="AX415" s="65"/>
      <c r="AY415" s="65"/>
      <c r="AZ415" s="65"/>
      <c r="BA415" s="65"/>
      <c r="BB415" s="65"/>
      <c r="BC415" s="65"/>
      <c r="BD415" s="65"/>
      <c r="BE415" s="65"/>
    </row>
    <row r="416" spans="1:71">
      <c r="B416" s="93" t="s">
        <v>1622</v>
      </c>
      <c r="C416" s="89" t="s">
        <v>1623</v>
      </c>
      <c r="D416" s="510" t="s">
        <v>954</v>
      </c>
      <c r="E416" s="91" t="str">
        <f>DEC2HEX(Main_Parameters!$D$119-3,4)</f>
        <v>0C34</v>
      </c>
      <c r="F416" s="97"/>
      <c r="X416" s="65"/>
      <c r="Y416" s="65"/>
      <c r="Z416" s="65"/>
      <c r="AA416" s="65"/>
      <c r="AB416" s="65"/>
      <c r="AC416" s="65"/>
      <c r="AD416" s="65"/>
      <c r="AE416" s="65"/>
      <c r="AF416" s="65"/>
      <c r="AG416" s="65"/>
      <c r="AH416" s="65"/>
      <c r="AI416" s="65"/>
      <c r="AJ416" s="65"/>
      <c r="AK416" s="65"/>
      <c r="AL416" s="65"/>
      <c r="AM416" s="65"/>
      <c r="AN416" s="65"/>
      <c r="AO416" s="65"/>
      <c r="AP416" s="65"/>
      <c r="AQ416" s="65"/>
      <c r="AR416" s="65"/>
      <c r="AS416" s="65"/>
      <c r="AT416" s="65"/>
      <c r="AU416" s="65"/>
      <c r="AV416" s="65"/>
      <c r="AW416" s="65"/>
      <c r="AX416" s="65"/>
      <c r="AY416" s="65"/>
      <c r="AZ416" s="65"/>
      <c r="BA416" s="65"/>
      <c r="BB416" s="65"/>
      <c r="BC416" s="65"/>
      <c r="BD416" s="65"/>
      <c r="BE416" s="65"/>
    </row>
    <row r="417" spans="1:71">
      <c r="B417" s="84" t="s">
        <v>1032</v>
      </c>
      <c r="C417" s="99" t="s">
        <v>1846</v>
      </c>
      <c r="D417" s="84"/>
      <c r="E417" s="100"/>
      <c r="F417" s="8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s="65"/>
      <c r="AT417" s="65"/>
      <c r="AU417" s="65"/>
      <c r="AV417" s="65"/>
      <c r="AW417" s="65"/>
      <c r="AX417" s="65"/>
      <c r="AY417" s="65"/>
      <c r="AZ417" s="65"/>
      <c r="BA417" s="65"/>
      <c r="BB417" s="65"/>
      <c r="BC417" s="65"/>
      <c r="BD417" s="65"/>
      <c r="BE417" s="65"/>
    </row>
    <row r="418" spans="1:71" s="64" customFormat="1">
      <c r="A418" s="65"/>
      <c r="B418" s="101" t="str">
        <f>IF(G418="Disable","REMnd","WR16")</f>
        <v>WR16</v>
      </c>
      <c r="C418" s="94" t="s">
        <v>1631</v>
      </c>
      <c r="D418" s="513" t="s">
        <v>1632</v>
      </c>
      <c r="E418" s="91" t="str">
        <f>DEC2HEX(Y418*2^31+Z418*2^30+AA418*2^29+AB418*2^28+AC418*2^27+AD418*2^26+AE418*2^25+AF418*2^24+AG418*2^23+AH418*2^22+AI418*2^21+AJ418*2^20+AK418*2^19+AL418*2^18+AM418*2^17+AN418*2^16+AO418*2^15+AP418*2^14+AQ418*2^13+AR418*2^12+AS418*2^11+AT418*2^10+AU418*2^9+AV418*2^8+AW418*2^7+AX418*2^6+AY418*2^5+AZ418*2^4+BA418*2^3+BB418*2^2+BC418*2^1+BD418*2^0,4)</f>
        <v>0D3F</v>
      </c>
      <c r="F418" s="97" t="s">
        <v>1890</v>
      </c>
      <c r="G418" s="104" t="s">
        <v>721</v>
      </c>
      <c r="H418" s="178" t="s">
        <v>1848</v>
      </c>
      <c r="I418" s="178" t="s">
        <v>1849</v>
      </c>
      <c r="J418" s="178" t="s">
        <v>1850</v>
      </c>
      <c r="K418" s="178" t="s">
        <v>1851</v>
      </c>
      <c r="L418" s="104" t="s">
        <v>1852</v>
      </c>
      <c r="M418" s="104" t="s">
        <v>1853</v>
      </c>
      <c r="N418" s="104" t="s">
        <v>1891</v>
      </c>
      <c r="O418" s="104" t="s">
        <v>1855</v>
      </c>
      <c r="P418" s="178" t="s">
        <v>1714</v>
      </c>
      <c r="Q418" s="178" t="s">
        <v>1715</v>
      </c>
      <c r="R418" s="104" t="s">
        <v>1892</v>
      </c>
      <c r="S418" s="104" t="s">
        <v>1857</v>
      </c>
      <c r="T418" s="104" t="s">
        <v>1858</v>
      </c>
      <c r="U418" s="104" t="s">
        <v>1859</v>
      </c>
      <c r="V418" s="104" t="s">
        <v>1860</v>
      </c>
      <c r="W418" s="104" t="s">
        <v>1861</v>
      </c>
      <c r="X418" s="131"/>
      <c r="Y418" s="64">
        <v>0</v>
      </c>
      <c r="Z418" s="64">
        <v>0</v>
      </c>
      <c r="AA418" s="64">
        <v>0</v>
      </c>
      <c r="AB418" s="64">
        <v>0</v>
      </c>
      <c r="AC418" s="64">
        <v>0</v>
      </c>
      <c r="AD418" s="64">
        <v>0</v>
      </c>
      <c r="AE418" s="64">
        <v>0</v>
      </c>
      <c r="AF418" s="64">
        <v>0</v>
      </c>
      <c r="AG418" s="64">
        <v>0</v>
      </c>
      <c r="AH418" s="131">
        <v>0</v>
      </c>
      <c r="AI418" s="64">
        <v>0</v>
      </c>
      <c r="AJ418" s="64">
        <v>0</v>
      </c>
      <c r="AK418" s="64">
        <v>0</v>
      </c>
      <c r="AL418" s="64">
        <v>0</v>
      </c>
      <c r="AM418" s="64">
        <v>0</v>
      </c>
      <c r="AN418" s="64">
        <v>0</v>
      </c>
      <c r="AO418" s="64">
        <v>0</v>
      </c>
      <c r="AP418" s="64">
        <v>0</v>
      </c>
      <c r="AQ418" s="64">
        <v>0</v>
      </c>
      <c r="AR418" s="64">
        <v>0</v>
      </c>
      <c r="AS418" s="64">
        <f>IF(L418="DSITX1 Enb",0,1)</f>
        <v>1</v>
      </c>
      <c r="AT418" s="64">
        <f>IF(M418="AMUTE Enb",0,1)</f>
        <v>1</v>
      </c>
      <c r="AU418" s="64">
        <f>IF(N418="HDMI Enb",0,1)</f>
        <v>0</v>
      </c>
      <c r="AV418" s="64">
        <f>IF(O418="DSITX0 Enb",0,1)</f>
        <v>1</v>
      </c>
      <c r="AW418" s="64">
        <v>0</v>
      </c>
      <c r="AX418" s="64">
        <v>0</v>
      </c>
      <c r="AY418" s="64">
        <f>IF(R418="SYS Enb",0,1)</f>
        <v>1</v>
      </c>
      <c r="AZ418" s="64">
        <f>IF(S418="CEC-Er Enb",0,1)</f>
        <v>1</v>
      </c>
      <c r="BA418" s="64">
        <f>IF(T418="CEC-TX Enb",0,1)</f>
        <v>1</v>
      </c>
      <c r="BB418" s="64">
        <f>IF(U418="CEC-RX Enb",0,1)</f>
        <v>1</v>
      </c>
      <c r="BC418" s="64">
        <f>IF(V418="IR_Er Enb",0,1)</f>
        <v>1</v>
      </c>
      <c r="BD418" s="64">
        <f>IF(W418="IR_Dat Enb",0,1)</f>
        <v>1</v>
      </c>
      <c r="BF418" s="65"/>
      <c r="BG418" s="65"/>
      <c r="BH418" s="65"/>
      <c r="BI418" s="65"/>
      <c r="BJ418" s="65"/>
      <c r="BK418" s="65"/>
      <c r="BL418" s="65"/>
      <c r="BM418" s="65"/>
      <c r="BN418" s="65"/>
      <c r="BO418" s="65"/>
      <c r="BP418" s="65"/>
      <c r="BQ418" s="65"/>
      <c r="BR418" s="65"/>
      <c r="BS418" s="65"/>
    </row>
    <row r="419" spans="1:71" s="167" customFormat="1">
      <c r="B419" s="173" t="s">
        <v>1864</v>
      </c>
      <c r="C419" s="89"/>
      <c r="D419" s="90"/>
      <c r="E419" s="166"/>
      <c r="F419" s="97"/>
      <c r="G419" s="179"/>
      <c r="J419" s="180"/>
      <c r="X419" s="181"/>
      <c r="Y419" s="181"/>
      <c r="Z419" s="181"/>
      <c r="AA419" s="181"/>
      <c r="AB419" s="181"/>
      <c r="AC419" s="181"/>
      <c r="AD419" s="181"/>
      <c r="AE419" s="181"/>
      <c r="AF419" s="181"/>
      <c r="AG419" s="181"/>
      <c r="AH419" s="181"/>
      <c r="AI419" s="181"/>
      <c r="AJ419" s="181"/>
      <c r="AK419" s="181"/>
      <c r="AL419" s="181"/>
      <c r="AM419" s="181"/>
      <c r="AN419" s="181"/>
      <c r="AO419" s="181"/>
      <c r="AP419" s="181"/>
      <c r="AQ419" s="181"/>
      <c r="AR419" s="181"/>
      <c r="AS419" s="181"/>
      <c r="AT419" s="181"/>
      <c r="AU419" s="181"/>
      <c r="AV419" s="181"/>
      <c r="AW419" s="181"/>
      <c r="AX419" s="181"/>
      <c r="AY419" s="181"/>
      <c r="AZ419" s="181"/>
      <c r="BA419" s="181"/>
      <c r="BB419" s="181"/>
      <c r="BC419" s="181"/>
      <c r="BD419" s="181"/>
      <c r="BE419" s="181"/>
    </row>
    <row r="422" spans="1:71" ht="28.5" customHeight="1">
      <c r="B422" s="168" t="s">
        <v>1032</v>
      </c>
      <c r="C422" s="169" t="s">
        <v>2240</v>
      </c>
      <c r="D422" s="170"/>
      <c r="E422" s="171"/>
      <c r="F422" s="172" t="s">
        <v>2241</v>
      </c>
      <c r="X422" s="65"/>
      <c r="Y422" s="65"/>
      <c r="Z422" s="65"/>
      <c r="AA422" s="65"/>
      <c r="AB422" s="65"/>
      <c r="AC422" s="65"/>
      <c r="AD422" s="65"/>
      <c r="AE422" s="65"/>
      <c r="AF422" s="65"/>
      <c r="AG422" s="65"/>
      <c r="AH422" s="65"/>
      <c r="AI422" s="65"/>
      <c r="AJ422" s="65"/>
      <c r="AK422" s="65"/>
      <c r="AL422" s="65"/>
      <c r="AM422" s="65"/>
      <c r="AN422" s="65"/>
      <c r="AO422" s="65"/>
      <c r="AP422" s="65"/>
      <c r="AQ422" s="65"/>
      <c r="AR422" s="65"/>
      <c r="AS422" s="65"/>
      <c r="AT422" s="65"/>
      <c r="AU422" s="65"/>
      <c r="AV422" s="65"/>
      <c r="AW422" s="65"/>
      <c r="AX422" s="65"/>
      <c r="AY422" s="65"/>
      <c r="AZ422" s="65"/>
      <c r="BA422" s="65"/>
      <c r="BB422" s="65"/>
      <c r="BC422" s="65"/>
      <c r="BD422" s="65"/>
      <c r="BE422" s="65"/>
    </row>
    <row r="423" spans="1:71" s="64" customFormat="1" ht="15.75">
      <c r="B423" s="174" t="s">
        <v>1032</v>
      </c>
      <c r="C423" s="175" t="s">
        <v>2238</v>
      </c>
      <c r="D423" s="176"/>
      <c r="E423" s="176"/>
      <c r="F423" s="177"/>
      <c r="G423"/>
      <c r="H423" s="65"/>
      <c r="I423" s="65"/>
      <c r="J423" s="65"/>
      <c r="K423" s="65"/>
      <c r="L423" s="65"/>
      <c r="M423" s="65"/>
      <c r="N423" s="65"/>
      <c r="O423" s="65"/>
      <c r="P423" s="65"/>
      <c r="Q423"/>
      <c r="R423"/>
      <c r="S423"/>
      <c r="T423"/>
      <c r="U423"/>
      <c r="V423"/>
      <c r="W423"/>
      <c r="X423" s="131"/>
      <c r="AH423" s="131"/>
      <c r="BF423" s="65"/>
      <c r="BG423" s="65"/>
      <c r="BH423" s="65"/>
      <c r="BI423" s="65"/>
      <c r="BJ423" s="65"/>
      <c r="BK423" s="65"/>
      <c r="BL423" s="65"/>
      <c r="BM423" s="65"/>
      <c r="BN423" s="65"/>
      <c r="BO423" s="65"/>
      <c r="BP423" s="65"/>
      <c r="BQ423" s="65"/>
      <c r="BR423" s="65"/>
      <c r="BS423" s="65"/>
    </row>
    <row r="424" spans="1:71">
      <c r="B424" s="84" t="s">
        <v>1032</v>
      </c>
      <c r="C424" s="163" t="s">
        <v>2239</v>
      </c>
      <c r="D424" s="164"/>
      <c r="E424" s="165"/>
      <c r="F424" s="87"/>
      <c r="X424" s="65"/>
      <c r="Y424" s="65"/>
      <c r="Z424" s="65"/>
      <c r="AA424" s="65"/>
      <c r="AB424" s="65"/>
      <c r="AC424" s="65"/>
      <c r="AD424" s="65"/>
      <c r="AE424" s="65"/>
      <c r="AF424" s="65"/>
      <c r="AG424" s="65"/>
      <c r="AH424" s="65"/>
      <c r="AI424" s="65"/>
      <c r="AJ424" s="65"/>
      <c r="AK424" s="65"/>
      <c r="AL424" s="65"/>
      <c r="AM424" s="65"/>
      <c r="AN424" s="65"/>
      <c r="AO424" s="65"/>
      <c r="AP424" s="65"/>
      <c r="AQ424" s="65"/>
      <c r="AR424" s="65"/>
      <c r="AS424" s="65"/>
      <c r="AT424" s="65"/>
      <c r="AU424" s="65"/>
      <c r="AV424" s="65"/>
      <c r="AW424" s="65"/>
      <c r="AX424" s="65"/>
      <c r="AY424" s="65"/>
      <c r="AZ424" s="65"/>
      <c r="BA424" s="65"/>
      <c r="BB424" s="65"/>
      <c r="BC424" s="65"/>
      <c r="BD424" s="65"/>
      <c r="BE424" s="65"/>
    </row>
    <row r="425" spans="1:71">
      <c r="B425" s="93" t="s">
        <v>1622</v>
      </c>
      <c r="C425" s="89" t="s">
        <v>1623</v>
      </c>
      <c r="D425" s="510" t="s">
        <v>954</v>
      </c>
      <c r="E425" s="91" t="str">
        <f>DEC2HEX(Main_Parameters!$D$119-3,4)</f>
        <v>0C34</v>
      </c>
      <c r="F425" s="97"/>
      <c r="X425" s="65"/>
      <c r="Y425" s="65"/>
      <c r="Z425" s="65"/>
      <c r="AA425" s="65"/>
      <c r="AB425" s="65"/>
      <c r="AC425" s="65"/>
      <c r="AD425" s="65"/>
      <c r="AE425" s="65"/>
      <c r="AF425" s="65"/>
      <c r="AG425" s="65"/>
      <c r="AH425" s="65"/>
      <c r="AI425" s="65"/>
      <c r="AJ425" s="65"/>
      <c r="AK425" s="65"/>
      <c r="AL425" s="65"/>
      <c r="AM425" s="65"/>
      <c r="AN425" s="65"/>
      <c r="AO425" s="65"/>
      <c r="AP425" s="65"/>
      <c r="AQ425" s="65"/>
      <c r="AR425" s="65"/>
      <c r="AS425" s="65"/>
      <c r="AT425" s="65"/>
      <c r="AU425" s="65"/>
      <c r="AV425" s="65"/>
      <c r="AW425" s="65"/>
      <c r="AX425" s="65"/>
      <c r="AY425" s="65"/>
      <c r="AZ425" s="65"/>
      <c r="BA425" s="65"/>
      <c r="BB425" s="65"/>
      <c r="BC425" s="65"/>
      <c r="BD425" s="65"/>
      <c r="BE425" s="65"/>
    </row>
    <row r="426" spans="1:71">
      <c r="B426" s="84" t="s">
        <v>1032</v>
      </c>
      <c r="C426" s="99" t="s">
        <v>1846</v>
      </c>
      <c r="D426" s="84"/>
      <c r="E426" s="100"/>
      <c r="F426" s="87"/>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s="65"/>
      <c r="AT426" s="65"/>
      <c r="AU426" s="65"/>
      <c r="AV426" s="65"/>
      <c r="AW426" s="65"/>
      <c r="AX426" s="65"/>
      <c r="AY426" s="65"/>
      <c r="AZ426" s="65"/>
      <c r="BA426" s="65"/>
      <c r="BB426" s="65"/>
      <c r="BC426" s="65"/>
      <c r="BD426" s="65"/>
      <c r="BE426" s="65"/>
    </row>
    <row r="427" spans="1:71" s="64" customFormat="1">
      <c r="A427" s="65"/>
      <c r="B427" s="101" t="str">
        <f>IF(G427="Disable","REMnd","WR16")</f>
        <v>WR16</v>
      </c>
      <c r="C427" s="94" t="s">
        <v>1631</v>
      </c>
      <c r="D427" s="513" t="s">
        <v>1632</v>
      </c>
      <c r="E427" s="91" t="str">
        <f>DEC2HEX(Y427*2^31+Z427*2^30+AA427*2^29+AB427*2^28+AC427*2^27+AD427*2^26+AE427*2^25+AF427*2^24+AG427*2^23+AH427*2^22+AI427*2^21+AJ427*2^20+AK427*2^19+AL427*2^18+AM427*2^17+AN427*2^16+AO427*2^15+AP427*2^14+AQ427*2^13+AR427*2^12+AS427*2^11+AT427*2^10+AU427*2^9+AV427*2^8+AW427*2^7+AX427*2^6+AY427*2^5+AZ427*2^4+BA427*2^3+BB427*2^2+BC427*2^1+BD427*2^0,4)</f>
        <v>0F1F</v>
      </c>
      <c r="F427" s="97" t="s">
        <v>1847</v>
      </c>
      <c r="G427" s="104" t="s">
        <v>721</v>
      </c>
      <c r="H427" s="178" t="s">
        <v>1848</v>
      </c>
      <c r="I427" s="178" t="s">
        <v>1849</v>
      </c>
      <c r="J427" s="178" t="s">
        <v>1850</v>
      </c>
      <c r="K427" s="178" t="s">
        <v>1851</v>
      </c>
      <c r="L427" s="104" t="s">
        <v>1852</v>
      </c>
      <c r="M427" s="104" t="s">
        <v>1853</v>
      </c>
      <c r="N427" s="104" t="s">
        <v>1854</v>
      </c>
      <c r="O427" s="104" t="s">
        <v>1855</v>
      </c>
      <c r="P427" s="178" t="s">
        <v>1714</v>
      </c>
      <c r="Q427" s="178" t="s">
        <v>1715</v>
      </c>
      <c r="R427" s="104" t="s">
        <v>1856</v>
      </c>
      <c r="S427" s="104" t="s">
        <v>1857</v>
      </c>
      <c r="T427" s="104" t="s">
        <v>1858</v>
      </c>
      <c r="U427" s="104" t="s">
        <v>1859</v>
      </c>
      <c r="V427" s="104" t="s">
        <v>1860</v>
      </c>
      <c r="W427" s="104" t="s">
        <v>1861</v>
      </c>
      <c r="X427" s="131"/>
      <c r="Y427" s="64">
        <v>0</v>
      </c>
      <c r="Z427" s="64">
        <v>0</v>
      </c>
      <c r="AA427" s="64">
        <v>0</v>
      </c>
      <c r="AB427" s="64">
        <v>0</v>
      </c>
      <c r="AC427" s="64">
        <v>0</v>
      </c>
      <c r="AD427" s="64">
        <v>0</v>
      </c>
      <c r="AE427" s="64">
        <v>0</v>
      </c>
      <c r="AF427" s="64">
        <v>0</v>
      </c>
      <c r="AG427" s="64">
        <v>0</v>
      </c>
      <c r="AH427" s="131">
        <v>0</v>
      </c>
      <c r="AI427" s="64">
        <v>0</v>
      </c>
      <c r="AJ427" s="64">
        <v>0</v>
      </c>
      <c r="AK427" s="64">
        <v>0</v>
      </c>
      <c r="AL427" s="64">
        <v>0</v>
      </c>
      <c r="AM427" s="64">
        <v>0</v>
      </c>
      <c r="AN427" s="64">
        <v>0</v>
      </c>
      <c r="AO427" s="64">
        <v>0</v>
      </c>
      <c r="AP427" s="64">
        <v>0</v>
      </c>
      <c r="AQ427" s="64">
        <v>0</v>
      </c>
      <c r="AR427" s="64">
        <v>0</v>
      </c>
      <c r="AS427" s="64">
        <f>IF(L427="DSITX1 Enb",0,1)</f>
        <v>1</v>
      </c>
      <c r="AT427" s="64">
        <f>IF(M427="AMUTE Enb",0,1)</f>
        <v>1</v>
      </c>
      <c r="AU427" s="64">
        <f>IF(N427="HDMI Enb",0,1)</f>
        <v>1</v>
      </c>
      <c r="AV427" s="64">
        <f>IF(O427="DSITX0 Enb",0,1)</f>
        <v>1</v>
      </c>
      <c r="AW427" s="64">
        <v>0</v>
      </c>
      <c r="AX427" s="64">
        <v>0</v>
      </c>
      <c r="AY427" s="64">
        <f>IF(R427="SYS Enb",0,1)</f>
        <v>0</v>
      </c>
      <c r="AZ427" s="64">
        <f>IF(S427="CEC-Er Enb",0,1)</f>
        <v>1</v>
      </c>
      <c r="BA427" s="64">
        <f>IF(T427="CEC-TX Enb",0,1)</f>
        <v>1</v>
      </c>
      <c r="BB427" s="64">
        <f>IF(U427="CEC-RX Enb",0,1)</f>
        <v>1</v>
      </c>
      <c r="BC427" s="64">
        <f>IF(V427="IR_Er Enb",0,1)</f>
        <v>1</v>
      </c>
      <c r="BD427" s="64">
        <f>IF(W427="IR_Dat Enb",0,1)</f>
        <v>1</v>
      </c>
      <c r="BF427" s="65"/>
      <c r="BG427" s="65"/>
      <c r="BH427" s="65"/>
      <c r="BI427" s="65"/>
      <c r="BJ427" s="65"/>
      <c r="BK427" s="65"/>
      <c r="BL427" s="65"/>
      <c r="BM427" s="65"/>
      <c r="BN427" s="65"/>
      <c r="BO427" s="65"/>
      <c r="BP427" s="65"/>
      <c r="BQ427" s="65"/>
      <c r="BR427" s="65"/>
      <c r="BS427" s="65"/>
    </row>
    <row r="428" spans="1:71" s="64" customFormat="1">
      <c r="A428" s="65"/>
      <c r="B428" s="84" t="s">
        <v>1032</v>
      </c>
      <c r="C428" s="99" t="s">
        <v>1862</v>
      </c>
      <c r="D428" s="84"/>
      <c r="E428" s="100"/>
      <c r="F428" s="87"/>
      <c r="G428" s="179"/>
      <c r="H428" s="179"/>
      <c r="I428" s="179"/>
      <c r="J428" s="179"/>
      <c r="K428" s="179"/>
      <c r="L428" s="179"/>
      <c r="M428" s="179"/>
      <c r="N428" s="179"/>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65"/>
      <c r="BQ428" s="65"/>
      <c r="BR428" s="65"/>
      <c r="BS428" s="65"/>
    </row>
    <row r="429" spans="1:71" s="64" customFormat="1">
      <c r="A429" s="65"/>
      <c r="B429" s="93" t="s">
        <v>1622</v>
      </c>
      <c r="C429" s="94" t="s">
        <v>1624</v>
      </c>
      <c r="D429" s="513" t="s">
        <v>1625</v>
      </c>
      <c r="E429" s="511" t="s">
        <v>1863</v>
      </c>
      <c r="F429" s="97" t="s">
        <v>1862</v>
      </c>
      <c r="G429" s="179"/>
      <c r="H429" s="179"/>
      <c r="I429" s="179"/>
      <c r="J429" s="179"/>
      <c r="K429" s="179"/>
      <c r="L429" s="179"/>
      <c r="M429" s="179"/>
      <c r="N429" s="179"/>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65"/>
      <c r="BQ429" s="65"/>
      <c r="BR429" s="65"/>
      <c r="BS429" s="65"/>
    </row>
    <row r="430" spans="1:71" s="167" customFormat="1">
      <c r="B430" s="93" t="s">
        <v>2213</v>
      </c>
      <c r="C430" s="89"/>
      <c r="D430" s="90"/>
      <c r="E430" s="166"/>
      <c r="F430" s="97"/>
      <c r="G430" s="179"/>
      <c r="J430" s="180"/>
      <c r="X430" s="181"/>
      <c r="Y430" s="181"/>
      <c r="Z430" s="181"/>
      <c r="AA430" s="181"/>
      <c r="AB430" s="181"/>
      <c r="AC430" s="181"/>
      <c r="AD430" s="181"/>
      <c r="AE430" s="181"/>
      <c r="AF430" s="181"/>
      <c r="AG430" s="181"/>
      <c r="AH430" s="181"/>
      <c r="AI430" s="181"/>
      <c r="AJ430" s="181"/>
      <c r="AK430" s="181"/>
      <c r="AL430" s="181"/>
      <c r="AM430" s="181"/>
      <c r="AN430" s="181"/>
      <c r="AO430" s="181"/>
      <c r="AP430" s="181"/>
      <c r="AQ430" s="181"/>
      <c r="AR430" s="181"/>
      <c r="AS430" s="181"/>
      <c r="AT430" s="181"/>
      <c r="AU430" s="181"/>
      <c r="AV430" s="181"/>
      <c r="AW430" s="181"/>
      <c r="AX430" s="181"/>
      <c r="AY430" s="181"/>
      <c r="AZ430" s="181"/>
      <c r="BA430" s="181"/>
      <c r="BB430" s="181"/>
      <c r="BC430" s="181"/>
      <c r="BD430" s="181"/>
      <c r="BE430" s="181"/>
    </row>
  </sheetData>
  <sheetProtection algorithmName="SHA-512" hashValue="hyVIrTBx2T5EwD/S6w2PrQ+w7SeK3VeS8UHj3z74A6/X06ITGhKLV2llli361OAkD6GbKQA5P/kjHCWNhdYpDQ==" saltValue="KQhH9Zl8Be2D1179GdzmPA==" spinCount="100000" sheet="1" objects="1" scenarios="1"/>
  <mergeCells count="26">
    <mergeCell ref="H24:J24"/>
    <mergeCell ref="H27:J27"/>
    <mergeCell ref="H28:J28"/>
    <mergeCell ref="H29:J29"/>
    <mergeCell ref="H30:J30"/>
    <mergeCell ref="H31:J31"/>
    <mergeCell ref="H32:J32"/>
    <mergeCell ref="H33:J33"/>
    <mergeCell ref="H34:J34"/>
    <mergeCell ref="H37:J37"/>
    <mergeCell ref="H39:J39"/>
    <mergeCell ref="H47:J47"/>
    <mergeCell ref="H50:I50"/>
    <mergeCell ref="H75:J75"/>
    <mergeCell ref="H78:J78"/>
    <mergeCell ref="H79:J79"/>
    <mergeCell ref="H80:J80"/>
    <mergeCell ref="H81:J81"/>
    <mergeCell ref="H82:J82"/>
    <mergeCell ref="H83:J83"/>
    <mergeCell ref="H101:I101"/>
    <mergeCell ref="H84:J84"/>
    <mergeCell ref="H85:J85"/>
    <mergeCell ref="H88:J88"/>
    <mergeCell ref="H90:J90"/>
    <mergeCell ref="H98:J98"/>
  </mergeCells>
  <phoneticPr fontId="59" type="noConversion"/>
  <conditionalFormatting sqref="G26">
    <cfRule type="expression" dxfId="19" priority="1" stopIfTrue="1">
      <formula>G26="Enable"</formula>
    </cfRule>
  </conditionalFormatting>
  <conditionalFormatting sqref="G38">
    <cfRule type="expression" dxfId="18" priority="2" stopIfTrue="1">
      <formula>G38="Enable"</formula>
    </cfRule>
  </conditionalFormatting>
  <conditionalFormatting sqref="G41">
    <cfRule type="expression" dxfId="17" priority="3" stopIfTrue="1">
      <formula>G41="Enable"</formula>
    </cfRule>
  </conditionalFormatting>
  <conditionalFormatting sqref="G45:G52">
    <cfRule type="expression" dxfId="16" priority="4" stopIfTrue="1">
      <formula>G45="Enable"</formula>
    </cfRule>
  </conditionalFormatting>
  <conditionalFormatting sqref="G63:G64">
    <cfRule type="expression" dxfId="15" priority="5" stopIfTrue="1">
      <formula>G63="Enable"</formula>
    </cfRule>
  </conditionalFormatting>
  <conditionalFormatting sqref="G77">
    <cfRule type="expression" dxfId="14" priority="6" stopIfTrue="1">
      <formula>G77="Enable"</formula>
    </cfRule>
  </conditionalFormatting>
  <conditionalFormatting sqref="G89">
    <cfRule type="expression" dxfId="13" priority="7" stopIfTrue="1">
      <formula>G89="Enable"</formula>
    </cfRule>
  </conditionalFormatting>
  <conditionalFormatting sqref="G92">
    <cfRule type="expression" dxfId="12" priority="8" stopIfTrue="1">
      <formula>G92="Enable"</formula>
    </cfRule>
  </conditionalFormatting>
  <conditionalFormatting sqref="G96:G103">
    <cfRule type="expression" dxfId="11" priority="9" stopIfTrue="1">
      <formula>G96="Enable"</formula>
    </cfRule>
  </conditionalFormatting>
  <conditionalFormatting sqref="G114:G115">
    <cfRule type="expression" dxfId="10" priority="10" stopIfTrue="1">
      <formula>G114="Enable"</formula>
    </cfRule>
  </conditionalFormatting>
  <dataValidations count="34">
    <dataValidation type="list" allowBlank="1" showInputMessage="1" showErrorMessage="1" sqref="V418 V427">
      <formula1>"IR_Er MSK, IR_Er Enb"</formula1>
    </dataValidation>
    <dataValidation type="list" allowBlank="1" showInputMessage="1" showErrorMessage="1" sqref="R418 R427">
      <formula1>"SYS MSK,SYS Enb"</formula1>
    </dataValidation>
    <dataValidation type="list" allowBlank="1" showInputMessage="1" showErrorMessage="1" sqref="W17 W68">
      <formula1>"Disable,Enable"</formula1>
    </dataValidation>
    <dataValidation type="list" allowBlank="1" showInputMessage="1" showErrorMessage="1" sqref="M17 O17 M68 O68">
      <formula1>"HSCK/2,HSCK/4,HSCK/8"</formula1>
    </dataValidation>
    <dataValidation type="list" allowBlank="1" showInputMessage="1" showErrorMessage="1" sqref="U418 U427">
      <formula1>"CEC-RX MSK, CEC-RX Enb"</formula1>
    </dataValidation>
    <dataValidation type="list" allowBlank="1" showInputMessage="1" showErrorMessage="1" sqref="Q25 Q76">
      <formula1>"DSIrTrg Int Enb,DSIrTrg Int Dis"</formula1>
    </dataValidation>
    <dataValidation type="list" allowBlank="1" showInputMessage="1" showErrorMessage="1" sqref="P25 P76">
      <formula1>"DSILPTX Int Enb,DSILPTX Int Dis"</formula1>
    </dataValidation>
    <dataValidation type="list" allowBlank="1" showInputMessage="1" showErrorMessage="1" sqref="L25 L76">
      <formula1>"INIT Int Enb,INIT Int Dis"</formula1>
    </dataValidation>
    <dataValidation type="list" allowBlank="1" showInputMessage="1" showErrorMessage="1" sqref="M25 M76">
      <formula1>"ApErr Int Enb, ApErrInt Dis"</formula1>
    </dataValidation>
    <dataValidation type="list" allowBlank="1" showInputMessage="1" showErrorMessage="1" sqref="S25 S76">
      <formula1>"PR_TO Enb,PR_TO Dis"</formula1>
    </dataValidation>
    <dataValidation type="list" allowBlank="1" showInputMessage="1" showErrorMessage="1" sqref="N25 N76">
      <formula1>"DSIPrto Int Enb,DSIPrto Inte Dis"</formula1>
    </dataValidation>
    <dataValidation type="list" allowBlank="1" showInputMessage="1" showErrorMessage="1" sqref="O25 O76">
      <formula1>"DSIrErr Int Enb,DSIrErr Int Dis"</formula1>
    </dataValidation>
    <dataValidation type="list" allowBlank="1" showInputMessage="1" showErrorMessage="1" sqref="R25 R76">
      <formula1>"DSIrStat Int Enb,DSIrStat Int Dis"</formula1>
    </dataValidation>
    <dataValidation type="list" allowBlank="1" showInputMessage="1" showErrorMessage="1" sqref="W26 W77">
      <formula1>"Register,Input"</formula1>
    </dataValidation>
    <dataValidation type="list" allowBlank="1" showInputMessage="1" showErrorMessage="1" sqref="T25 T76">
      <formula1>"HSTX_TO Enb,HSTX_TO Dis"</formula1>
    </dataValidation>
    <dataValidation type="list" allowBlank="1" showInputMessage="1" showErrorMessage="1" sqref="U25 U76">
      <formula1>"IND_TO Enb,IND_TO Dis"</formula1>
    </dataValidation>
    <dataValidation type="list" allowBlank="1" showInputMessage="1" showErrorMessage="1" sqref="W25 W76">
      <formula1>"VHDELAY PRT,VHDELAY Reg"</formula1>
    </dataValidation>
    <dataValidation type="list" allowBlank="1" showInputMessage="1" showErrorMessage="1" sqref="G26 O35 U36 W36 G38 G41 G77 O86 U87 W87 G89 G92 G418 G427 G45:G52 G63:G64 G96:G103 G114:G115 Q35:Q36 Q86:Q87 S35:S36 S86:S87">
      <formula1>"Enable,Disable"</formula1>
    </dataValidation>
    <dataValidation type="list" allowBlank="1" showInputMessage="1" showErrorMessage="1" sqref="U26 U77">
      <formula1>"VFP, Specified Line, Immediate"</formula1>
    </dataValidation>
    <dataValidation type="list" allowBlank="1" showInputMessage="1" showErrorMessage="1" sqref="L418 L427">
      <formula1>"DSITX1 MSK,DSITX1 Enb"</formula1>
    </dataValidation>
    <dataValidation type="list" allowBlank="1" showInputMessage="1" showErrorMessage="1" sqref="M35 M86">
      <formula1>"Forced to STOP, Keep Operation"</formula1>
    </dataValidation>
    <dataValidation type="list" allowBlank="1" showInputMessage="1" showErrorMessage="1" sqref="S38 U38 W38 O45 I49 K49 M49 O49 W49 J50:O50 T50 M51 O51 W51 S89 U89 W89 O96 I100 K100 M100 O100 W100 J101:O101 T101 M102 O102 W102 Q45:Q46 Q48:Q50 Q96:Q97 Q99:Q101 S45:S46 S49:S50 S96:S97 S100:S101 U45:U46 U48:U49 U96:U97 U99:U100 W45:W46 W96:W97">
      <formula1>"Mask,No Mask"</formula1>
    </dataValidation>
    <dataValidation type="list" allowBlank="1" showInputMessage="1" showErrorMessage="1" sqref="U41 O64 Q64 S64 U64 W64 U92 O115 Q115 S115 U115 W115">
      <formula1>"0,1,2,3"</formula1>
    </dataValidation>
    <dataValidation type="list" allowBlank="1" showInputMessage="1" showErrorMessage="1" sqref="O52 Q52 S52 U52 W52 O103 Q103 S103 U103 W103">
      <formula1>"0,1,2,3,4,5,6,7,8,9,10,11,12,13,14,15"</formula1>
    </dataValidation>
    <dataValidation type="list" allowBlank="1" showInputMessage="1" showErrorMessage="1" sqref="W41 W92">
      <formula1>"By Reg, By PORT"</formula1>
    </dataValidation>
    <dataValidation type="list" allowBlank="1" showInputMessage="1" showErrorMessage="1" sqref="O63 Q63 S63 U63 W63 O114 Q114 S114 U114 W114">
      <formula1>"No Add,25% Add,50% Add"</formula1>
    </dataValidation>
    <dataValidation type="list" allowBlank="1" showInputMessage="1" showErrorMessage="1" sqref="B410 B419">
      <formula1>"END,CONT"</formula1>
    </dataValidation>
    <dataValidation type="list" allowBlank="1" showInputMessage="1" showErrorMessage="1" sqref="M418 M427">
      <formula1>"AMUTE MSK,AMUTE Enb"</formula1>
    </dataValidation>
    <dataValidation type="list" allowBlank="1" showInputMessage="1" showErrorMessage="1" sqref="N418 N427">
      <formula1>"HDMI MSK,HDMI Enb"</formula1>
    </dataValidation>
    <dataValidation type="list" allowBlank="1" showInputMessage="1" showErrorMessage="1" sqref="O418 O427">
      <formula1>"DSITX0 MSK,DSITX0 Enb"</formula1>
    </dataValidation>
    <dataValidation type="list" allowBlank="1" showInputMessage="1" showErrorMessage="1" sqref="S418 S427">
      <formula1>"CEC-Er MSK, CEC-Er Enb"</formula1>
    </dataValidation>
    <dataValidation type="list" allowBlank="1" showInputMessage="1" showErrorMessage="1" sqref="T418 T427">
      <formula1>"CEC-TX MSK, CEC-TX Enb"</formula1>
    </dataValidation>
    <dataValidation type="list" allowBlank="1" showInputMessage="1" showErrorMessage="1" sqref="W418 W427">
      <formula1>"IR_Dat MSK, IR_Dat Enb"</formula1>
    </dataValidation>
    <dataValidation type="list" allowBlank="1" showInputMessage="1" showErrorMessage="1" sqref="O150:O151">
      <formula1>"LP,HS"</formula1>
    </dataValidation>
  </dataValidations>
  <pageMargins left="0.75" right="0.75" top="1" bottom="1" header="0.5" footer="0.5"/>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5" tint="0.59999389629810485"/>
  </sheetPr>
  <dimension ref="A1:BE665"/>
  <sheetViews>
    <sheetView showGridLines="0" zoomScale="75" zoomScaleNormal="75" workbookViewId="0">
      <selection activeCell="E378" sqref="E378"/>
    </sheetView>
  </sheetViews>
  <sheetFormatPr defaultColWidth="9" defaultRowHeight="14.25" outlineLevelRow="1"/>
  <cols>
    <col min="1" max="1" width="3.375" style="65" customWidth="1"/>
    <col min="2" max="2" width="7.875" style="65" customWidth="1"/>
    <col min="3" max="3" width="29" style="65" customWidth="1"/>
    <col min="4" max="4" width="11" style="65" customWidth="1"/>
    <col min="5" max="5" width="12.625" style="66" customWidth="1"/>
    <col min="6" max="6" width="41.25" style="65" customWidth="1"/>
    <col min="7" max="7" width="7.25" style="65" customWidth="1"/>
    <col min="8" max="8" width="16.5" style="65" customWidth="1"/>
    <col min="9" max="9" width="13" style="65" customWidth="1"/>
    <col min="10" max="10" width="15.75" style="65" customWidth="1"/>
    <col min="11" max="11" width="12.625" style="65" customWidth="1"/>
    <col min="12" max="12" width="15.75" style="65" customWidth="1"/>
    <col min="13" max="13" width="14.5" style="65" customWidth="1"/>
    <col min="14" max="14" width="16.125" style="65" customWidth="1"/>
    <col min="15" max="15" width="12.625" style="65" customWidth="1"/>
    <col min="16" max="16" width="15.5" style="65" customWidth="1"/>
    <col min="17" max="17" width="12.625" style="65" customWidth="1"/>
    <col min="18" max="18" width="14.375" style="65" customWidth="1"/>
    <col min="19" max="19" width="12.625" style="65" customWidth="1"/>
    <col min="20" max="20" width="14" style="65" customWidth="1"/>
    <col min="21" max="21" width="12.625" style="65" customWidth="1"/>
    <col min="22" max="22" width="14" style="65" customWidth="1"/>
    <col min="23" max="23" width="13.75" style="65" customWidth="1"/>
    <col min="24" max="24" width="7.875" style="64" hidden="1" customWidth="1"/>
    <col min="25" max="31" width="4" style="64" hidden="1" customWidth="1"/>
    <col min="32" max="32" width="5" style="64" hidden="1" customWidth="1"/>
    <col min="33" max="38" width="4" style="64" hidden="1" customWidth="1"/>
    <col min="39" max="39" width="5" style="64" hidden="1" customWidth="1"/>
    <col min="40" max="40" width="4" style="64" hidden="1" customWidth="1"/>
    <col min="41" max="41" width="7.125" style="64" hidden="1" customWidth="1"/>
    <col min="42" max="42" width="2.875" style="64" hidden="1" customWidth="1"/>
    <col min="43" max="43" width="3" style="64" hidden="1" customWidth="1"/>
    <col min="44" max="44" width="3.625" style="64" hidden="1" customWidth="1"/>
    <col min="45" max="45" width="3.375" style="64" hidden="1" customWidth="1"/>
    <col min="46" max="46" width="3.5" style="64" hidden="1" customWidth="1"/>
    <col min="47" max="47" width="3" style="64" hidden="1" customWidth="1"/>
    <col min="48" max="48" width="3.5" style="64" hidden="1" customWidth="1"/>
    <col min="49" max="49" width="3" style="64" hidden="1" customWidth="1"/>
    <col min="50" max="50" width="3.125" style="64" hidden="1" customWidth="1"/>
    <col min="51" max="51" width="2.875" style="64" hidden="1" customWidth="1"/>
    <col min="52" max="52" width="3.5" style="64" hidden="1" customWidth="1"/>
    <col min="53" max="53" width="3" style="64" hidden="1" customWidth="1"/>
    <col min="54" max="54" width="3.375" style="64" hidden="1" customWidth="1"/>
    <col min="55" max="55" width="3.125" style="64" hidden="1" customWidth="1"/>
    <col min="56" max="56" width="3.875" style="64" hidden="1" customWidth="1"/>
    <col min="57" max="57" width="11.375" style="64" hidden="1" customWidth="1"/>
    <col min="58" max="16384" width="9" style="65"/>
  </cols>
  <sheetData>
    <row r="1" spans="2:56" ht="18">
      <c r="B1" s="67" t="s">
        <v>2216</v>
      </c>
      <c r="C1" s="67"/>
      <c r="F1" s="68"/>
      <c r="G1" s="69" t="s">
        <v>96</v>
      </c>
      <c r="H1" s="70" t="s">
        <v>696</v>
      </c>
      <c r="I1" s="42"/>
      <c r="J1" s="108"/>
      <c r="K1"/>
      <c r="L1" s="1"/>
    </row>
    <row r="2" spans="2:56" ht="18">
      <c r="B2" s="65" t="s">
        <v>1611</v>
      </c>
      <c r="H2" s="68" t="s">
        <v>695</v>
      </c>
      <c r="I2"/>
      <c r="J2"/>
      <c r="K2"/>
      <c r="L2"/>
      <c r="M2"/>
      <c r="N2"/>
      <c r="O2"/>
      <c r="P2"/>
    </row>
    <row r="3" spans="2:56">
      <c r="B3" s="65" t="s">
        <v>1612</v>
      </c>
      <c r="C3" s="71"/>
      <c r="D3" s="72"/>
      <c r="E3" s="73"/>
      <c r="F3" s="72"/>
      <c r="G3" s="72"/>
      <c r="H3" s="72"/>
      <c r="I3"/>
      <c r="J3"/>
      <c r="K3"/>
      <c r="L3"/>
      <c r="M3"/>
      <c r="N3"/>
      <c r="O3"/>
      <c r="P3"/>
      <c r="Q3"/>
      <c r="R3"/>
      <c r="S3"/>
      <c r="T3"/>
      <c r="U3"/>
      <c r="V3"/>
      <c r="W3"/>
      <c r="X3" s="131"/>
      <c r="AH3" s="131"/>
    </row>
    <row r="4" spans="2:56" ht="15">
      <c r="B4" s="74"/>
      <c r="C4" s="71"/>
      <c r="D4" s="72"/>
      <c r="E4" s="73"/>
      <c r="F4" s="72"/>
      <c r="G4" s="72"/>
      <c r="H4" s="75"/>
      <c r="I4"/>
      <c r="J4"/>
      <c r="K4"/>
      <c r="L4"/>
      <c r="M4"/>
      <c r="N4"/>
      <c r="O4"/>
      <c r="P4"/>
      <c r="Q4"/>
      <c r="R4"/>
      <c r="S4"/>
      <c r="T4"/>
      <c r="U4"/>
      <c r="V4"/>
      <c r="W4"/>
      <c r="X4" s="131"/>
      <c r="AH4" s="131"/>
    </row>
    <row r="5" spans="2:56" ht="18.75">
      <c r="B5" s="76" t="s">
        <v>1613</v>
      </c>
      <c r="C5" s="77"/>
      <c r="D5" s="77"/>
      <c r="E5" s="78"/>
      <c r="F5" s="79"/>
      <c r="I5"/>
      <c r="J5"/>
      <c r="K5"/>
      <c r="L5"/>
      <c r="M5"/>
      <c r="N5"/>
      <c r="O5"/>
      <c r="P5"/>
      <c r="Q5"/>
      <c r="R5"/>
      <c r="S5"/>
      <c r="T5"/>
      <c r="U5"/>
      <c r="V5"/>
      <c r="W5"/>
      <c r="X5" s="131"/>
      <c r="AH5" s="131"/>
    </row>
    <row r="6" spans="2:56" ht="15">
      <c r="B6" s="80" t="s">
        <v>1614</v>
      </c>
      <c r="C6" s="80" t="s">
        <v>1615</v>
      </c>
      <c r="D6" s="80" t="s">
        <v>1616</v>
      </c>
      <c r="E6" s="81" t="s">
        <v>1617</v>
      </c>
      <c r="F6" s="82" t="s">
        <v>1618</v>
      </c>
      <c r="G6" s="83"/>
      <c r="H6"/>
      <c r="I6"/>
      <c r="J6"/>
      <c r="K6"/>
      <c r="L6"/>
      <c r="M6"/>
      <c r="N6"/>
      <c r="O6"/>
      <c r="P6"/>
      <c r="Q6"/>
      <c r="R6"/>
      <c r="S6"/>
      <c r="T6"/>
      <c r="U6"/>
      <c r="V6"/>
      <c r="W6"/>
      <c r="X6" s="131"/>
      <c r="AH6" s="131"/>
    </row>
    <row r="7" spans="2:56">
      <c r="B7" s="84" t="s">
        <v>1032</v>
      </c>
      <c r="C7" s="85" t="s">
        <v>1621</v>
      </c>
      <c r="D7" s="85"/>
      <c r="E7" s="86"/>
      <c r="F7" s="87"/>
      <c r="G7"/>
      <c r="H7"/>
      <c r="I7"/>
      <c r="J7"/>
      <c r="K7"/>
      <c r="L7"/>
      <c r="M7"/>
      <c r="N7"/>
      <c r="O7"/>
      <c r="P7"/>
      <c r="Q7"/>
      <c r="R7"/>
      <c r="S7"/>
      <c r="T7"/>
      <c r="U7"/>
      <c r="V7"/>
      <c r="W7"/>
      <c r="X7" s="131"/>
      <c r="AH7" s="131"/>
    </row>
    <row r="8" spans="2:56">
      <c r="B8" s="88" t="s">
        <v>1622</v>
      </c>
      <c r="C8" s="89" t="s">
        <v>1623</v>
      </c>
      <c r="D8" s="510" t="s">
        <v>954</v>
      </c>
      <c r="E8" s="91" t="str">
        <f>Main_Parameters!$C$118</f>
        <v>0004</v>
      </c>
      <c r="F8" s="92"/>
      <c r="G8"/>
      <c r="H8"/>
      <c r="I8"/>
      <c r="J8"/>
      <c r="K8"/>
      <c r="L8"/>
      <c r="M8"/>
      <c r="N8"/>
      <c r="O8"/>
      <c r="P8"/>
      <c r="Q8"/>
      <c r="R8"/>
      <c r="S8"/>
      <c r="T8"/>
      <c r="U8"/>
      <c r="V8"/>
      <c r="W8"/>
      <c r="X8" s="131"/>
      <c r="AH8" s="131"/>
    </row>
    <row r="9" spans="2:56">
      <c r="B9" s="93" t="s">
        <v>1622</v>
      </c>
      <c r="C9" s="94" t="s">
        <v>1624</v>
      </c>
      <c r="D9" s="513" t="s">
        <v>1625</v>
      </c>
      <c r="E9" s="511" t="s">
        <v>1626</v>
      </c>
      <c r="F9" s="97" t="s">
        <v>1627</v>
      </c>
      <c r="G9"/>
      <c r="H9"/>
      <c r="I9"/>
      <c r="J9"/>
      <c r="K9"/>
      <c r="L9"/>
      <c r="M9"/>
      <c r="N9"/>
      <c r="O9"/>
      <c r="P9"/>
      <c r="Q9"/>
      <c r="R9"/>
      <c r="S9"/>
      <c r="T9"/>
      <c r="U9"/>
      <c r="V9"/>
      <c r="W9"/>
      <c r="X9" s="131"/>
      <c r="AH9" s="131"/>
    </row>
    <row r="10" spans="2:56">
      <c r="B10" s="93" t="s">
        <v>1622</v>
      </c>
      <c r="C10" s="94" t="s">
        <v>1624</v>
      </c>
      <c r="D10" s="513" t="s">
        <v>1625</v>
      </c>
      <c r="E10" s="512" t="str">
        <f>IF(Main_Parameters!$M$4="Disable","0080","0000")</f>
        <v>0000</v>
      </c>
      <c r="F10" s="97" t="s">
        <v>1628</v>
      </c>
      <c r="G10"/>
      <c r="H10"/>
      <c r="I10"/>
      <c r="J10"/>
      <c r="K10"/>
      <c r="L10"/>
      <c r="M10"/>
      <c r="N10"/>
      <c r="O10"/>
      <c r="P10"/>
      <c r="Q10"/>
      <c r="R10"/>
      <c r="S10"/>
      <c r="T10"/>
      <c r="U10"/>
      <c r="V10"/>
      <c r="W10"/>
      <c r="X10" s="131"/>
      <c r="AH10" s="131"/>
    </row>
    <row r="11" spans="2:56">
      <c r="B11" s="93" t="s">
        <v>1622</v>
      </c>
      <c r="C11" s="89" t="s">
        <v>1629</v>
      </c>
      <c r="D11" s="510" t="s">
        <v>955</v>
      </c>
      <c r="E11" s="512" t="str">
        <f>Main_Parameters!$C$121</f>
        <v>0000</v>
      </c>
      <c r="F11" s="97"/>
      <c r="G11"/>
      <c r="H11"/>
      <c r="I11" s="109"/>
    </row>
    <row r="12" spans="2:56">
      <c r="B12" s="88" t="s">
        <v>1622</v>
      </c>
      <c r="C12" s="98" t="s">
        <v>2220</v>
      </c>
      <c r="D12" s="513" t="s">
        <v>1007</v>
      </c>
      <c r="E12" s="511" t="s">
        <v>2221</v>
      </c>
      <c r="F12" s="92"/>
      <c r="G12"/>
      <c r="H12"/>
      <c r="I12"/>
      <c r="J12"/>
      <c r="K12"/>
      <c r="L12"/>
      <c r="M12"/>
      <c r="N12"/>
      <c r="O12"/>
      <c r="P12"/>
      <c r="Q12"/>
      <c r="R12"/>
      <c r="S12"/>
      <c r="T12"/>
      <c r="U12"/>
      <c r="V12"/>
      <c r="W12"/>
    </row>
    <row r="13" spans="2:56">
      <c r="B13" s="84" t="s">
        <v>1032</v>
      </c>
      <c r="C13" s="99" t="s">
        <v>2095</v>
      </c>
      <c r="D13" s="84"/>
      <c r="E13" s="100"/>
      <c r="F13" s="87"/>
      <c r="G13"/>
      <c r="H13"/>
      <c r="I13"/>
      <c r="J13"/>
      <c r="K13"/>
      <c r="L13"/>
      <c r="M13"/>
      <c r="N13"/>
      <c r="O13"/>
      <c r="P13"/>
      <c r="Q13"/>
      <c r="R13"/>
      <c r="S13"/>
      <c r="T13"/>
      <c r="U13"/>
      <c r="V13"/>
      <c r="W13"/>
      <c r="X13" s="131"/>
      <c r="AH13" s="131"/>
    </row>
    <row r="14" spans="2:56">
      <c r="B14" s="101" t="str">
        <f>IF(Main_Parameters!$C$43="TX0 Enable","REMend","WR32")</f>
        <v>WR32</v>
      </c>
      <c r="C14" s="102" t="s">
        <v>1919</v>
      </c>
      <c r="D14" s="515" t="s">
        <v>2096</v>
      </c>
      <c r="E14" s="511" t="s">
        <v>1921</v>
      </c>
      <c r="F14" s="92"/>
      <c r="G14"/>
      <c r="H14"/>
      <c r="I14"/>
      <c r="J14"/>
      <c r="K14"/>
      <c r="L14"/>
      <c r="M14"/>
      <c r="N14"/>
      <c r="O14"/>
      <c r="P14"/>
      <c r="Q14"/>
      <c r="R14"/>
      <c r="S14"/>
      <c r="T14"/>
      <c r="U14"/>
      <c r="V14"/>
      <c r="W14"/>
      <c r="X14" s="131"/>
      <c r="Y14" s="64">
        <v>31</v>
      </c>
      <c r="Z14" s="64">
        <v>30</v>
      </c>
      <c r="AA14" s="64">
        <v>29</v>
      </c>
      <c r="AB14" s="64">
        <v>28</v>
      </c>
      <c r="AC14" s="64">
        <v>27</v>
      </c>
      <c r="AD14" s="64">
        <v>26</v>
      </c>
      <c r="AE14" s="64">
        <v>25</v>
      </c>
      <c r="AF14" s="64">
        <v>24</v>
      </c>
      <c r="AG14" s="64">
        <v>23</v>
      </c>
      <c r="AH14" s="131">
        <v>22</v>
      </c>
      <c r="AI14" s="64">
        <v>21</v>
      </c>
      <c r="AJ14" s="64">
        <v>20</v>
      </c>
      <c r="AK14" s="64">
        <v>19</v>
      </c>
      <c r="AL14" s="64">
        <v>18</v>
      </c>
      <c r="AM14" s="64">
        <v>17</v>
      </c>
      <c r="AN14" s="64">
        <v>16</v>
      </c>
      <c r="AO14" s="64">
        <v>15</v>
      </c>
      <c r="AP14" s="64">
        <v>14</v>
      </c>
      <c r="AQ14" s="64">
        <v>13</v>
      </c>
      <c r="AR14" s="64">
        <v>12</v>
      </c>
      <c r="AS14" s="64">
        <v>11</v>
      </c>
      <c r="AT14" s="64">
        <v>10</v>
      </c>
      <c r="AU14" s="64">
        <v>9</v>
      </c>
      <c r="AV14" s="64">
        <v>8</v>
      </c>
      <c r="AW14" s="64">
        <v>7</v>
      </c>
      <c r="AX14" s="64">
        <v>6</v>
      </c>
      <c r="AY14" s="64">
        <v>5</v>
      </c>
      <c r="AZ14" s="64">
        <v>4</v>
      </c>
      <c r="BA14" s="64">
        <v>3</v>
      </c>
      <c r="BB14" s="64">
        <v>2</v>
      </c>
      <c r="BC14" s="64">
        <v>1</v>
      </c>
      <c r="BD14" s="64">
        <v>0</v>
      </c>
    </row>
    <row r="15" spans="2:56">
      <c r="B15" s="101" t="str">
        <f>IF(Main_Parameters!$C$43="TX0 Enable","REMend","WR32")</f>
        <v>WR32</v>
      </c>
      <c r="C15" s="102" t="s">
        <v>1922</v>
      </c>
      <c r="D15" s="515" t="s">
        <v>2097</v>
      </c>
      <c r="E15" s="91" t="str">
        <f>DEC2HEX(Y15*2^31+Z15*2^30+AA15*2^29+AB15*2^28+AC15*2^27+AD15*2^26+AE15*2^25+AF15*2^24+AG15*2^23+AH15*2^22+AI15*2^21+AJ15*2^20+AK15*2^19+AL15*2^18+AM15*2^17+AN15*2^16+AO15*2^15+AP15*2^14+AQ15*2^13+AR15*2^12+AS15*2^11+AT15*2^10+AU15*2^9+AV15*2^8+AW15*2^7+AX15*2^6+AY15*2^5+AZ15*2^4+BA15*2^3+BB15*2^2+BC15*2^1+BD15*2^0,8)</f>
        <v>00000001</v>
      </c>
      <c r="F15" s="92"/>
      <c r="G15" s="20"/>
      <c r="H15" s="103"/>
      <c r="I15" s="110"/>
      <c r="J15" s="110"/>
      <c r="K15" s="111"/>
      <c r="L15" s="112" t="s">
        <v>1924</v>
      </c>
      <c r="M15" s="113" t="s">
        <v>1925</v>
      </c>
      <c r="N15" s="106" t="s">
        <v>1926</v>
      </c>
      <c r="O15" s="113" t="s">
        <v>1925</v>
      </c>
      <c r="P15" s="114"/>
      <c r="Q15" s="114"/>
      <c r="R15" s="114"/>
      <c r="S15" s="114"/>
      <c r="T15" s="114"/>
      <c r="U15" s="132"/>
      <c r="V15" s="112" t="s">
        <v>1927</v>
      </c>
      <c r="W15" s="104" t="s">
        <v>721</v>
      </c>
      <c r="X15" s="63"/>
      <c r="Y15" s="47">
        <v>0</v>
      </c>
      <c r="Z15" s="47">
        <v>0</v>
      </c>
      <c r="AA15" s="47">
        <v>0</v>
      </c>
      <c r="AB15" s="47">
        <v>0</v>
      </c>
      <c r="AC15" s="47">
        <v>0</v>
      </c>
      <c r="AD15" s="47">
        <v>0</v>
      </c>
      <c r="AE15" s="47">
        <v>0</v>
      </c>
      <c r="AF15" s="47">
        <v>0</v>
      </c>
      <c r="AG15" s="47">
        <v>0</v>
      </c>
      <c r="AH15" s="63">
        <v>0</v>
      </c>
      <c r="AI15" s="47">
        <v>0</v>
      </c>
      <c r="AJ15" s="47">
        <v>0</v>
      </c>
      <c r="AK15" s="47">
        <v>0</v>
      </c>
      <c r="AL15" s="47">
        <v>0</v>
      </c>
      <c r="AM15" s="47">
        <v>0</v>
      </c>
      <c r="AN15" s="47">
        <v>0</v>
      </c>
      <c r="AO15" s="47">
        <v>0</v>
      </c>
      <c r="AP15" s="47">
        <v>0</v>
      </c>
      <c r="AQ15" s="47">
        <v>0</v>
      </c>
      <c r="AR15" s="47">
        <v>0</v>
      </c>
      <c r="AS15" s="47">
        <v>0</v>
      </c>
      <c r="AT15" s="47">
        <f>IF(M15="HSCK/8",0,IF(M15="HSCK/4",1,2))</f>
        <v>0</v>
      </c>
      <c r="AU15" s="47">
        <v>0</v>
      </c>
      <c r="AV15" s="47">
        <f>IF(O15="HSCK/8",0,IF(O15="HSCK/4",1,2))</f>
        <v>0</v>
      </c>
      <c r="AW15" s="47">
        <v>0</v>
      </c>
      <c r="AX15" s="47">
        <v>0</v>
      </c>
      <c r="AY15" s="47">
        <v>0</v>
      </c>
      <c r="AZ15" s="47">
        <v>0</v>
      </c>
      <c r="BA15" s="47">
        <v>0</v>
      </c>
      <c r="BB15" s="47">
        <v>0</v>
      </c>
      <c r="BC15" s="47">
        <v>0</v>
      </c>
      <c r="BD15" s="47">
        <f>IF(W15="Enable",1,0)</f>
        <v>1</v>
      </c>
    </row>
    <row r="16" spans="2:56">
      <c r="B16" s="101" t="str">
        <f>IF(Main_Parameters!$C$43="TX0 Enable","REMend","WR32")</f>
        <v>WR32</v>
      </c>
      <c r="C16" s="89" t="s">
        <v>1928</v>
      </c>
      <c r="D16" s="513" t="s">
        <v>2098</v>
      </c>
      <c r="E16" s="511" t="s">
        <v>1921</v>
      </c>
      <c r="F16" s="97"/>
      <c r="G16"/>
      <c r="H16"/>
      <c r="I16"/>
      <c r="J16"/>
      <c r="K16"/>
      <c r="L16"/>
      <c r="M16"/>
      <c r="N16"/>
      <c r="O16"/>
      <c r="P16"/>
      <c r="Q16"/>
      <c r="R16"/>
      <c r="S16"/>
      <c r="T16"/>
      <c r="U16"/>
      <c r="V16"/>
      <c r="W16"/>
    </row>
    <row r="17" spans="2:57">
      <c r="B17" s="101" t="str">
        <f>IF(Main_Parameters!$C$43="TX0 Enable","REMend","WR32")</f>
        <v>WR32</v>
      </c>
      <c r="C17" s="102" t="s">
        <v>1930</v>
      </c>
      <c r="D17" s="515" t="s">
        <v>976</v>
      </c>
      <c r="E17" s="91" t="str">
        <f>Main_Parameters!$C$149</f>
        <v>000090CF</v>
      </c>
      <c r="F17" s="92" t="s">
        <v>2099</v>
      </c>
      <c r="G17"/>
      <c r="H17"/>
      <c r="I17"/>
      <c r="J17"/>
      <c r="K17"/>
      <c r="L17"/>
      <c r="M17"/>
      <c r="N17"/>
      <c r="O17"/>
      <c r="P17"/>
      <c r="Q17"/>
      <c r="R17"/>
      <c r="S17"/>
      <c r="T17"/>
      <c r="U17"/>
      <c r="V17"/>
      <c r="W17"/>
      <c r="X17" s="131"/>
      <c r="AH17" s="131"/>
    </row>
    <row r="18" spans="2:57">
      <c r="B18" s="101" t="str">
        <f>IF(Main_Parameters!$C$43="TX0 Enable","REMend","delay")</f>
        <v>delay</v>
      </c>
      <c r="C18" s="102"/>
      <c r="D18" s="96">
        <v>1000</v>
      </c>
      <c r="E18" s="96"/>
      <c r="F18" s="92"/>
      <c r="G18"/>
      <c r="H18"/>
      <c r="I18"/>
      <c r="J18"/>
      <c r="K18"/>
      <c r="L18"/>
      <c r="M18"/>
      <c r="N18"/>
      <c r="O18"/>
      <c r="P18"/>
      <c r="Q18"/>
      <c r="R18"/>
      <c r="S18"/>
      <c r="T18"/>
      <c r="U18"/>
      <c r="V18"/>
      <c r="W18"/>
      <c r="X18" s="131"/>
      <c r="AH18" s="131"/>
    </row>
    <row r="19" spans="2:57">
      <c r="B19" s="101" t="str">
        <f>IF(Main_Parameters!$C$43="TX0 Enable","REMend","WR32")</f>
        <v>WR32</v>
      </c>
      <c r="C19" s="89" t="s">
        <v>1928</v>
      </c>
      <c r="D19" s="513" t="s">
        <v>2098</v>
      </c>
      <c r="E19" s="511" t="s">
        <v>1932</v>
      </c>
      <c r="F19" s="97"/>
      <c r="G19"/>
      <c r="H19"/>
      <c r="I19"/>
      <c r="J19"/>
      <c r="K19"/>
      <c r="L19"/>
      <c r="M19"/>
      <c r="N19"/>
      <c r="O19"/>
      <c r="P19"/>
      <c r="Q19"/>
      <c r="R19"/>
      <c r="S19"/>
      <c r="T19"/>
      <c r="U19"/>
      <c r="V19"/>
      <c r="W19"/>
    </row>
    <row r="20" spans="2:57">
      <c r="B20" s="101" t="str">
        <f>IF(Main_Parameters!$C$43="TX0 Enable","REMend","WR32")</f>
        <v>WR32</v>
      </c>
      <c r="C20" s="102" t="s">
        <v>1933</v>
      </c>
      <c r="D20" s="515" t="s">
        <v>978</v>
      </c>
      <c r="E20" s="91" t="str">
        <f>Main_Parameters!$C$152</f>
        <v>00000014</v>
      </c>
      <c r="F20" s="92"/>
      <c r="G20"/>
      <c r="H20"/>
      <c r="I20"/>
      <c r="J20"/>
      <c r="K20"/>
      <c r="L20"/>
      <c r="M20"/>
      <c r="N20"/>
      <c r="O20"/>
      <c r="P20"/>
      <c r="Q20"/>
      <c r="R20"/>
      <c r="S20"/>
      <c r="T20"/>
      <c r="U20"/>
      <c r="V20"/>
      <c r="W20"/>
      <c r="X20" s="131"/>
      <c r="AH20" s="131"/>
    </row>
    <row r="21" spans="2:57">
      <c r="B21" s="101" t="str">
        <f>IF(Main_Parameters!$C$43="TX0 Enable","REMend","WR32")</f>
        <v>WR32</v>
      </c>
      <c r="C21" s="102" t="s">
        <v>1934</v>
      </c>
      <c r="D21" s="515" t="s">
        <v>979</v>
      </c>
      <c r="E21" s="91" t="str">
        <f>Main_Parameters!$C$153</f>
        <v>00001770</v>
      </c>
      <c r="F21" s="92"/>
      <c r="G21"/>
      <c r="H21"/>
      <c r="I21"/>
      <c r="J21"/>
      <c r="K21"/>
      <c r="L21"/>
      <c r="M21"/>
      <c r="N21"/>
      <c r="O21"/>
      <c r="P21"/>
      <c r="Q21"/>
      <c r="R21"/>
      <c r="S21"/>
      <c r="T21"/>
      <c r="U21"/>
      <c r="V21"/>
      <c r="W21"/>
      <c r="X21" s="131"/>
      <c r="AH21" s="131"/>
    </row>
    <row r="22" spans="2:57" ht="15">
      <c r="B22" s="101" t="str">
        <f>IF(Main_Parameters!$C$43="TX0 Enable","REMend","WR32")</f>
        <v>WR32</v>
      </c>
      <c r="C22" s="102" t="s">
        <v>1935</v>
      </c>
      <c r="D22" s="515" t="s">
        <v>2100</v>
      </c>
      <c r="E22" s="91" t="str">
        <f>DEC2HEX(HEX2DEC(K22),8)</f>
        <v>00000000</v>
      </c>
      <c r="F22" s="92"/>
      <c r="G22"/>
      <c r="H22" s="597" t="s">
        <v>1937</v>
      </c>
      <c r="I22" s="598"/>
      <c r="J22" s="599"/>
      <c r="K22" s="116">
        <v>0</v>
      </c>
      <c r="L22" s="117" t="str">
        <f>IF(HEX2DEC(K22)&lt;0,"NG",IF(HEX2DEC(K22)&gt;4294967295,"NG","OK"))</f>
        <v>OK</v>
      </c>
      <c r="M22" s="103"/>
      <c r="N22" s="110"/>
      <c r="O22" s="110"/>
      <c r="P22" s="110"/>
      <c r="Q22" s="110"/>
      <c r="R22" s="110"/>
      <c r="S22" s="110"/>
      <c r="T22" s="110"/>
      <c r="U22" s="110"/>
      <c r="V22" s="110"/>
      <c r="W22" s="111"/>
      <c r="X22" s="131"/>
      <c r="AH22" s="131"/>
    </row>
    <row r="23" spans="2:57">
      <c r="B23" s="101" t="str">
        <f>IF(Main_Parameters!$C$43="TX0 Enable","REMend","WR32")</f>
        <v>WR32</v>
      </c>
      <c r="C23" s="102" t="s">
        <v>1938</v>
      </c>
      <c r="D23" s="515" t="s">
        <v>2101</v>
      </c>
      <c r="E23" s="91" t="str">
        <f>DEC2HEX(Y23*2^31+Z23*2^30+AA23*2^29+AB23*2^28+AC23*2^27+AD23*2^26+AE23*2^25+AF23*2^24+AG23*2^23+AH23*2^22+AI23*2^21+AJ23*2^20+AK23*2^19+AL23*2^18+AM23*2^17+AN23*2^16+AO23*2^15+AP23*2^14+AQ23*2^13+AR23*2^12+AS23*2^11+AT23*2^10+AU23*2^9+AV23*2^8+AW23*2^7+AX23*2^6+AY23*2^5+AZ23*2^4+BA23*2^3+BB23*2^2+BC23*2^1+BD23*2^0,8)</f>
        <v>00000101</v>
      </c>
      <c r="F23" s="92"/>
      <c r="H23" s="103"/>
      <c r="I23" s="110"/>
      <c r="J23" s="110"/>
      <c r="K23" s="110"/>
      <c r="L23" s="118" t="s">
        <v>1940</v>
      </c>
      <c r="M23" s="118" t="s">
        <v>1941</v>
      </c>
      <c r="N23" s="118" t="s">
        <v>1942</v>
      </c>
      <c r="O23" s="118" t="s">
        <v>1943</v>
      </c>
      <c r="P23" s="118" t="s">
        <v>1944</v>
      </c>
      <c r="Q23" s="118" t="s">
        <v>1945</v>
      </c>
      <c r="R23" s="118" t="s">
        <v>1946</v>
      </c>
      <c r="S23" s="118" t="s">
        <v>1947</v>
      </c>
      <c r="T23" s="118" t="s">
        <v>1948</v>
      </c>
      <c r="U23" s="118" t="s">
        <v>1949</v>
      </c>
      <c r="V23" s="133" t="s">
        <v>1950</v>
      </c>
      <c r="W23" s="104" t="s">
        <v>1951</v>
      </c>
      <c r="X23" s="131"/>
      <c r="Y23" s="64">
        <v>0</v>
      </c>
      <c r="Z23" s="64">
        <v>0</v>
      </c>
      <c r="AA23" s="64">
        <v>0</v>
      </c>
      <c r="AB23" s="64">
        <v>0</v>
      </c>
      <c r="AC23" s="64">
        <v>0</v>
      </c>
      <c r="AD23" s="64">
        <v>0</v>
      </c>
      <c r="AE23" s="64">
        <v>0</v>
      </c>
      <c r="AF23" s="64">
        <v>0</v>
      </c>
      <c r="AG23" s="64">
        <v>0</v>
      </c>
      <c r="AH23" s="131">
        <f>IF(L23="INIT Int Enb",1,0)</f>
        <v>0</v>
      </c>
      <c r="AI23" s="131">
        <f>IF(M23="ApErr Int Enb",1,0)</f>
        <v>0</v>
      </c>
      <c r="AJ23" s="131">
        <f>IF(N23="DSIPrto Int Enb",1,0)</f>
        <v>0</v>
      </c>
      <c r="AK23" s="131">
        <f>IF(O23="DSIrErr Int Enb",1,0)</f>
        <v>0</v>
      </c>
      <c r="AL23" s="131">
        <f>IF(P23="DSILPTX Int Enb",1,0)</f>
        <v>0</v>
      </c>
      <c r="AM23" s="131">
        <f>IF(Q23="DSIrTrg Int Enb",1,0)</f>
        <v>0</v>
      </c>
      <c r="AN23" s="131">
        <f>IF(R23="DSIrStat Int Enb",1,0)</f>
        <v>0</v>
      </c>
      <c r="AO23" s="64">
        <v>0</v>
      </c>
      <c r="AP23" s="131">
        <f>IF(S23="PRESP_TO Enb",1,0)</f>
        <v>0</v>
      </c>
      <c r="AQ23" s="131">
        <v>0</v>
      </c>
      <c r="AR23" s="131">
        <v>0</v>
      </c>
      <c r="AS23" s="131">
        <v>0</v>
      </c>
      <c r="AT23" s="131">
        <f>IF(T23="HSTX_TO Enb",1,0)</f>
        <v>0</v>
      </c>
      <c r="AU23" s="131">
        <f>IF(U23="IND_TO Enb",1,0)</f>
        <v>0</v>
      </c>
      <c r="AV23" s="131">
        <f>IF(V23="INDMdSel Reg",1,0)</f>
        <v>1</v>
      </c>
      <c r="AW23" s="64">
        <v>0</v>
      </c>
      <c r="AX23" s="64">
        <v>0</v>
      </c>
      <c r="AY23" s="64">
        <v>0</v>
      </c>
      <c r="AZ23" s="64">
        <v>0</v>
      </c>
      <c r="BA23" s="64">
        <v>0</v>
      </c>
      <c r="BB23" s="64">
        <v>0</v>
      </c>
      <c r="BC23" s="64">
        <v>0</v>
      </c>
      <c r="BD23" s="131">
        <f>IF(W23="VHDELAY Reg",1,0)</f>
        <v>1</v>
      </c>
    </row>
    <row r="24" spans="2:57" ht="15">
      <c r="B24" s="101" t="str">
        <f>IF(Main_Parameters!$C$43="TX0 Enable","REMend",IF(G24="Disable","REMend","WR32"))</f>
        <v>REMend</v>
      </c>
      <c r="C24" s="102" t="s">
        <v>1952</v>
      </c>
      <c r="D24" s="515" t="s">
        <v>2102</v>
      </c>
      <c r="E24" s="91" t="str">
        <f>DEC2HEX(Y24*2^31+Z24*2^30+AA24*2^29+AB24*2^28+AC24*2^27+AD24*2^26+AE24*2^25+AF24*2^24+AG24*2^23+AH24*2^22+AI24*2^21+AJ24*2^20+AK24*2^19+AL24*2^18+AM24*2^17+AN24*2^16+AO24*2^15+AP24*2^14+AQ24*2^13+AR24*2^12+AS24*2^11+AT24*2^10+AU24*2^9+AV24*2^8+AW24*2^7+AX24*2^6+AY24*2^5+AZ24*2^4+BA24*2^3+BB24*2^2+BC24*2^1+BD24*2^0,8)</f>
        <v>00000004</v>
      </c>
      <c r="F24" s="92"/>
      <c r="G24" s="104" t="s">
        <v>780</v>
      </c>
      <c r="H24" s="103"/>
      <c r="I24" s="110"/>
      <c r="J24" s="110"/>
      <c r="K24" s="110"/>
      <c r="L24" s="110"/>
      <c r="M24" s="110"/>
      <c r="N24" s="119"/>
      <c r="O24" s="119"/>
      <c r="P24" s="119"/>
      <c r="Q24" s="115" t="s">
        <v>1954</v>
      </c>
      <c r="R24" s="120" t="str">
        <f>IF(S24&gt;8191,"NG",IF(S24&lt;0,"NG","OK"))</f>
        <v>OK</v>
      </c>
      <c r="S24" s="134">
        <v>0</v>
      </c>
      <c r="T24" s="112" t="s">
        <v>1955</v>
      </c>
      <c r="U24" s="118" t="s">
        <v>2103</v>
      </c>
      <c r="V24" s="112" t="s">
        <v>1956</v>
      </c>
      <c r="W24" s="104" t="s">
        <v>1957</v>
      </c>
      <c r="X24" s="131"/>
      <c r="Y24" s="64">
        <v>0</v>
      </c>
      <c r="Z24" s="64">
        <v>0</v>
      </c>
      <c r="AA24" s="64">
        <v>0</v>
      </c>
      <c r="AB24" s="64">
        <v>0</v>
      </c>
      <c r="AC24" s="64">
        <v>0</v>
      </c>
      <c r="AD24" s="64">
        <v>0</v>
      </c>
      <c r="AE24" s="64">
        <v>0</v>
      </c>
      <c r="AF24" s="64">
        <v>0</v>
      </c>
      <c r="AG24" s="64">
        <v>0</v>
      </c>
      <c r="AH24" s="64">
        <v>0</v>
      </c>
      <c r="AI24" s="64">
        <v>0</v>
      </c>
      <c r="AJ24" s="64">
        <v>0</v>
      </c>
      <c r="AK24" s="64">
        <v>0</v>
      </c>
      <c r="AL24" s="64">
        <v>0</v>
      </c>
      <c r="AM24" s="64">
        <v>0</v>
      </c>
      <c r="AN24" s="64">
        <v>0</v>
      </c>
      <c r="AO24" s="64">
        <v>0</v>
      </c>
      <c r="AP24" s="64">
        <v>0</v>
      </c>
      <c r="AQ24" s="64">
        <v>0</v>
      </c>
      <c r="AR24" s="64">
        <v>0</v>
      </c>
      <c r="AS24" s="64">
        <v>0</v>
      </c>
      <c r="AT24" s="64">
        <v>0</v>
      </c>
      <c r="AU24" s="64">
        <v>0</v>
      </c>
      <c r="AV24" s="64">
        <v>0</v>
      </c>
      <c r="AW24" s="64">
        <v>0</v>
      </c>
      <c r="AX24" s="64">
        <v>0</v>
      </c>
      <c r="AY24" s="64">
        <v>0</v>
      </c>
      <c r="AZ24" s="64">
        <v>0</v>
      </c>
      <c r="BA24" s="64">
        <f>S24</f>
        <v>0</v>
      </c>
      <c r="BB24" s="64">
        <v>0</v>
      </c>
      <c r="BC24" s="64">
        <f>IF(U24="VFP",0,IF(U24="Immediate",2,1))</f>
        <v>2</v>
      </c>
      <c r="BD24" s="64">
        <f>IF(W24="Input",0,1)</f>
        <v>0</v>
      </c>
      <c r="BE24" s="131"/>
    </row>
    <row r="25" spans="2:57" ht="15">
      <c r="B25" s="101" t="str">
        <f>IF(Main_Parameters!$C$43="TX0 Enable","REMend","WR32")</f>
        <v>WR32</v>
      </c>
      <c r="C25" s="102" t="s">
        <v>1958</v>
      </c>
      <c r="D25" s="515" t="s">
        <v>2104</v>
      </c>
      <c r="E25" s="91" t="str">
        <f t="shared" ref="E25:E32" si="0">DEC2HEX(HEX2DEC(K25),8)</f>
        <v>00010000</v>
      </c>
      <c r="F25" s="92"/>
      <c r="G25"/>
      <c r="H25" s="597" t="s">
        <v>1960</v>
      </c>
      <c r="I25" s="598"/>
      <c r="J25" s="599"/>
      <c r="K25" s="516" t="s">
        <v>1961</v>
      </c>
      <c r="L25" s="120" t="str">
        <f t="shared" ref="L25:L32" si="1">IF(HEX2DEC(K25)&lt;0,"NG",IF(HEX2DEC(K25)&gt;4294967295,"NG","OK"))</f>
        <v>OK</v>
      </c>
      <c r="M25" s="103"/>
      <c r="N25" s="110"/>
      <c r="O25" s="110"/>
      <c r="P25" s="110"/>
      <c r="Q25" s="110"/>
      <c r="R25" s="110"/>
      <c r="S25" s="110"/>
      <c r="T25" s="110"/>
      <c r="U25" s="110"/>
      <c r="V25" s="110"/>
      <c r="W25" s="111"/>
    </row>
    <row r="26" spans="2:57" ht="15">
      <c r="B26" s="101" t="str">
        <f>IF(Main_Parameters!$C$43="TX0 Enable","REMend","WR32")</f>
        <v>WR32</v>
      </c>
      <c r="C26" s="102" t="s">
        <v>1962</v>
      </c>
      <c r="D26" s="515" t="s">
        <v>2105</v>
      </c>
      <c r="E26" s="91" t="str">
        <f t="shared" si="0"/>
        <v>00005000</v>
      </c>
      <c r="F26" s="92"/>
      <c r="G26"/>
      <c r="H26" s="597" t="s">
        <v>1964</v>
      </c>
      <c r="I26" s="598"/>
      <c r="J26" s="599"/>
      <c r="K26" s="516" t="s">
        <v>995</v>
      </c>
      <c r="L26" s="120" t="str">
        <f t="shared" si="1"/>
        <v>OK</v>
      </c>
      <c r="M26" s="103"/>
      <c r="N26" s="110"/>
      <c r="O26" s="110"/>
      <c r="P26" s="110"/>
      <c r="Q26" s="110"/>
      <c r="R26" s="110"/>
      <c r="S26" s="110"/>
      <c r="T26" s="110"/>
      <c r="U26" s="110"/>
      <c r="V26" s="110"/>
      <c r="W26" s="111"/>
      <c r="X26" s="131"/>
      <c r="AH26" s="131"/>
    </row>
    <row r="27" spans="2:57" ht="15">
      <c r="B27" s="101" t="str">
        <f>IF(Main_Parameters!$C$43="TX0 Enable","REMend","WR32")</f>
        <v>WR32</v>
      </c>
      <c r="C27" s="102" t="s">
        <v>1965</v>
      </c>
      <c r="D27" s="515" t="s">
        <v>2106</v>
      </c>
      <c r="E27" s="91" t="str">
        <f t="shared" si="0"/>
        <v>00010000</v>
      </c>
      <c r="F27" s="92"/>
      <c r="G27"/>
      <c r="H27" s="597" t="s">
        <v>1967</v>
      </c>
      <c r="I27" s="598"/>
      <c r="J27" s="599"/>
      <c r="K27" s="516" t="s">
        <v>1961</v>
      </c>
      <c r="L27" s="120" t="str">
        <f t="shared" si="1"/>
        <v>OK</v>
      </c>
      <c r="M27" s="103"/>
      <c r="N27" s="110"/>
      <c r="O27" s="110"/>
      <c r="P27" s="110"/>
      <c r="Q27" s="110"/>
      <c r="R27" s="110"/>
      <c r="S27" s="110"/>
      <c r="T27" s="110"/>
      <c r="U27" s="110"/>
      <c r="V27" s="110"/>
      <c r="W27" s="111"/>
      <c r="X27" s="131"/>
      <c r="AH27" s="131"/>
    </row>
    <row r="28" spans="2:57" ht="15">
      <c r="B28" s="101" t="str">
        <f>IF(Main_Parameters!$C$43="TX0 Enable","REMend","WR32")</f>
        <v>WR32</v>
      </c>
      <c r="C28" s="102" t="s">
        <v>1968</v>
      </c>
      <c r="D28" s="515" t="s">
        <v>2107</v>
      </c>
      <c r="E28" s="91" t="str">
        <f t="shared" si="0"/>
        <v>00010000</v>
      </c>
      <c r="F28" s="92"/>
      <c r="G28"/>
      <c r="H28" s="597" t="s">
        <v>1970</v>
      </c>
      <c r="I28" s="598"/>
      <c r="J28" s="599"/>
      <c r="K28" s="516" t="s">
        <v>1961</v>
      </c>
      <c r="L28" s="120" t="str">
        <f t="shared" si="1"/>
        <v>OK</v>
      </c>
      <c r="M28" s="103"/>
      <c r="N28" s="110"/>
      <c r="O28" s="110"/>
      <c r="P28" s="110"/>
      <c r="Q28" s="110"/>
      <c r="R28" s="110"/>
      <c r="S28" s="110"/>
      <c r="T28" s="110"/>
      <c r="U28" s="110"/>
      <c r="V28" s="110"/>
      <c r="W28" s="111"/>
      <c r="X28" s="131"/>
      <c r="AH28" s="131"/>
    </row>
    <row r="29" spans="2:57" ht="15">
      <c r="B29" s="101" t="str">
        <f>IF(Main_Parameters!$C$43="TX0 Enable","REMend","WR32")</f>
        <v>WR32</v>
      </c>
      <c r="C29" s="102" t="s">
        <v>1971</v>
      </c>
      <c r="D29" s="515" t="s">
        <v>2108</v>
      </c>
      <c r="E29" s="91" t="str">
        <f t="shared" si="0"/>
        <v>00010000</v>
      </c>
      <c r="F29" s="92"/>
      <c r="G29"/>
      <c r="H29" s="597" t="s">
        <v>1973</v>
      </c>
      <c r="I29" s="598"/>
      <c r="J29" s="599"/>
      <c r="K29" s="516" t="s">
        <v>1961</v>
      </c>
      <c r="L29" s="120" t="str">
        <f t="shared" si="1"/>
        <v>OK</v>
      </c>
      <c r="M29" s="103"/>
      <c r="N29" s="110"/>
      <c r="O29" s="110"/>
      <c r="P29" s="110"/>
      <c r="Q29" s="110"/>
      <c r="R29" s="110"/>
      <c r="S29" s="110"/>
      <c r="T29" s="110"/>
      <c r="U29" s="110"/>
      <c r="V29" s="110"/>
      <c r="W29" s="111"/>
      <c r="X29" s="131"/>
      <c r="AH29" s="131"/>
    </row>
    <row r="30" spans="2:57" ht="15">
      <c r="B30" s="101" t="str">
        <f>IF(Main_Parameters!$C$43="TX0 Enable","REMend","WR32")</f>
        <v>WR32</v>
      </c>
      <c r="C30" s="102" t="s">
        <v>1974</v>
      </c>
      <c r="D30" s="515" t="s">
        <v>2109</v>
      </c>
      <c r="E30" s="91" t="str">
        <f t="shared" si="0"/>
        <v>00010000</v>
      </c>
      <c r="F30" s="92"/>
      <c r="G30"/>
      <c r="H30" s="597" t="s">
        <v>1976</v>
      </c>
      <c r="I30" s="598"/>
      <c r="J30" s="599"/>
      <c r="K30" s="516" t="s">
        <v>1961</v>
      </c>
      <c r="L30" s="120" t="str">
        <f t="shared" si="1"/>
        <v>OK</v>
      </c>
      <c r="M30" s="103"/>
      <c r="N30" s="110"/>
      <c r="O30" s="110"/>
      <c r="P30" s="110"/>
      <c r="Q30" s="110"/>
      <c r="R30" s="110"/>
      <c r="S30" s="110"/>
      <c r="T30" s="110"/>
      <c r="U30" s="110"/>
      <c r="V30" s="110"/>
      <c r="W30" s="111"/>
      <c r="X30" s="131"/>
      <c r="AH30" s="131"/>
    </row>
    <row r="31" spans="2:57" ht="15">
      <c r="B31" s="101" t="str">
        <f>IF(Main_Parameters!$C$43="TX0 Enable","REMend","WR32")</f>
        <v>WR32</v>
      </c>
      <c r="C31" s="102" t="s">
        <v>1977</v>
      </c>
      <c r="D31" s="515" t="s">
        <v>2110</v>
      </c>
      <c r="E31" s="91" t="str">
        <f t="shared" si="0"/>
        <v>00001000</v>
      </c>
      <c r="F31" s="92"/>
      <c r="G31"/>
      <c r="H31" s="597" t="s">
        <v>1979</v>
      </c>
      <c r="I31" s="598"/>
      <c r="J31" s="599"/>
      <c r="K31" s="516" t="s">
        <v>1980</v>
      </c>
      <c r="L31" s="120" t="str">
        <f t="shared" si="1"/>
        <v>OK</v>
      </c>
      <c r="M31" s="103"/>
      <c r="N31" s="110"/>
      <c r="O31" s="110"/>
      <c r="P31" s="110"/>
      <c r="Q31" s="110"/>
      <c r="R31" s="110"/>
      <c r="S31" s="110"/>
      <c r="T31" s="110"/>
      <c r="U31" s="110"/>
      <c r="V31" s="110"/>
      <c r="W31" s="111"/>
      <c r="X31" s="131"/>
      <c r="AH31" s="131"/>
    </row>
    <row r="32" spans="2:57" ht="15">
      <c r="B32" s="101" t="str">
        <f>IF(Main_Parameters!$C$43="TX0 Enable","REMend","WR32")</f>
        <v>WR32</v>
      </c>
      <c r="C32" s="102" t="s">
        <v>1981</v>
      </c>
      <c r="D32" s="515" t="s">
        <v>2111</v>
      </c>
      <c r="E32" s="91" t="str">
        <f t="shared" si="0"/>
        <v>00010000</v>
      </c>
      <c r="F32" s="92"/>
      <c r="G32"/>
      <c r="H32" s="597" t="s">
        <v>1983</v>
      </c>
      <c r="I32" s="598"/>
      <c r="J32" s="599"/>
      <c r="K32" s="516" t="s">
        <v>1961</v>
      </c>
      <c r="L32" s="120" t="str">
        <f t="shared" si="1"/>
        <v>OK</v>
      </c>
      <c r="M32" s="103"/>
      <c r="N32" s="110"/>
      <c r="O32" s="110"/>
      <c r="P32" s="110"/>
      <c r="Q32" s="110"/>
      <c r="R32" s="110"/>
      <c r="S32" s="110"/>
      <c r="T32" s="110"/>
      <c r="U32" s="110"/>
      <c r="V32" s="110"/>
      <c r="W32" s="111"/>
      <c r="X32" s="131"/>
      <c r="AH32" s="131"/>
    </row>
    <row r="33" spans="2:57">
      <c r="B33" s="101" t="str">
        <f>IF(Main_Parameters!$C$43="TX0 Enable","REMend","WR32")</f>
        <v>WR32</v>
      </c>
      <c r="C33" s="102" t="s">
        <v>1984</v>
      </c>
      <c r="D33" s="515" t="s">
        <v>2112</v>
      </c>
      <c r="E33" s="91" t="str">
        <f t="shared" ref="E33:E36" si="2">DEC2HEX(Y33*2^31+Z33*2^30+AA33*2^29+AB33*2^28+AC33*2^27+AD33*2^26+AE33*2^25+AF33*2^24+AG33*2^23+AH33*2^22+AI33*2^21+AJ33*2^20+AK33*2^19+AL33*2^18+AM33*2^17+AN33*2^16+AO33*2^15+AP33*2^14+AQ33*2^13+AR33*2^12+AS33*2^11+AT33*2^10+AU33*2^9+AV33*2^8+AW33*2^7+AX33*2^6+AY33*2^5+AZ33*2^4+BA33*2^3+BB33*2^2+BC33*2^1+BD33*2^0,8)</f>
        <v>00000161</v>
      </c>
      <c r="F33" s="92"/>
      <c r="G33"/>
      <c r="H33" s="105"/>
      <c r="I33" s="121"/>
      <c r="J33" s="121"/>
      <c r="K33" s="122"/>
      <c r="L33" s="123" t="s">
        <v>1986</v>
      </c>
      <c r="M33" s="124" t="s">
        <v>1987</v>
      </c>
      <c r="N33" s="123" t="s">
        <v>1988</v>
      </c>
      <c r="O33" s="124" t="s">
        <v>721</v>
      </c>
      <c r="P33" s="125" t="s">
        <v>1989</v>
      </c>
      <c r="Q33" s="113" t="s">
        <v>780</v>
      </c>
      <c r="R33" s="125" t="s">
        <v>1990</v>
      </c>
      <c r="S33" s="113" t="s">
        <v>780</v>
      </c>
      <c r="T33" s="112" t="s">
        <v>1991</v>
      </c>
      <c r="U33" s="135" t="str">
        <f>IF(Main_Parameters!$C$80="Enable","Continuous","Discontinuous")</f>
        <v>Continuous</v>
      </c>
      <c r="V33" s="112" t="s">
        <v>1992</v>
      </c>
      <c r="W33" s="135" t="str">
        <f>IF(Main_Parameters!$C$79="Yes","Yes","No")</f>
        <v>Yes</v>
      </c>
      <c r="X33" s="63"/>
      <c r="Y33" s="47">
        <v>0</v>
      </c>
      <c r="Z33" s="47">
        <v>0</v>
      </c>
      <c r="AA33" s="47">
        <v>0</v>
      </c>
      <c r="AB33" s="47">
        <v>0</v>
      </c>
      <c r="AC33" s="47">
        <v>0</v>
      </c>
      <c r="AD33" s="47">
        <v>0</v>
      </c>
      <c r="AE33" s="47">
        <v>0</v>
      </c>
      <c r="AF33" s="47">
        <v>0</v>
      </c>
      <c r="AG33" s="47">
        <v>0</v>
      </c>
      <c r="AH33" s="63">
        <v>0</v>
      </c>
      <c r="AI33" s="47">
        <v>0</v>
      </c>
      <c r="AJ33" s="47">
        <v>0</v>
      </c>
      <c r="AK33" s="47">
        <v>0</v>
      </c>
      <c r="AL33" s="47">
        <v>0</v>
      </c>
      <c r="AM33" s="47">
        <v>0</v>
      </c>
      <c r="AN33" s="47">
        <v>0</v>
      </c>
      <c r="AO33" s="47">
        <v>0</v>
      </c>
      <c r="AP33" s="47">
        <v>0</v>
      </c>
      <c r="AQ33" s="47">
        <v>0</v>
      </c>
      <c r="AR33" s="47">
        <v>0</v>
      </c>
      <c r="AS33" s="47">
        <v>0</v>
      </c>
      <c r="AT33" s="47">
        <f>IF(M33="Forced to STOP",1,0)</f>
        <v>0</v>
      </c>
      <c r="AU33" s="47">
        <f>IF(O33="Disable",1,0)</f>
        <v>0</v>
      </c>
      <c r="AV33" s="47">
        <f>IF(Q33="Disable",1,0)</f>
        <v>1</v>
      </c>
      <c r="AW33" s="47">
        <v>0</v>
      </c>
      <c r="AX33" s="47">
        <f>IF(S33="Disable",1,0)</f>
        <v>1</v>
      </c>
      <c r="AY33" s="47">
        <f>IF(U33="Continuous",1,0)</f>
        <v>1</v>
      </c>
      <c r="AZ33" s="47">
        <v>0</v>
      </c>
      <c r="BA33" s="47">
        <v>0</v>
      </c>
      <c r="BB33" s="47">
        <v>0</v>
      </c>
      <c r="BC33" s="47">
        <v>0</v>
      </c>
      <c r="BD33" s="47">
        <f>IF(W33="Yes",1,0)</f>
        <v>1</v>
      </c>
    </row>
    <row r="34" spans="2:57">
      <c r="B34" s="101" t="str">
        <f>IF(Main_Parameters!$C$43="TX0 Enable","REMend","WR32")</f>
        <v>WR32</v>
      </c>
      <c r="C34" s="102" t="s">
        <v>1993</v>
      </c>
      <c r="D34" s="515" t="s">
        <v>2113</v>
      </c>
      <c r="E34" s="91" t="str">
        <f t="shared" si="2"/>
        <v>00000001</v>
      </c>
      <c r="F34" s="92"/>
      <c r="G34"/>
      <c r="H34" s="103"/>
      <c r="I34" s="110"/>
      <c r="J34" s="110"/>
      <c r="K34" s="110"/>
      <c r="L34" s="110"/>
      <c r="M34" s="110"/>
      <c r="N34" s="110"/>
      <c r="O34" s="111"/>
      <c r="P34" s="106" t="s">
        <v>1995</v>
      </c>
      <c r="Q34" s="104" t="s">
        <v>780</v>
      </c>
      <c r="R34" s="106" t="s">
        <v>1996</v>
      </c>
      <c r="S34" s="104" t="s">
        <v>780</v>
      </c>
      <c r="T34" s="106" t="s">
        <v>1997</v>
      </c>
      <c r="U34" s="104" t="s">
        <v>780</v>
      </c>
      <c r="V34" s="106" t="s">
        <v>1998</v>
      </c>
      <c r="W34" s="104" t="s">
        <v>721</v>
      </c>
      <c r="X34" s="63"/>
      <c r="Y34" s="47">
        <v>0</v>
      </c>
      <c r="Z34" s="47">
        <v>0</v>
      </c>
      <c r="AA34" s="47">
        <v>0</v>
      </c>
      <c r="AB34" s="47">
        <v>0</v>
      </c>
      <c r="AC34" s="47">
        <v>0</v>
      </c>
      <c r="AD34" s="47">
        <v>0</v>
      </c>
      <c r="AE34" s="47">
        <v>0</v>
      </c>
      <c r="AF34" s="47">
        <v>0</v>
      </c>
      <c r="AG34" s="47">
        <v>0</v>
      </c>
      <c r="AH34" s="63">
        <v>0</v>
      </c>
      <c r="AI34" s="47">
        <v>0</v>
      </c>
      <c r="AJ34" s="47">
        <v>0</v>
      </c>
      <c r="AK34" s="47">
        <v>0</v>
      </c>
      <c r="AL34" s="47">
        <v>0</v>
      </c>
      <c r="AM34" s="47">
        <v>0</v>
      </c>
      <c r="AN34" s="47">
        <v>0</v>
      </c>
      <c r="AO34" s="47">
        <v>0</v>
      </c>
      <c r="AP34" s="47">
        <v>0</v>
      </c>
      <c r="AQ34" s="47">
        <v>0</v>
      </c>
      <c r="AR34" s="47">
        <v>0</v>
      </c>
      <c r="AS34" s="47">
        <v>0</v>
      </c>
      <c r="AT34" s="47">
        <v>0</v>
      </c>
      <c r="AU34" s="47">
        <v>0</v>
      </c>
      <c r="AV34" s="47">
        <v>0</v>
      </c>
      <c r="AW34" s="47">
        <v>0</v>
      </c>
      <c r="AX34" s="47">
        <v>0</v>
      </c>
      <c r="AY34" s="47">
        <v>0</v>
      </c>
      <c r="AZ34" s="47">
        <v>0</v>
      </c>
      <c r="BA34" s="47">
        <f>IF(Q34="Enable",1,0)</f>
        <v>0</v>
      </c>
      <c r="BB34" s="47">
        <f>IF(S34="Enable",1,0)</f>
        <v>0</v>
      </c>
      <c r="BC34" s="47">
        <f>IF(U34="Enable",1,0)</f>
        <v>0</v>
      </c>
      <c r="BD34" s="47">
        <f>IF(W34="Enable",1,0)</f>
        <v>1</v>
      </c>
    </row>
    <row r="35" spans="2:57" ht="15">
      <c r="B35" s="101" t="str">
        <f>IF(Main_Parameters!$C$43="TX0 Enable","REMend","WR32")</f>
        <v>WR32</v>
      </c>
      <c r="C35" s="102" t="s">
        <v>1999</v>
      </c>
      <c r="D35" s="515" t="s">
        <v>2114</v>
      </c>
      <c r="E35" s="91" t="str">
        <f>DEC2HEX(HEX2DEC(K35),8)</f>
        <v>000000C8</v>
      </c>
      <c r="F35" s="92"/>
      <c r="G35"/>
      <c r="H35" s="597" t="s">
        <v>2001</v>
      </c>
      <c r="I35" s="598"/>
      <c r="J35" s="599"/>
      <c r="K35" s="516" t="s">
        <v>2002</v>
      </c>
      <c r="L35" s="120" t="str">
        <f>IF(HEX2DEC(K35)&lt;0,"NG",IF(HEX2DEC(K35)&gt;4294967295,"NG","OK"))</f>
        <v>OK</v>
      </c>
      <c r="M35" s="103"/>
      <c r="N35" s="110"/>
      <c r="O35" s="110"/>
      <c r="P35" s="110"/>
      <c r="Q35" s="110"/>
      <c r="R35" s="110"/>
      <c r="S35" s="110"/>
      <c r="T35" s="110"/>
      <c r="U35" s="110"/>
      <c r="V35" s="110"/>
      <c r="W35" s="111"/>
      <c r="X35" s="131"/>
      <c r="AH35" s="131"/>
    </row>
    <row r="36" spans="2:57">
      <c r="B36" s="101" t="str">
        <f>IF(Main_Parameters!$C$43="TX0 Enable","REMend",IF(G36="Disable","REMend","WR32"))</f>
        <v>REMend</v>
      </c>
      <c r="C36" s="102" t="s">
        <v>2003</v>
      </c>
      <c r="D36" s="515" t="s">
        <v>2115</v>
      </c>
      <c r="E36" s="91" t="str">
        <f t="shared" si="2"/>
        <v>00000015</v>
      </c>
      <c r="F36" s="92"/>
      <c r="G36" s="104" t="s">
        <v>780</v>
      </c>
      <c r="H36" s="103"/>
      <c r="I36" s="110"/>
      <c r="J36" s="110"/>
      <c r="K36" s="110"/>
      <c r="L36" s="110"/>
      <c r="M36" s="110"/>
      <c r="N36" s="114"/>
      <c r="O36" s="114"/>
      <c r="P36" s="119"/>
      <c r="Q36" s="132"/>
      <c r="R36" s="136" t="s">
        <v>2005</v>
      </c>
      <c r="S36" s="104" t="s">
        <v>2006</v>
      </c>
      <c r="T36" s="137" t="s">
        <v>2007</v>
      </c>
      <c r="U36" s="104" t="s">
        <v>2006</v>
      </c>
      <c r="V36" s="137" t="s">
        <v>2008</v>
      </c>
      <c r="W36" s="104" t="s">
        <v>2006</v>
      </c>
      <c r="X36" s="131"/>
      <c r="Y36" s="64">
        <v>0</v>
      </c>
      <c r="Z36" s="64">
        <v>0</v>
      </c>
      <c r="AA36" s="64">
        <v>0</v>
      </c>
      <c r="AB36" s="64">
        <v>0</v>
      </c>
      <c r="AC36" s="64">
        <v>0</v>
      </c>
      <c r="AD36" s="64">
        <v>0</v>
      </c>
      <c r="AE36" s="64">
        <v>0</v>
      </c>
      <c r="AF36" s="64">
        <v>0</v>
      </c>
      <c r="AG36" s="64">
        <v>0</v>
      </c>
      <c r="AH36" s="64">
        <v>0</v>
      </c>
      <c r="AI36" s="64">
        <v>0</v>
      </c>
      <c r="AJ36" s="64">
        <v>0</v>
      </c>
      <c r="AK36" s="64">
        <v>0</v>
      </c>
      <c r="AL36" s="64">
        <v>0</v>
      </c>
      <c r="AM36" s="64">
        <v>0</v>
      </c>
      <c r="AN36" s="64">
        <v>0</v>
      </c>
      <c r="AO36" s="64">
        <v>0</v>
      </c>
      <c r="AP36" s="64">
        <v>0</v>
      </c>
      <c r="AQ36" s="64">
        <v>0</v>
      </c>
      <c r="AR36" s="64">
        <v>0</v>
      </c>
      <c r="AS36" s="64">
        <v>0</v>
      </c>
      <c r="AT36" s="64">
        <v>0</v>
      </c>
      <c r="AU36" s="64">
        <v>0</v>
      </c>
      <c r="AV36" s="64">
        <v>0</v>
      </c>
      <c r="AW36" s="64">
        <v>0</v>
      </c>
      <c r="AX36" s="64">
        <v>0</v>
      </c>
      <c r="AY36" s="64">
        <v>0</v>
      </c>
      <c r="AZ36" s="64">
        <f t="shared" ref="AZ36:BD36" si="3">IF(S36="Mask",1,0)</f>
        <v>1</v>
      </c>
      <c r="BA36" s="64">
        <v>0</v>
      </c>
      <c r="BB36" s="64">
        <f t="shared" si="3"/>
        <v>1</v>
      </c>
      <c r="BC36" s="64">
        <v>0</v>
      </c>
      <c r="BD36" s="64">
        <f t="shared" si="3"/>
        <v>1</v>
      </c>
      <c r="BE36" s="131"/>
    </row>
    <row r="37" spans="2:57" ht="15">
      <c r="B37" s="101" t="str">
        <f>IF(Main_Parameters!$C$43="TX0 Enable","REMend","WR32")</f>
        <v>WR32</v>
      </c>
      <c r="C37" s="102" t="s">
        <v>2010</v>
      </c>
      <c r="D37" s="515" t="s">
        <v>2116</v>
      </c>
      <c r="E37" s="91" t="str">
        <f>DEC2HEX(HEX2DEC(K37),8)</f>
        <v>0000002A</v>
      </c>
      <c r="F37" s="92"/>
      <c r="G37"/>
      <c r="H37" s="597" t="s">
        <v>2012</v>
      </c>
      <c r="I37" s="598"/>
      <c r="J37" s="599"/>
      <c r="K37" s="516" t="s">
        <v>2013</v>
      </c>
      <c r="L37" s="120" t="str">
        <f>IF(HEX2DEC(K37)&lt;0,"NG",IF(HEX2DEC(K37)&gt;65535,"NG","OK"))</f>
        <v>OK</v>
      </c>
      <c r="M37" s="103"/>
      <c r="N37" s="110"/>
      <c r="O37" s="110"/>
      <c r="P37" s="110"/>
      <c r="Q37" s="110"/>
      <c r="R37" s="110"/>
      <c r="S37" s="110"/>
      <c r="T37" s="110"/>
      <c r="U37" s="110"/>
      <c r="V37" s="110"/>
      <c r="W37" s="111"/>
      <c r="X37" s="131"/>
      <c r="AH37" s="131"/>
    </row>
    <row r="38" spans="2:57">
      <c r="B38" s="101" t="str">
        <f>IF(Main_Parameters!$C$43="TX0 Enable","REMend","WR32")</f>
        <v>WR32</v>
      </c>
      <c r="C38" s="102" t="s">
        <v>2014</v>
      </c>
      <c r="D38" s="515" t="s">
        <v>2117</v>
      </c>
      <c r="E38" s="91" t="str">
        <f>Main_Parameters!$C$156</f>
        <v>000003F5</v>
      </c>
      <c r="F38" s="92"/>
      <c r="G38"/>
      <c r="H38"/>
      <c r="I38"/>
      <c r="J38"/>
      <c r="K38"/>
      <c r="L38"/>
      <c r="M38"/>
      <c r="N38"/>
      <c r="O38"/>
      <c r="P38"/>
      <c r="Q38"/>
      <c r="R38"/>
      <c r="S38"/>
      <c r="T38"/>
      <c r="U38"/>
      <c r="V38"/>
      <c r="W38"/>
      <c r="X38" s="131"/>
      <c r="AH38" s="131"/>
    </row>
    <row r="39" spans="2:57">
      <c r="B39" s="101" t="str">
        <f>IF(Main_Parameters!$C$43="TX0 Enable","REMend",IF(G39="Disable","REMend","WR32"))</f>
        <v>REMend</v>
      </c>
      <c r="C39" s="102" t="s">
        <v>2016</v>
      </c>
      <c r="D39" s="515" t="s">
        <v>2118</v>
      </c>
      <c r="E39" s="91" t="str">
        <f t="shared" ref="E39:E44" si="4">DEC2HEX(Y39*2^31+Z39*2^30+AA39*2^29+AB39*2^28+AC39*2^27+AD39*2^26+AE39*2^25+AF39*2^24+AG39*2^23+AH39*2^22+AI39*2^21+AJ39*2^20+AK39*2^19+AL39*2^18+AM39*2^17+AN39*2^16+AO39*2^15+AP39*2^14+AQ39*2^13+AR39*2^12+AS39*2^11+AT39*2^10+AU39*2^9+AV39*2^8+AW39*2^7+AX39*2^6+AY39*2^5+AZ39*2^4+BA39*2^3+BB39*2^2+BC39*2^1+BD39*2^0,8)</f>
        <v>00000001</v>
      </c>
      <c r="F39" s="92"/>
      <c r="G39" s="104" t="s">
        <v>780</v>
      </c>
      <c r="H39" s="105"/>
      <c r="I39" s="121"/>
      <c r="J39" s="121"/>
      <c r="K39" s="121"/>
      <c r="L39" s="121"/>
      <c r="M39" s="121"/>
      <c r="N39" s="121"/>
      <c r="O39" s="121"/>
      <c r="P39" s="119"/>
      <c r="Q39" s="119"/>
      <c r="R39" s="138"/>
      <c r="S39" s="126"/>
      <c r="T39" s="126" t="s">
        <v>2018</v>
      </c>
      <c r="U39" s="124">
        <v>0</v>
      </c>
      <c r="V39" s="112" t="s">
        <v>2019</v>
      </c>
      <c r="W39" s="104" t="s">
        <v>2020</v>
      </c>
      <c r="X39" s="63"/>
      <c r="Y39" s="47">
        <v>0</v>
      </c>
      <c r="Z39" s="47">
        <v>0</v>
      </c>
      <c r="AA39" s="47">
        <v>0</v>
      </c>
      <c r="AB39" s="47">
        <v>0</v>
      </c>
      <c r="AC39" s="47">
        <v>0</v>
      </c>
      <c r="AD39" s="47">
        <v>0</v>
      </c>
      <c r="AE39" s="47">
        <v>0</v>
      </c>
      <c r="AF39" s="47">
        <v>0</v>
      </c>
      <c r="AG39" s="47">
        <v>0</v>
      </c>
      <c r="AH39" s="47">
        <v>0</v>
      </c>
      <c r="AI39" s="47">
        <v>0</v>
      </c>
      <c r="AJ39" s="47">
        <v>0</v>
      </c>
      <c r="AK39" s="47">
        <v>0</v>
      </c>
      <c r="AL39" s="47">
        <v>0</v>
      </c>
      <c r="AM39" s="47">
        <v>0</v>
      </c>
      <c r="AN39" s="47">
        <v>0</v>
      </c>
      <c r="AO39" s="47">
        <v>0</v>
      </c>
      <c r="AP39" s="47">
        <v>0</v>
      </c>
      <c r="AQ39" s="47">
        <v>0</v>
      </c>
      <c r="AR39" s="47">
        <v>0</v>
      </c>
      <c r="AS39" s="47">
        <v>0</v>
      </c>
      <c r="AT39" s="47">
        <v>0</v>
      </c>
      <c r="AU39" s="47">
        <v>0</v>
      </c>
      <c r="AV39" s="47">
        <v>0</v>
      </c>
      <c r="AW39" s="47">
        <v>0</v>
      </c>
      <c r="AX39" s="47">
        <v>0</v>
      </c>
      <c r="AY39" s="47">
        <v>0</v>
      </c>
      <c r="AZ39" s="47">
        <v>0</v>
      </c>
      <c r="BA39" s="47">
        <v>0</v>
      </c>
      <c r="BB39" s="47">
        <v>0</v>
      </c>
      <c r="BC39" s="47">
        <f>U39</f>
        <v>0</v>
      </c>
      <c r="BD39" s="47">
        <f>IF(W39="By Reg",1,0)</f>
        <v>1</v>
      </c>
    </row>
    <row r="40" spans="2:57">
      <c r="B40" s="101" t="str">
        <f>IF(Main_Parameters!$C$43="TX0 Enable","REMend","WR32")</f>
        <v>WR32</v>
      </c>
      <c r="C40" s="102" t="s">
        <v>2021</v>
      </c>
      <c r="D40" s="515" t="s">
        <v>983</v>
      </c>
      <c r="E40" s="91" t="str">
        <f>Main_Parameters!$C$158</f>
        <v>00000081</v>
      </c>
      <c r="F40" s="92"/>
      <c r="G40"/>
      <c r="H40"/>
      <c r="I40"/>
      <c r="J40"/>
      <c r="K40"/>
      <c r="L40"/>
      <c r="M40"/>
      <c r="N40"/>
      <c r="O40"/>
      <c r="P40"/>
      <c r="Q40"/>
      <c r="R40"/>
      <c r="S40"/>
      <c r="T40"/>
      <c r="U40"/>
      <c r="V40"/>
      <c r="W40"/>
      <c r="X40" s="131"/>
      <c r="Y40" s="131"/>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c r="AY40" s="131"/>
      <c r="AZ40" s="131"/>
      <c r="BA40" s="131"/>
      <c r="BB40" s="131"/>
      <c r="BC40" s="131"/>
      <c r="BD40" s="131"/>
    </row>
    <row r="41" spans="2:57">
      <c r="B41" s="101" t="str">
        <f>IF(Main_Parameters!$C$43="TX0 Enable","REMend","WR32")</f>
        <v>WR32</v>
      </c>
      <c r="C41" s="102" t="s">
        <v>2022</v>
      </c>
      <c r="D41" s="515" t="s">
        <v>984</v>
      </c>
      <c r="E41" s="91" t="str">
        <f>Main_Parameters!$C$159</f>
        <v>00000001</v>
      </c>
      <c r="F41" s="92"/>
      <c r="G41"/>
      <c r="H41"/>
      <c r="I41"/>
      <c r="J41"/>
      <c r="K41"/>
      <c r="L41"/>
      <c r="M41"/>
      <c r="N41"/>
      <c r="O41"/>
      <c r="P41"/>
      <c r="Q41"/>
      <c r="R41"/>
      <c r="S41"/>
      <c r="T41"/>
      <c r="U41"/>
      <c r="V41"/>
      <c r="W41"/>
      <c r="X41" s="131"/>
      <c r="AH41" s="131"/>
    </row>
    <row r="42" spans="2:57">
      <c r="B42" s="101" t="str">
        <f>IF(Main_Parameters!$C$43="TX0 Enable","REMend","WR32")</f>
        <v>WR32</v>
      </c>
      <c r="C42" s="102" t="s">
        <v>2023</v>
      </c>
      <c r="D42" s="515" t="s">
        <v>985</v>
      </c>
      <c r="E42" s="91" t="str">
        <f>Main_Parameters!$C$160</f>
        <v>00000104</v>
      </c>
      <c r="F42" s="92"/>
      <c r="G42"/>
      <c r="H42"/>
      <c r="I42"/>
      <c r="J42"/>
      <c r="K42"/>
      <c r="L42"/>
      <c r="M42"/>
      <c r="N42"/>
      <c r="O42"/>
      <c r="P42"/>
      <c r="Q42"/>
      <c r="R42"/>
      <c r="S42"/>
      <c r="T42"/>
      <c r="U42"/>
      <c r="V42"/>
      <c r="W42"/>
      <c r="X42" s="131"/>
      <c r="AH42" s="131"/>
    </row>
    <row r="43" spans="2:57">
      <c r="B43" s="101" t="str">
        <f>IF(Main_Parameters!$C$43="TX0 Enable","REMend",IF(G43="Disable","REMend","WR32"))</f>
        <v>WR32</v>
      </c>
      <c r="C43" s="102" t="s">
        <v>2024</v>
      </c>
      <c r="D43" s="515" t="s">
        <v>2119</v>
      </c>
      <c r="E43" s="91" t="str">
        <f t="shared" si="4"/>
        <v>00000000</v>
      </c>
      <c r="F43" s="92"/>
      <c r="G43" s="104" t="s">
        <v>721</v>
      </c>
      <c r="H43" s="105"/>
      <c r="I43" s="121"/>
      <c r="J43" s="121"/>
      <c r="K43" s="121"/>
      <c r="L43" s="121"/>
      <c r="M43" s="122"/>
      <c r="N43" s="126" t="s">
        <v>2026</v>
      </c>
      <c r="O43" s="124" t="s">
        <v>2009</v>
      </c>
      <c r="P43" s="106" t="s">
        <v>2027</v>
      </c>
      <c r="Q43" s="113" t="s">
        <v>2009</v>
      </c>
      <c r="R43" s="125" t="s">
        <v>2028</v>
      </c>
      <c r="S43" s="113" t="s">
        <v>2009</v>
      </c>
      <c r="T43" s="112" t="s">
        <v>2029</v>
      </c>
      <c r="U43" s="113" t="s">
        <v>2009</v>
      </c>
      <c r="V43" s="112" t="s">
        <v>2030</v>
      </c>
      <c r="W43" s="104" t="s">
        <v>2009</v>
      </c>
      <c r="X43" s="63"/>
      <c r="Y43" s="47">
        <v>0</v>
      </c>
      <c r="Z43" s="47">
        <v>0</v>
      </c>
      <c r="AA43" s="47">
        <v>0</v>
      </c>
      <c r="AB43" s="47">
        <v>0</v>
      </c>
      <c r="AC43" s="47">
        <v>0</v>
      </c>
      <c r="AD43" s="47">
        <v>0</v>
      </c>
      <c r="AE43" s="47">
        <v>0</v>
      </c>
      <c r="AF43" s="47">
        <v>0</v>
      </c>
      <c r="AG43" s="47">
        <v>0</v>
      </c>
      <c r="AH43" s="47">
        <v>0</v>
      </c>
      <c r="AI43" s="47">
        <v>0</v>
      </c>
      <c r="AJ43" s="47">
        <v>0</v>
      </c>
      <c r="AK43" s="47">
        <v>0</v>
      </c>
      <c r="AL43" s="47">
        <v>0</v>
      </c>
      <c r="AM43" s="47">
        <v>0</v>
      </c>
      <c r="AN43" s="47">
        <v>0</v>
      </c>
      <c r="AO43" s="47">
        <v>0</v>
      </c>
      <c r="AP43" s="47">
        <v>0</v>
      </c>
      <c r="AQ43" s="47">
        <v>0</v>
      </c>
      <c r="AR43" s="47">
        <v>0</v>
      </c>
      <c r="AS43" s="47">
        <v>0</v>
      </c>
      <c r="AT43" s="47">
        <v>0</v>
      </c>
      <c r="AU43" s="47">
        <v>0</v>
      </c>
      <c r="AV43" s="47">
        <v>0</v>
      </c>
      <c r="AW43" s="47">
        <v>0</v>
      </c>
      <c r="AX43" s="47">
        <v>0</v>
      </c>
      <c r="AY43" s="47">
        <v>0</v>
      </c>
      <c r="AZ43" s="47">
        <f>IF(O43="Mask",1,0)</f>
        <v>0</v>
      </c>
      <c r="BA43" s="47">
        <f t="shared" ref="BA43:BA47" si="5">IF(Q43="Mask",1,0)</f>
        <v>0</v>
      </c>
      <c r="BB43" s="47">
        <f t="shared" ref="BB43:BB47" si="6">IF(S43="Mask",1,0)</f>
        <v>0</v>
      </c>
      <c r="BC43" s="47">
        <f t="shared" ref="BC43:BC47" si="7">IF(U43="Mask",1,0)</f>
        <v>0</v>
      </c>
      <c r="BD43" s="47">
        <f t="shared" ref="BD43:BD47" si="8">IF(W43="Mask",1,0)</f>
        <v>0</v>
      </c>
    </row>
    <row r="44" spans="2:57">
      <c r="B44" s="101" t="str">
        <f>IF(Main_Parameters!$C$43="TX0 Enable","REMend",IF(G44="Disable","REMend","WR32"))</f>
        <v>REMend</v>
      </c>
      <c r="C44" s="102" t="s">
        <v>2031</v>
      </c>
      <c r="D44" s="515" t="s">
        <v>2120</v>
      </c>
      <c r="E44" s="91" t="str">
        <f t="shared" si="4"/>
        <v>00000000</v>
      </c>
      <c r="F44" s="92"/>
      <c r="G44" s="104" t="s">
        <v>780</v>
      </c>
      <c r="H44" s="103"/>
      <c r="I44" s="110"/>
      <c r="J44" s="110"/>
      <c r="K44" s="110"/>
      <c r="L44" s="110"/>
      <c r="M44" s="110"/>
      <c r="N44" s="119"/>
      <c r="O44" s="112"/>
      <c r="P44" s="111" t="s">
        <v>2033</v>
      </c>
      <c r="Q44" s="113" t="s">
        <v>2009</v>
      </c>
      <c r="R44" s="111" t="s">
        <v>2034</v>
      </c>
      <c r="S44" s="113" t="s">
        <v>2009</v>
      </c>
      <c r="T44" s="111" t="s">
        <v>2035</v>
      </c>
      <c r="U44" s="113" t="s">
        <v>2009</v>
      </c>
      <c r="V44" s="111" t="s">
        <v>2036</v>
      </c>
      <c r="W44" s="104" t="s">
        <v>2009</v>
      </c>
      <c r="X44" s="63"/>
      <c r="Y44" s="47">
        <v>0</v>
      </c>
      <c r="Z44" s="47">
        <v>0</v>
      </c>
      <c r="AA44" s="47">
        <v>0</v>
      </c>
      <c r="AB44" s="47">
        <v>0</v>
      </c>
      <c r="AC44" s="47">
        <v>0</v>
      </c>
      <c r="AD44" s="47">
        <v>0</v>
      </c>
      <c r="AE44" s="47">
        <v>0</v>
      </c>
      <c r="AF44" s="47">
        <v>0</v>
      </c>
      <c r="AG44" s="47">
        <v>0</v>
      </c>
      <c r="AH44" s="47">
        <v>0</v>
      </c>
      <c r="AI44" s="47">
        <v>0</v>
      </c>
      <c r="AJ44" s="47">
        <v>0</v>
      </c>
      <c r="AK44" s="47">
        <v>0</v>
      </c>
      <c r="AL44" s="47">
        <v>0</v>
      </c>
      <c r="AM44" s="47">
        <v>0</v>
      </c>
      <c r="AN44" s="47">
        <v>0</v>
      </c>
      <c r="AO44" s="47">
        <v>0</v>
      </c>
      <c r="AP44" s="47">
        <v>0</v>
      </c>
      <c r="AQ44" s="47">
        <v>0</v>
      </c>
      <c r="AR44" s="47">
        <v>0</v>
      </c>
      <c r="AS44" s="47">
        <v>0</v>
      </c>
      <c r="AT44" s="47">
        <v>0</v>
      </c>
      <c r="AU44" s="47">
        <v>0</v>
      </c>
      <c r="AV44" s="47">
        <v>0</v>
      </c>
      <c r="AW44" s="47">
        <v>0</v>
      </c>
      <c r="AX44" s="47">
        <v>0</v>
      </c>
      <c r="AY44" s="47">
        <v>0</v>
      </c>
      <c r="AZ44" s="47">
        <v>0</v>
      </c>
      <c r="BA44" s="47">
        <f t="shared" si="5"/>
        <v>0</v>
      </c>
      <c r="BB44" s="47">
        <f t="shared" si="6"/>
        <v>0</v>
      </c>
      <c r="BC44" s="47">
        <f t="shared" si="7"/>
        <v>0</v>
      </c>
      <c r="BD44" s="47">
        <f t="shared" si="8"/>
        <v>0</v>
      </c>
    </row>
    <row r="45" spans="2:57" ht="15">
      <c r="B45" s="101" t="str">
        <f>IF(Main_Parameters!$C$43="TX0 Enable","REMend",IF(G45="Disable","REMend","WR32"))</f>
        <v>WR32</v>
      </c>
      <c r="C45" s="102" t="s">
        <v>2037</v>
      </c>
      <c r="D45" s="515" t="s">
        <v>2121</v>
      </c>
      <c r="E45" s="91" t="str">
        <f>DEC2HEX(HEX2DEC(K45),8)</f>
        <v>00000015</v>
      </c>
      <c r="F45" s="92"/>
      <c r="G45" s="104" t="s">
        <v>721</v>
      </c>
      <c r="H45" s="597" t="s">
        <v>2039</v>
      </c>
      <c r="I45" s="598"/>
      <c r="J45" s="599"/>
      <c r="K45" s="516" t="s">
        <v>2040</v>
      </c>
      <c r="L45" s="120" t="str">
        <f>IF(HEX2DEC(K45)&lt;0,"NG",IF(HEX2DEC(K45)&gt;31,"NG","OK"))</f>
        <v>OK</v>
      </c>
      <c r="M45" s="103"/>
      <c r="N45" s="110"/>
      <c r="O45" s="110"/>
      <c r="P45" s="110"/>
      <c r="Q45" s="110"/>
      <c r="R45" s="110"/>
      <c r="S45" s="110"/>
      <c r="T45" s="110"/>
      <c r="U45" s="110"/>
      <c r="V45" s="110"/>
      <c r="W45" s="111"/>
      <c r="X45" s="131"/>
      <c r="AH45" s="131"/>
    </row>
    <row r="46" spans="2:57">
      <c r="B46" s="101" t="str">
        <f>IF(Main_Parameters!$C$43="TX0 Enable","REMend",IF(G46="Disable","REMend","WR32"))</f>
        <v>REMend</v>
      </c>
      <c r="C46" s="102" t="s">
        <v>2041</v>
      </c>
      <c r="D46" s="515" t="s">
        <v>2122</v>
      </c>
      <c r="E46" s="91" t="str">
        <f t="shared" ref="E46:E50" si="9">DEC2HEX(Y46*2^31+Z46*2^30+AA46*2^29+AB46*2^28+AC46*2^27+AD46*2^26+AE46*2^25+AF46*2^24+AG46*2^23+AH46*2^22+AI46*2^21+AJ46*2^20+AK46*2^19+AL46*2^18+AM46*2^17+AN46*2^16+AO46*2^15+AP46*2^14+AQ46*2^13+AR46*2^12+AS46*2^11+AT46*2^10+AU46*2^9+AV46*2^8+AW46*2^7+AX46*2^6+AY46*2^5+AZ46*2^4+BA46*2^3+BB46*2^2+BC46*2^1+BD46*2^0,8)</f>
        <v>00000000</v>
      </c>
      <c r="F46" s="92"/>
      <c r="G46" s="104" t="s">
        <v>780</v>
      </c>
      <c r="H46" s="103"/>
      <c r="I46" s="110"/>
      <c r="J46" s="110"/>
      <c r="K46" s="110"/>
      <c r="L46" s="110"/>
      <c r="M46" s="110"/>
      <c r="N46" s="119"/>
      <c r="O46" s="112"/>
      <c r="P46" s="111" t="s">
        <v>2043</v>
      </c>
      <c r="Q46" s="113" t="s">
        <v>2009</v>
      </c>
      <c r="R46" s="103"/>
      <c r="S46" s="111"/>
      <c r="T46" s="111" t="s">
        <v>2044</v>
      </c>
      <c r="U46" s="113" t="s">
        <v>2009</v>
      </c>
      <c r="V46" s="103"/>
      <c r="W46" s="111"/>
      <c r="X46" s="63"/>
      <c r="Y46" s="47">
        <v>0</v>
      </c>
      <c r="Z46" s="47">
        <v>0</v>
      </c>
      <c r="AA46" s="47">
        <v>0</v>
      </c>
      <c r="AB46" s="47">
        <v>0</v>
      </c>
      <c r="AC46" s="47">
        <v>0</v>
      </c>
      <c r="AD46" s="47">
        <v>0</v>
      </c>
      <c r="AE46" s="47">
        <v>0</v>
      </c>
      <c r="AF46" s="47">
        <v>0</v>
      </c>
      <c r="AG46" s="47">
        <v>0</v>
      </c>
      <c r="AH46" s="47">
        <v>0</v>
      </c>
      <c r="AI46" s="47">
        <v>0</v>
      </c>
      <c r="AJ46" s="47">
        <v>0</v>
      </c>
      <c r="AK46" s="47">
        <v>0</v>
      </c>
      <c r="AL46" s="47">
        <v>0</v>
      </c>
      <c r="AM46" s="47">
        <v>0</v>
      </c>
      <c r="AN46" s="47">
        <v>0</v>
      </c>
      <c r="AO46" s="47">
        <v>0</v>
      </c>
      <c r="AP46" s="47">
        <v>0</v>
      </c>
      <c r="AQ46" s="47">
        <v>0</v>
      </c>
      <c r="AR46" s="47">
        <v>0</v>
      </c>
      <c r="AS46" s="47">
        <v>0</v>
      </c>
      <c r="AT46" s="47">
        <v>0</v>
      </c>
      <c r="AU46" s="47">
        <v>0</v>
      </c>
      <c r="AV46" s="47">
        <v>0</v>
      </c>
      <c r="AW46" s="47">
        <v>0</v>
      </c>
      <c r="AX46" s="47">
        <v>0</v>
      </c>
      <c r="AY46" s="47">
        <v>0</v>
      </c>
      <c r="AZ46" s="47">
        <v>0</v>
      </c>
      <c r="BA46" s="47">
        <f t="shared" si="5"/>
        <v>0</v>
      </c>
      <c r="BB46" s="47">
        <v>0</v>
      </c>
      <c r="BC46" s="47">
        <f t="shared" si="7"/>
        <v>0</v>
      </c>
      <c r="BD46" s="47">
        <v>0</v>
      </c>
    </row>
    <row r="47" spans="2:57" ht="15" customHeight="1">
      <c r="B47" s="101" t="str">
        <f>IF(Main_Parameters!$C$43="TX0 Enable","REMend",IF(G47="Disable","REMend","WR32"))</f>
        <v>WR32</v>
      </c>
      <c r="C47" s="102" t="s">
        <v>2045</v>
      </c>
      <c r="D47" s="515" t="s">
        <v>2123</v>
      </c>
      <c r="E47" s="91" t="str">
        <f t="shared" si="9"/>
        <v>00000000</v>
      </c>
      <c r="F47" s="92"/>
      <c r="G47" s="104" t="s">
        <v>721</v>
      </c>
      <c r="H47" s="106" t="s">
        <v>2047</v>
      </c>
      <c r="I47" s="104" t="s">
        <v>2009</v>
      </c>
      <c r="J47" s="106" t="s">
        <v>2048</v>
      </c>
      <c r="K47" s="104" t="s">
        <v>2009</v>
      </c>
      <c r="L47" s="106" t="s">
        <v>2049</v>
      </c>
      <c r="M47" s="104" t="s">
        <v>2009</v>
      </c>
      <c r="N47" s="106" t="s">
        <v>2050</v>
      </c>
      <c r="O47" s="104" t="s">
        <v>2009</v>
      </c>
      <c r="P47" s="106" t="s">
        <v>2051</v>
      </c>
      <c r="Q47" s="104" t="s">
        <v>2009</v>
      </c>
      <c r="R47" s="106" t="s">
        <v>2052</v>
      </c>
      <c r="S47" s="104" t="s">
        <v>2009</v>
      </c>
      <c r="T47" s="106" t="s">
        <v>2053</v>
      </c>
      <c r="U47" s="127" t="s">
        <v>2009</v>
      </c>
      <c r="V47" s="139" t="s">
        <v>2054</v>
      </c>
      <c r="W47" s="127" t="s">
        <v>2009</v>
      </c>
      <c r="X47" s="131"/>
      <c r="Y47" s="47">
        <v>0</v>
      </c>
      <c r="Z47" s="47">
        <v>0</v>
      </c>
      <c r="AA47" s="47">
        <v>0</v>
      </c>
      <c r="AB47" s="47">
        <v>0</v>
      </c>
      <c r="AC47" s="47">
        <v>0</v>
      </c>
      <c r="AD47" s="47">
        <v>0</v>
      </c>
      <c r="AE47" s="47">
        <v>0</v>
      </c>
      <c r="AF47" s="47">
        <v>0</v>
      </c>
      <c r="AG47" s="47">
        <v>0</v>
      </c>
      <c r="AH47" s="47">
        <v>0</v>
      </c>
      <c r="AI47" s="47">
        <v>0</v>
      </c>
      <c r="AJ47" s="47">
        <v>0</v>
      </c>
      <c r="AK47" s="47">
        <v>0</v>
      </c>
      <c r="AL47" s="47">
        <v>0</v>
      </c>
      <c r="AM47" s="47">
        <v>0</v>
      </c>
      <c r="AN47" s="47">
        <v>0</v>
      </c>
      <c r="AO47" s="47">
        <v>0</v>
      </c>
      <c r="AP47" s="47">
        <v>0</v>
      </c>
      <c r="AQ47" s="47">
        <v>0</v>
      </c>
      <c r="AR47" s="47">
        <v>0</v>
      </c>
      <c r="AS47" s="47">
        <v>0</v>
      </c>
      <c r="AT47" s="47">
        <v>0</v>
      </c>
      <c r="AU47" s="47">
        <f>IF(I47="Mask",1,0)</f>
        <v>0</v>
      </c>
      <c r="AV47" s="47">
        <f t="shared" ref="AV47:AZ47" si="10">IF(K47="Mask",1,0)</f>
        <v>0</v>
      </c>
      <c r="AW47" s="47">
        <v>0</v>
      </c>
      <c r="AX47" s="47">
        <f t="shared" si="10"/>
        <v>0</v>
      </c>
      <c r="AY47" s="47">
        <v>0</v>
      </c>
      <c r="AZ47" s="47">
        <f t="shared" si="10"/>
        <v>0</v>
      </c>
      <c r="BA47" s="47">
        <f t="shared" si="5"/>
        <v>0</v>
      </c>
      <c r="BB47" s="47">
        <f t="shared" si="6"/>
        <v>0</v>
      </c>
      <c r="BC47" s="47">
        <f t="shared" si="7"/>
        <v>0</v>
      </c>
      <c r="BD47" s="47">
        <f t="shared" si="8"/>
        <v>0</v>
      </c>
    </row>
    <row r="48" spans="2:57">
      <c r="B48" s="101" t="str">
        <f>IF(Main_Parameters!$C$43="TX0 Enable","REMend",IF(G48="Disable","REMend","WR32"))</f>
        <v>WR32</v>
      </c>
      <c r="C48" s="102" t="s">
        <v>2055</v>
      </c>
      <c r="D48" s="515" t="s">
        <v>2124</v>
      </c>
      <c r="E48" s="91" t="str">
        <f t="shared" si="9"/>
        <v>00000080</v>
      </c>
      <c r="F48" s="92"/>
      <c r="G48" s="104" t="s">
        <v>721</v>
      </c>
      <c r="H48" s="595" t="s">
        <v>2057</v>
      </c>
      <c r="I48" s="596"/>
      <c r="J48" s="127" t="s">
        <v>2009</v>
      </c>
      <c r="K48" s="127" t="s">
        <v>2009</v>
      </c>
      <c r="L48" s="104" t="s">
        <v>2009</v>
      </c>
      <c r="M48" s="104" t="s">
        <v>2009</v>
      </c>
      <c r="N48" s="104" t="s">
        <v>2009</v>
      </c>
      <c r="O48" s="104" t="s">
        <v>2009</v>
      </c>
      <c r="P48" s="128" t="s">
        <v>2006</v>
      </c>
      <c r="Q48" s="127" t="s">
        <v>2009</v>
      </c>
      <c r="R48" s="139"/>
      <c r="S48" s="127" t="s">
        <v>2009</v>
      </c>
      <c r="T48" s="124" t="s">
        <v>2009</v>
      </c>
      <c r="U48" s="140"/>
      <c r="V48" s="119"/>
      <c r="W48" s="112"/>
      <c r="X48" s="131"/>
      <c r="Y48" s="47">
        <v>0</v>
      </c>
      <c r="Z48" s="47">
        <v>0</v>
      </c>
      <c r="AA48" s="47">
        <v>0</v>
      </c>
      <c r="AB48" s="47">
        <v>0</v>
      </c>
      <c r="AC48" s="47">
        <v>0</v>
      </c>
      <c r="AD48" s="47">
        <v>0</v>
      </c>
      <c r="AE48" s="47">
        <v>0</v>
      </c>
      <c r="AF48" s="47">
        <v>0</v>
      </c>
      <c r="AG48" s="47">
        <v>0</v>
      </c>
      <c r="AH48" s="47">
        <v>0</v>
      </c>
      <c r="AI48" s="47">
        <v>0</v>
      </c>
      <c r="AJ48" s="47">
        <v>0</v>
      </c>
      <c r="AK48" s="47">
        <v>0</v>
      </c>
      <c r="AL48" s="47">
        <v>0</v>
      </c>
      <c r="AM48" s="47">
        <v>0</v>
      </c>
      <c r="AN48" s="47">
        <v>0</v>
      </c>
      <c r="AO48" s="47">
        <v>0</v>
      </c>
      <c r="AP48" s="47">
        <v>0</v>
      </c>
      <c r="AQ48" s="47">
        <f t="shared" ref="AQ48:AX48" si="11">IF(J48="Mask",1,0)</f>
        <v>0</v>
      </c>
      <c r="AR48" s="47">
        <f t="shared" si="11"/>
        <v>0</v>
      </c>
      <c r="AS48" s="47">
        <f t="shared" si="11"/>
        <v>0</v>
      </c>
      <c r="AT48" s="47">
        <f t="shared" si="11"/>
        <v>0</v>
      </c>
      <c r="AU48" s="47">
        <f t="shared" si="11"/>
        <v>0</v>
      </c>
      <c r="AV48" s="47">
        <f t="shared" si="11"/>
        <v>0</v>
      </c>
      <c r="AW48" s="47">
        <f t="shared" si="11"/>
        <v>1</v>
      </c>
      <c r="AX48" s="47">
        <f t="shared" si="11"/>
        <v>0</v>
      </c>
      <c r="AY48" s="47">
        <v>0</v>
      </c>
      <c r="AZ48" s="47">
        <f>IF(S48="Mask",1,0)</f>
        <v>0</v>
      </c>
      <c r="BA48" s="47">
        <f>IF(T48="Mask",1,0)</f>
        <v>0</v>
      </c>
      <c r="BB48" s="47">
        <v>0</v>
      </c>
      <c r="BC48" s="47">
        <v>0</v>
      </c>
      <c r="BD48" s="47">
        <v>0</v>
      </c>
    </row>
    <row r="49" spans="2:56">
      <c r="B49" s="101" t="str">
        <f>IF(Main_Parameters!$C$43="TX0 Enable","REMend",IF(G49="Disable","REMend","WR32"))</f>
        <v>WR32</v>
      </c>
      <c r="C49" s="102" t="s">
        <v>2058</v>
      </c>
      <c r="D49" s="515" t="s">
        <v>2125</v>
      </c>
      <c r="E49" s="91" t="str">
        <f t="shared" si="9"/>
        <v>00000000</v>
      </c>
      <c r="F49" s="92"/>
      <c r="G49" s="104" t="s">
        <v>721</v>
      </c>
      <c r="H49" s="107"/>
      <c r="I49" s="119"/>
      <c r="J49" s="119"/>
      <c r="K49" s="112"/>
      <c r="L49" s="112" t="s">
        <v>2060</v>
      </c>
      <c r="M49" s="104" t="s">
        <v>2009</v>
      </c>
      <c r="N49" s="106" t="s">
        <v>2061</v>
      </c>
      <c r="O49" s="113" t="s">
        <v>2009</v>
      </c>
      <c r="P49" s="107"/>
      <c r="Q49" s="119"/>
      <c r="R49" s="119"/>
      <c r="S49" s="119"/>
      <c r="T49" s="119"/>
      <c r="U49" s="112"/>
      <c r="V49" s="106" t="s">
        <v>2062</v>
      </c>
      <c r="W49" s="104" t="s">
        <v>2009</v>
      </c>
      <c r="X49" s="131"/>
      <c r="Y49" s="47">
        <v>0</v>
      </c>
      <c r="Z49" s="47">
        <v>0</v>
      </c>
      <c r="AA49" s="47">
        <v>0</v>
      </c>
      <c r="AB49" s="47">
        <v>0</v>
      </c>
      <c r="AC49" s="47">
        <v>0</v>
      </c>
      <c r="AD49" s="47">
        <v>0</v>
      </c>
      <c r="AE49" s="47">
        <v>0</v>
      </c>
      <c r="AF49" s="47">
        <v>0</v>
      </c>
      <c r="AG49" s="47">
        <v>0</v>
      </c>
      <c r="AH49" s="47">
        <v>0</v>
      </c>
      <c r="AI49" s="47">
        <v>0</v>
      </c>
      <c r="AJ49" s="47">
        <v>0</v>
      </c>
      <c r="AK49" s="47">
        <v>0</v>
      </c>
      <c r="AL49" s="47">
        <v>0</v>
      </c>
      <c r="AM49" s="47">
        <v>0</v>
      </c>
      <c r="AN49" s="47">
        <v>0</v>
      </c>
      <c r="AO49" s="47">
        <v>0</v>
      </c>
      <c r="AP49" s="47">
        <v>0</v>
      </c>
      <c r="AQ49" s="47">
        <v>0</v>
      </c>
      <c r="AR49" s="47">
        <v>0</v>
      </c>
      <c r="AS49" s="47">
        <v>0</v>
      </c>
      <c r="AT49" s="47">
        <v>0</v>
      </c>
      <c r="AU49" s="47">
        <f>IF(M49="Mask",1,0)</f>
        <v>0</v>
      </c>
      <c r="AV49" s="47">
        <f>IF(O49="Mask",1,0)</f>
        <v>0</v>
      </c>
      <c r="AW49" s="47">
        <v>0</v>
      </c>
      <c r="AX49" s="47">
        <v>0</v>
      </c>
      <c r="AY49" s="47">
        <v>0</v>
      </c>
      <c r="AZ49" s="47">
        <v>0</v>
      </c>
      <c r="BA49" s="47">
        <v>0</v>
      </c>
      <c r="BB49" s="47">
        <v>0</v>
      </c>
      <c r="BC49" s="47">
        <v>0</v>
      </c>
      <c r="BD49" s="47">
        <f>IF(W49="Mask",1,0)</f>
        <v>0</v>
      </c>
    </row>
    <row r="50" spans="2:56">
      <c r="B50" s="101" t="str">
        <f>IF(Main_Parameters!$C$43="TX0 Enable","REMend",IF(G50="Disable","REMend","WR32"))</f>
        <v>REMend</v>
      </c>
      <c r="C50" s="94" t="s">
        <v>2063</v>
      </c>
      <c r="D50" s="513" t="s">
        <v>2126</v>
      </c>
      <c r="E50" s="91" t="str">
        <f t="shared" si="9"/>
        <v>00000000</v>
      </c>
      <c r="F50" s="97"/>
      <c r="G50" s="104" t="s">
        <v>780</v>
      </c>
      <c r="H50" s="107"/>
      <c r="I50" s="119"/>
      <c r="J50" s="119"/>
      <c r="K50" s="119"/>
      <c r="L50" s="119"/>
      <c r="M50" s="112"/>
      <c r="N50" s="129" t="s">
        <v>2065</v>
      </c>
      <c r="O50" s="104">
        <v>0</v>
      </c>
      <c r="P50" s="129" t="s">
        <v>2066</v>
      </c>
      <c r="Q50" s="104">
        <v>0</v>
      </c>
      <c r="R50" s="129" t="s">
        <v>2067</v>
      </c>
      <c r="S50" s="104">
        <v>0</v>
      </c>
      <c r="T50" s="129" t="s">
        <v>2068</v>
      </c>
      <c r="U50" s="104">
        <v>0</v>
      </c>
      <c r="V50" s="129" t="s">
        <v>2069</v>
      </c>
      <c r="W50" s="104">
        <v>0</v>
      </c>
      <c r="X50" s="131"/>
      <c r="Y50" s="47">
        <v>0</v>
      </c>
      <c r="Z50" s="47">
        <v>0</v>
      </c>
      <c r="AA50" s="47">
        <v>0</v>
      </c>
      <c r="AB50" s="47">
        <v>0</v>
      </c>
      <c r="AC50" s="47">
        <v>0</v>
      </c>
      <c r="AD50" s="47">
        <v>0</v>
      </c>
      <c r="AE50" s="47">
        <v>0</v>
      </c>
      <c r="AF50" s="47">
        <v>0</v>
      </c>
      <c r="AG50" s="47">
        <v>0</v>
      </c>
      <c r="AH50" s="47">
        <v>0</v>
      </c>
      <c r="AI50" s="47">
        <v>0</v>
      </c>
      <c r="AJ50" s="47">
        <v>0</v>
      </c>
      <c r="AK50" s="47">
        <v>0</v>
      </c>
      <c r="AL50" s="47">
        <v>0</v>
      </c>
      <c r="AM50" s="47">
        <v>0</v>
      </c>
      <c r="AN50" s="47">
        <f>O50</f>
        <v>0</v>
      </c>
      <c r="AO50" s="47">
        <v>0</v>
      </c>
      <c r="AP50" s="47">
        <v>0</v>
      </c>
      <c r="AQ50" s="47">
        <v>0</v>
      </c>
      <c r="AR50" s="47">
        <f>Q50</f>
        <v>0</v>
      </c>
      <c r="AS50" s="47">
        <v>0</v>
      </c>
      <c r="AT50" s="47">
        <v>0</v>
      </c>
      <c r="AU50" s="47">
        <v>0</v>
      </c>
      <c r="AV50" s="47">
        <f>S50</f>
        <v>0</v>
      </c>
      <c r="AW50" s="47">
        <v>0</v>
      </c>
      <c r="AX50" s="47">
        <v>0</v>
      </c>
      <c r="AY50" s="47">
        <v>0</v>
      </c>
      <c r="AZ50" s="47">
        <f>U50</f>
        <v>0</v>
      </c>
      <c r="BA50" s="47">
        <v>0</v>
      </c>
      <c r="BB50" s="47">
        <v>0</v>
      </c>
      <c r="BC50" s="47">
        <v>0</v>
      </c>
      <c r="BD50" s="47">
        <f>W50</f>
        <v>0</v>
      </c>
    </row>
    <row r="51" spans="2:56">
      <c r="B51" s="101" t="str">
        <f>IF(Main_Parameters!$C$43="TX0 Enable","REMend","WR32")</f>
        <v>WR32</v>
      </c>
      <c r="C51" s="94" t="s">
        <v>871</v>
      </c>
      <c r="D51" s="513" t="s">
        <v>986</v>
      </c>
      <c r="E51" s="91" t="str">
        <f>Main_Parameters!$C$162</f>
        <v>00000006</v>
      </c>
      <c r="F51" s="97"/>
      <c r="G51"/>
      <c r="H51"/>
      <c r="I51"/>
      <c r="J51"/>
      <c r="K51"/>
      <c r="L51"/>
      <c r="M51"/>
      <c r="N51"/>
      <c r="O51"/>
      <c r="P51"/>
      <c r="Q51"/>
      <c r="R51"/>
      <c r="S51"/>
      <c r="T51"/>
      <c r="U51"/>
      <c r="V51"/>
      <c r="W51"/>
      <c r="X51" s="131"/>
      <c r="AH51" s="131"/>
    </row>
    <row r="52" spans="2:56">
      <c r="B52" s="101" t="str">
        <f>IF(Main_Parameters!$C$43="TX0 Enable","REMend","WR32")</f>
        <v>WR32</v>
      </c>
      <c r="C52" s="94" t="s">
        <v>878</v>
      </c>
      <c r="D52" s="513" t="s">
        <v>987</v>
      </c>
      <c r="E52" s="91" t="str">
        <f>Main_Parameters!$C$163</f>
        <v>00240204</v>
      </c>
      <c r="F52" s="97"/>
      <c r="G52"/>
      <c r="H52"/>
      <c r="I52"/>
      <c r="J52"/>
      <c r="K52"/>
      <c r="L52"/>
      <c r="M52"/>
      <c r="N52"/>
      <c r="O52"/>
      <c r="P52"/>
      <c r="Q52"/>
      <c r="R52"/>
      <c r="S52"/>
      <c r="T52"/>
      <c r="U52"/>
      <c r="V52"/>
      <c r="W52"/>
      <c r="X52" s="131"/>
      <c r="AH52" s="131"/>
    </row>
    <row r="53" spans="2:56">
      <c r="B53" s="101" t="str">
        <f>IF(Main_Parameters!$C$43="TX0 Enable","REMend","WR32")</f>
        <v>WR32</v>
      </c>
      <c r="C53" s="94" t="s">
        <v>2070</v>
      </c>
      <c r="D53" s="513" t="s">
        <v>988</v>
      </c>
      <c r="E53" s="91" t="str">
        <f>Main_Parameters!$C$164</f>
        <v>000D0008</v>
      </c>
      <c r="F53" s="97"/>
      <c r="G53"/>
      <c r="H53"/>
      <c r="I53"/>
      <c r="J53"/>
      <c r="K53"/>
      <c r="L53"/>
      <c r="M53"/>
      <c r="N53"/>
      <c r="O53"/>
      <c r="P53"/>
      <c r="Q53"/>
      <c r="R53"/>
      <c r="S53"/>
      <c r="T53"/>
      <c r="U53"/>
      <c r="V53"/>
      <c r="W53"/>
      <c r="X53" s="131"/>
      <c r="AH53" s="131"/>
    </row>
    <row r="54" spans="2:56">
      <c r="B54" s="101" t="str">
        <f>IF(Main_Parameters!$C$43="TX0 Enable","REMend","WR32")</f>
        <v>WR32</v>
      </c>
      <c r="C54" s="94" t="s">
        <v>899</v>
      </c>
      <c r="D54" s="513" t="s">
        <v>989</v>
      </c>
      <c r="E54" s="91" t="str">
        <f>Main_Parameters!$C$165</f>
        <v>00140006</v>
      </c>
      <c r="F54" s="97"/>
      <c r="G54"/>
      <c r="H54"/>
      <c r="I54"/>
      <c r="J54"/>
      <c r="K54"/>
      <c r="L54"/>
      <c r="M54"/>
      <c r="N54"/>
      <c r="O54"/>
      <c r="P54"/>
      <c r="Q54"/>
      <c r="R54"/>
      <c r="S54"/>
      <c r="T54"/>
      <c r="U54"/>
      <c r="V54"/>
      <c r="W54"/>
      <c r="X54" s="131"/>
      <c r="AH54" s="131"/>
    </row>
    <row r="55" spans="2:56">
      <c r="B55" s="101" t="str">
        <f>IF(Main_Parameters!$C$43="TX0 Enable","REMend","WR32")</f>
        <v>WR32</v>
      </c>
      <c r="C55" s="94" t="s">
        <v>907</v>
      </c>
      <c r="D55" s="513" t="s">
        <v>990</v>
      </c>
      <c r="E55" s="91" t="str">
        <f>Main_Parameters!$C$166</f>
        <v>00004268</v>
      </c>
      <c r="F55" s="97"/>
      <c r="G55"/>
      <c r="H55"/>
      <c r="I55"/>
      <c r="J55"/>
      <c r="K55"/>
      <c r="L55"/>
      <c r="M55"/>
      <c r="N55"/>
      <c r="O55"/>
      <c r="P55"/>
      <c r="Q55"/>
      <c r="R55"/>
      <c r="S55"/>
      <c r="T55"/>
      <c r="U55"/>
      <c r="V55"/>
      <c r="W55"/>
      <c r="X55" s="131"/>
      <c r="AH55" s="131"/>
    </row>
    <row r="56" spans="2:56">
      <c r="B56" s="101" t="str">
        <f>IF(Main_Parameters!$C$43="TX0 Enable","REMend","WR32")</f>
        <v>WR32</v>
      </c>
      <c r="C56" s="94" t="s">
        <v>2071</v>
      </c>
      <c r="D56" s="513" t="s">
        <v>991</v>
      </c>
      <c r="E56" s="91" t="str">
        <f>Main_Parameters!$C$167</f>
        <v>0000000F</v>
      </c>
      <c r="F56" s="97"/>
      <c r="G56"/>
      <c r="H56"/>
      <c r="I56"/>
      <c r="J56"/>
      <c r="K56"/>
      <c r="L56"/>
      <c r="M56"/>
      <c r="N56"/>
      <c r="O56"/>
      <c r="P56"/>
      <c r="Q56"/>
      <c r="R56"/>
      <c r="S56"/>
      <c r="T56"/>
      <c r="U56"/>
      <c r="V56"/>
      <c r="W56"/>
      <c r="X56" s="131"/>
      <c r="AH56" s="131"/>
    </row>
    <row r="57" spans="2:56">
      <c r="B57" s="101" t="str">
        <f>IF(Main_Parameters!$C$43="TX0 Enable","REMend","WR32")</f>
        <v>WR32</v>
      </c>
      <c r="C57" s="94" t="s">
        <v>2072</v>
      </c>
      <c r="D57" s="513" t="s">
        <v>992</v>
      </c>
      <c r="E57" s="91" t="str">
        <f>Main_Parameters!$C$168</f>
        <v>000D0008</v>
      </c>
      <c r="F57" s="97"/>
      <c r="G57"/>
      <c r="H57"/>
      <c r="I57"/>
      <c r="J57"/>
      <c r="K57" s="130"/>
      <c r="L57"/>
      <c r="M57"/>
      <c r="N57"/>
      <c r="O57"/>
      <c r="P57"/>
      <c r="Q57"/>
      <c r="R57"/>
      <c r="S57"/>
      <c r="T57"/>
      <c r="U57"/>
      <c r="V57"/>
      <c r="W57"/>
      <c r="X57" s="131"/>
      <c r="AH57" s="131"/>
    </row>
    <row r="58" spans="2:56">
      <c r="B58" s="101" t="str">
        <f>IF(Main_Parameters!$C$43="TX0 Enable","REMend","WR32")</f>
        <v>WR32</v>
      </c>
      <c r="C58" s="94" t="s">
        <v>2073</v>
      </c>
      <c r="D58" s="513" t="s">
        <v>2127</v>
      </c>
      <c r="E58" s="511" t="s">
        <v>2075</v>
      </c>
      <c r="F58" s="97"/>
      <c r="G58"/>
      <c r="H58"/>
      <c r="I58"/>
      <c r="J58"/>
      <c r="K58"/>
      <c r="L58"/>
      <c r="M58"/>
      <c r="N58"/>
      <c r="O58"/>
      <c r="P58"/>
      <c r="Q58"/>
      <c r="R58"/>
      <c r="S58"/>
      <c r="T58"/>
      <c r="U58"/>
      <c r="V58"/>
      <c r="W58"/>
      <c r="X58" s="131"/>
      <c r="AH58" s="131"/>
    </row>
    <row r="59" spans="2:56">
      <c r="B59" s="101" t="str">
        <f>IF(Main_Parameters!$C$43="TX0 Enable","REMend","WR32")</f>
        <v>WR32</v>
      </c>
      <c r="C59" s="94" t="s">
        <v>2076</v>
      </c>
      <c r="D59" s="513" t="s">
        <v>993</v>
      </c>
      <c r="E59" s="91" t="str">
        <f>Main_Parameters!$C$170</f>
        <v>0000001F</v>
      </c>
      <c r="F59" s="97"/>
      <c r="G59"/>
      <c r="H59"/>
      <c r="I59"/>
      <c r="J59"/>
      <c r="K59"/>
      <c r="L59"/>
      <c r="M59"/>
      <c r="N59"/>
      <c r="O59"/>
      <c r="P59"/>
      <c r="Q59"/>
      <c r="R59"/>
      <c r="S59"/>
      <c r="T59"/>
      <c r="U59"/>
      <c r="V59"/>
      <c r="W59"/>
      <c r="X59" s="131"/>
      <c r="AH59" s="131"/>
    </row>
    <row r="60" spans="2:56">
      <c r="B60" s="101" t="str">
        <f>IF(Main_Parameters!$C$43="TX0 Enable","REMend","WR32")</f>
        <v>WR32</v>
      </c>
      <c r="C60" s="94" t="s">
        <v>925</v>
      </c>
      <c r="D60" s="513" t="s">
        <v>994</v>
      </c>
      <c r="E60" s="91" t="str">
        <f>Main_Parameters!$C$171</f>
        <v>00060005</v>
      </c>
      <c r="F60" s="97"/>
      <c r="G60"/>
      <c r="H60"/>
      <c r="I60"/>
      <c r="J60"/>
      <c r="K60"/>
      <c r="L60"/>
      <c r="M60"/>
      <c r="N60"/>
      <c r="O60"/>
      <c r="P60"/>
      <c r="Q60"/>
      <c r="R60"/>
      <c r="S60"/>
      <c r="T60"/>
      <c r="U60"/>
      <c r="V60"/>
      <c r="W60"/>
      <c r="X60" s="131"/>
      <c r="AH60" s="131"/>
    </row>
    <row r="61" spans="2:56">
      <c r="B61" s="101" t="str">
        <f>IF(Main_Parameters!$C$43="TX0 Enable","REMend",IF(G61="Disable","REMend","WR32"))</f>
        <v>WR32</v>
      </c>
      <c r="C61" s="94" t="s">
        <v>2077</v>
      </c>
      <c r="D61" s="513" t="s">
        <v>2128</v>
      </c>
      <c r="E61" s="91" t="str">
        <f t="shared" ref="E61:E66" si="12">DEC2HEX(Y61*2^31+Z61*2^30+AA61*2^29+AB61*2^28+AC61*2^27+AD61*2^26+AE61*2^25+AF61*2^24+AG61*2^23+AH61*2^22+AI61*2^21+AJ61*2^20+AK61*2^19+AL61*2^18+AM61*2^17+AN61*2^16+AO61*2^15+AP61*2^14+AQ61*2^13+AR61*2^12+AS61*2^11+AT61*2^10+AU61*2^9+AV61*2^8+AW61*2^7+AX61*2^6+AY61*2^5+AZ61*2^4+BA61*2^3+BB61*2^2+BC61*2^1+BD61*2^0,8)</f>
        <v>00000002</v>
      </c>
      <c r="F61" s="97"/>
      <c r="G61" s="104" t="s">
        <v>721</v>
      </c>
      <c r="H61" s="107"/>
      <c r="I61" s="119"/>
      <c r="J61" s="119"/>
      <c r="K61" s="119"/>
      <c r="L61" s="119"/>
      <c r="M61" s="112"/>
      <c r="N61" s="112" t="s">
        <v>2079</v>
      </c>
      <c r="O61" s="104" t="s">
        <v>2080</v>
      </c>
      <c r="P61" s="106" t="s">
        <v>2081</v>
      </c>
      <c r="Q61" s="104" t="s">
        <v>2080</v>
      </c>
      <c r="R61" s="106" t="s">
        <v>2082</v>
      </c>
      <c r="S61" s="104" t="s">
        <v>2080</v>
      </c>
      <c r="T61" s="106" t="s">
        <v>2083</v>
      </c>
      <c r="U61" s="104" t="s">
        <v>2080</v>
      </c>
      <c r="V61" s="106" t="s">
        <v>2084</v>
      </c>
      <c r="W61" s="104" t="s">
        <v>2085</v>
      </c>
      <c r="X61" s="131"/>
      <c r="Y61" s="47">
        <v>0</v>
      </c>
      <c r="Z61" s="47">
        <v>0</v>
      </c>
      <c r="AA61" s="47">
        <v>0</v>
      </c>
      <c r="AB61" s="47">
        <v>0</v>
      </c>
      <c r="AC61" s="47">
        <v>0</v>
      </c>
      <c r="AD61" s="47">
        <v>0</v>
      </c>
      <c r="AE61" s="47">
        <v>0</v>
      </c>
      <c r="AF61" s="47">
        <v>0</v>
      </c>
      <c r="AG61" s="47">
        <v>0</v>
      </c>
      <c r="AH61" s="47">
        <v>0</v>
      </c>
      <c r="AI61" s="47">
        <v>0</v>
      </c>
      <c r="AJ61" s="47">
        <v>0</v>
      </c>
      <c r="AK61" s="47">
        <v>0</v>
      </c>
      <c r="AL61" s="47">
        <v>0</v>
      </c>
      <c r="AM61" s="47">
        <v>0</v>
      </c>
      <c r="AN61" s="47">
        <v>0</v>
      </c>
      <c r="AO61" s="47">
        <v>0</v>
      </c>
      <c r="AP61" s="47">
        <v>0</v>
      </c>
      <c r="AQ61" s="47">
        <v>0</v>
      </c>
      <c r="AR61" s="47">
        <v>0</v>
      </c>
      <c r="AS61" s="47">
        <v>0</v>
      </c>
      <c r="AT61" s="47">
        <v>0</v>
      </c>
      <c r="AU61" s="47">
        <v>0</v>
      </c>
      <c r="AV61" s="47">
        <f t="shared" ref="AV61:AZ61" si="13">IF(O61="No Add",0,IF(O61="25% Add",2,3))</f>
        <v>0</v>
      </c>
      <c r="AW61" s="47">
        <v>0</v>
      </c>
      <c r="AX61" s="47">
        <f t="shared" si="13"/>
        <v>0</v>
      </c>
      <c r="AY61" s="47">
        <v>0</v>
      </c>
      <c r="AZ61" s="47">
        <f t="shared" si="13"/>
        <v>0</v>
      </c>
      <c r="BA61" s="47">
        <v>0</v>
      </c>
      <c r="BB61" s="47">
        <f>IF(U61="No Add",0,IF(U61="25% Add",2,3))</f>
        <v>0</v>
      </c>
      <c r="BC61" s="47">
        <v>0</v>
      </c>
      <c r="BD61" s="47">
        <f>IF(W61="No Add",0,IF(W61="25% Add",2,3))</f>
        <v>2</v>
      </c>
    </row>
    <row r="62" spans="2:56">
      <c r="B62" s="101" t="str">
        <f>IF(Main_Parameters!$C$43="TX0 Enable","REMend",IF(G62="Disable","REMend","WR32"))</f>
        <v>REMend</v>
      </c>
      <c r="C62" s="94" t="s">
        <v>2086</v>
      </c>
      <c r="D62" s="513" t="s">
        <v>2129</v>
      </c>
      <c r="E62" s="91" t="str">
        <f t="shared" si="12"/>
        <v>00000000</v>
      </c>
      <c r="F62" s="97"/>
      <c r="G62" s="104" t="s">
        <v>780</v>
      </c>
      <c r="H62" s="107"/>
      <c r="I62" s="119"/>
      <c r="J62" s="119"/>
      <c r="K62" s="119"/>
      <c r="L62" s="119"/>
      <c r="M62" s="112"/>
      <c r="N62" s="106" t="s">
        <v>2088</v>
      </c>
      <c r="O62" s="104">
        <v>0</v>
      </c>
      <c r="P62" s="106" t="s">
        <v>2089</v>
      </c>
      <c r="Q62" s="104">
        <v>0</v>
      </c>
      <c r="R62" s="106" t="s">
        <v>2090</v>
      </c>
      <c r="S62" s="104">
        <v>0</v>
      </c>
      <c r="T62" s="106" t="s">
        <v>2091</v>
      </c>
      <c r="U62" s="104">
        <v>0</v>
      </c>
      <c r="V62" s="106" t="s">
        <v>2092</v>
      </c>
      <c r="W62" s="104">
        <v>0</v>
      </c>
      <c r="X62" s="131"/>
      <c r="Y62" s="47">
        <v>0</v>
      </c>
      <c r="Z62" s="47">
        <v>0</v>
      </c>
      <c r="AA62" s="47">
        <v>0</v>
      </c>
      <c r="AB62" s="47">
        <v>0</v>
      </c>
      <c r="AC62" s="47">
        <v>0</v>
      </c>
      <c r="AD62" s="47">
        <v>0</v>
      </c>
      <c r="AE62" s="47">
        <v>0</v>
      </c>
      <c r="AF62" s="47">
        <v>0</v>
      </c>
      <c r="AG62" s="47">
        <v>0</v>
      </c>
      <c r="AH62" s="47">
        <v>0</v>
      </c>
      <c r="AI62" s="47">
        <v>0</v>
      </c>
      <c r="AJ62" s="47">
        <v>0</v>
      </c>
      <c r="AK62" s="47">
        <v>0</v>
      </c>
      <c r="AL62" s="47">
        <v>0</v>
      </c>
      <c r="AM62" s="47">
        <v>0</v>
      </c>
      <c r="AN62" s="47">
        <v>0</v>
      </c>
      <c r="AO62" s="47">
        <v>0</v>
      </c>
      <c r="AP62" s="47">
        <v>0</v>
      </c>
      <c r="AQ62" s="47">
        <v>0</v>
      </c>
      <c r="AR62" s="47">
        <v>0</v>
      </c>
      <c r="AS62" s="47">
        <v>0</v>
      </c>
      <c r="AT62" s="47">
        <v>0</v>
      </c>
      <c r="AU62" s="47">
        <v>0</v>
      </c>
      <c r="AV62" s="47">
        <f t="shared" ref="AV62:AZ62" si="14">O62</f>
        <v>0</v>
      </c>
      <c r="AW62" s="47">
        <v>0</v>
      </c>
      <c r="AX62" s="47">
        <f t="shared" si="14"/>
        <v>0</v>
      </c>
      <c r="AY62" s="47">
        <v>0</v>
      </c>
      <c r="AZ62" s="47">
        <f t="shared" si="14"/>
        <v>0</v>
      </c>
      <c r="BA62" s="47">
        <v>0</v>
      </c>
      <c r="BB62" s="47">
        <f>U62</f>
        <v>0</v>
      </c>
      <c r="BC62" s="47">
        <v>0</v>
      </c>
      <c r="BD62" s="47">
        <f>W62</f>
        <v>0</v>
      </c>
    </row>
    <row r="63" spans="2:56">
      <c r="B63" s="101" t="str">
        <f>IF(Main_Parameters!$C$43="TX0 Enable","REMend","WR32")</f>
        <v>WR32</v>
      </c>
      <c r="C63" s="89" t="s">
        <v>2093</v>
      </c>
      <c r="D63" s="513" t="s">
        <v>2130</v>
      </c>
      <c r="E63" s="511" t="s">
        <v>1921</v>
      </c>
      <c r="F63" s="97"/>
      <c r="G63"/>
      <c r="H63"/>
      <c r="I63"/>
      <c r="J63"/>
      <c r="K63"/>
      <c r="L63"/>
      <c r="M63"/>
      <c r="N63"/>
      <c r="O63"/>
      <c r="P63"/>
      <c r="Q63"/>
      <c r="R63"/>
      <c r="S63"/>
      <c r="T63"/>
      <c r="U63"/>
      <c r="V63"/>
      <c r="W63"/>
    </row>
    <row r="64" spans="2:56">
      <c r="B64" s="84" t="s">
        <v>1032</v>
      </c>
      <c r="C64" s="99" t="s">
        <v>1918</v>
      </c>
      <c r="D64" s="84"/>
      <c r="E64" s="100"/>
      <c r="F64" s="87"/>
      <c r="G64"/>
      <c r="H64"/>
      <c r="I64"/>
      <c r="J64"/>
      <c r="K64"/>
      <c r="L64"/>
      <c r="M64"/>
      <c r="N64"/>
      <c r="O64"/>
      <c r="P64"/>
      <c r="Q64"/>
      <c r="R64"/>
      <c r="S64"/>
      <c r="T64"/>
      <c r="U64"/>
      <c r="V64"/>
      <c r="W64"/>
      <c r="X64" s="131"/>
      <c r="AH64" s="131"/>
    </row>
    <row r="65" spans="2:57">
      <c r="B65" s="101" t="str">
        <f>IF(Main_Parameters!$C$43="TX1 Enable","REMend","WR32")</f>
        <v>WR32</v>
      </c>
      <c r="C65" s="102" t="s">
        <v>1919</v>
      </c>
      <c r="D65" s="515" t="s">
        <v>1920</v>
      </c>
      <c r="E65" s="511" t="s">
        <v>1921</v>
      </c>
      <c r="F65" s="92"/>
      <c r="G65"/>
      <c r="H65"/>
      <c r="I65"/>
      <c r="J65"/>
      <c r="K65"/>
      <c r="L65"/>
      <c r="M65"/>
      <c r="N65"/>
      <c r="O65"/>
      <c r="P65"/>
      <c r="Q65"/>
      <c r="R65"/>
      <c r="S65"/>
      <c r="T65"/>
      <c r="U65"/>
      <c r="V65"/>
      <c r="W65"/>
      <c r="X65" s="131"/>
      <c r="Y65" s="64">
        <v>31</v>
      </c>
      <c r="Z65" s="64">
        <v>30</v>
      </c>
      <c r="AA65" s="64">
        <v>29</v>
      </c>
      <c r="AB65" s="64">
        <v>28</v>
      </c>
      <c r="AC65" s="64">
        <v>27</v>
      </c>
      <c r="AD65" s="64">
        <v>26</v>
      </c>
      <c r="AE65" s="64">
        <v>25</v>
      </c>
      <c r="AF65" s="64">
        <v>24</v>
      </c>
      <c r="AG65" s="64">
        <v>23</v>
      </c>
      <c r="AH65" s="131">
        <v>22</v>
      </c>
      <c r="AI65" s="64">
        <v>21</v>
      </c>
      <c r="AJ65" s="64">
        <v>20</v>
      </c>
      <c r="AK65" s="64">
        <v>19</v>
      </c>
      <c r="AL65" s="64">
        <v>18</v>
      </c>
      <c r="AM65" s="64">
        <v>17</v>
      </c>
      <c r="AN65" s="64">
        <v>16</v>
      </c>
      <c r="AO65" s="64">
        <v>15</v>
      </c>
      <c r="AP65" s="64">
        <v>14</v>
      </c>
      <c r="AQ65" s="64">
        <v>13</v>
      </c>
      <c r="AR65" s="64">
        <v>12</v>
      </c>
      <c r="AS65" s="64">
        <v>11</v>
      </c>
      <c r="AT65" s="64">
        <v>10</v>
      </c>
      <c r="AU65" s="64">
        <v>9</v>
      </c>
      <c r="AV65" s="64">
        <v>8</v>
      </c>
      <c r="AW65" s="64">
        <v>7</v>
      </c>
      <c r="AX65" s="64">
        <v>6</v>
      </c>
      <c r="AY65" s="64">
        <v>5</v>
      </c>
      <c r="AZ65" s="64">
        <v>4</v>
      </c>
      <c r="BA65" s="64">
        <v>3</v>
      </c>
      <c r="BB65" s="64">
        <v>2</v>
      </c>
      <c r="BC65" s="64">
        <v>1</v>
      </c>
      <c r="BD65" s="64">
        <v>0</v>
      </c>
    </row>
    <row r="66" spans="2:57">
      <c r="B66" s="101" t="str">
        <f>IF(Main_Parameters!$C$43="TX1 Enable","REMend","WR32")</f>
        <v>WR32</v>
      </c>
      <c r="C66" s="102" t="s">
        <v>1922</v>
      </c>
      <c r="D66" s="515" t="s">
        <v>1923</v>
      </c>
      <c r="E66" s="91" t="str">
        <f t="shared" si="12"/>
        <v>00000001</v>
      </c>
      <c r="F66" s="92"/>
      <c r="G66" s="20"/>
      <c r="H66" s="103"/>
      <c r="I66" s="110"/>
      <c r="J66" s="110"/>
      <c r="K66" s="111"/>
      <c r="L66" s="106" t="s">
        <v>1924</v>
      </c>
      <c r="M66" s="104" t="s">
        <v>1925</v>
      </c>
      <c r="N66" s="106" t="s">
        <v>1926</v>
      </c>
      <c r="O66" s="104" t="s">
        <v>1925</v>
      </c>
      <c r="P66" s="153"/>
      <c r="Q66" s="114"/>
      <c r="R66" s="114"/>
      <c r="S66" s="114"/>
      <c r="T66" s="114"/>
      <c r="U66" s="132"/>
      <c r="V66" s="106" t="s">
        <v>1927</v>
      </c>
      <c r="W66" s="104" t="s">
        <v>721</v>
      </c>
      <c r="X66" s="63"/>
      <c r="Y66" s="47">
        <v>0</v>
      </c>
      <c r="Z66" s="47">
        <v>0</v>
      </c>
      <c r="AA66" s="47">
        <v>0</v>
      </c>
      <c r="AB66" s="47">
        <v>0</v>
      </c>
      <c r="AC66" s="47">
        <v>0</v>
      </c>
      <c r="AD66" s="47">
        <v>0</v>
      </c>
      <c r="AE66" s="47">
        <v>0</v>
      </c>
      <c r="AF66" s="47">
        <v>0</v>
      </c>
      <c r="AG66" s="47">
        <v>0</v>
      </c>
      <c r="AH66" s="63">
        <v>0</v>
      </c>
      <c r="AI66" s="47">
        <v>0</v>
      </c>
      <c r="AJ66" s="47">
        <v>0</v>
      </c>
      <c r="AK66" s="47">
        <v>0</v>
      </c>
      <c r="AL66" s="47">
        <v>0</v>
      </c>
      <c r="AM66" s="47">
        <v>0</v>
      </c>
      <c r="AN66" s="47">
        <v>0</v>
      </c>
      <c r="AO66" s="47">
        <v>0</v>
      </c>
      <c r="AP66" s="47">
        <v>0</v>
      </c>
      <c r="AQ66" s="47">
        <v>0</v>
      </c>
      <c r="AR66" s="47">
        <v>0</v>
      </c>
      <c r="AS66" s="47">
        <v>0</v>
      </c>
      <c r="AT66" s="47">
        <f>IF(M66="HSCK/8",0,IF(M66="HSCK/4",1,2))</f>
        <v>0</v>
      </c>
      <c r="AU66" s="47">
        <v>0</v>
      </c>
      <c r="AV66" s="47">
        <f>IF(O66="HSCK/8",0,IF(O66="HSCK/4",1,2))</f>
        <v>0</v>
      </c>
      <c r="AW66" s="47">
        <v>0</v>
      </c>
      <c r="AX66" s="47">
        <v>0</v>
      </c>
      <c r="AY66" s="47">
        <v>0</v>
      </c>
      <c r="AZ66" s="47">
        <v>0</v>
      </c>
      <c r="BA66" s="47">
        <v>0</v>
      </c>
      <c r="BB66" s="47">
        <v>0</v>
      </c>
      <c r="BC66" s="47">
        <v>0</v>
      </c>
      <c r="BD66" s="47">
        <f>IF(W66="Enable",1,0)</f>
        <v>1</v>
      </c>
    </row>
    <row r="67" spans="2:57">
      <c r="B67" s="101" t="str">
        <f>IF(Main_Parameters!$C$43="TX1 Enable","REMend","WR32")</f>
        <v>WR32</v>
      </c>
      <c r="C67" s="89" t="s">
        <v>1928</v>
      </c>
      <c r="D67" s="513" t="s">
        <v>1929</v>
      </c>
      <c r="E67" s="511" t="s">
        <v>1921</v>
      </c>
      <c r="F67" s="97"/>
      <c r="G67"/>
      <c r="H67"/>
      <c r="I67"/>
      <c r="J67"/>
      <c r="K67"/>
      <c r="L67"/>
      <c r="M67"/>
      <c r="N67"/>
      <c r="O67"/>
      <c r="P67"/>
      <c r="Q67"/>
      <c r="R67"/>
      <c r="S67"/>
      <c r="T67"/>
      <c r="U67"/>
      <c r="V67"/>
      <c r="W67"/>
    </row>
    <row r="68" spans="2:57">
      <c r="B68" s="101" t="str">
        <f>IF(Main_Parameters!$C$43="TX1 Enable","REMend","WR32")</f>
        <v>WR32</v>
      </c>
      <c r="C68" s="102" t="s">
        <v>1930</v>
      </c>
      <c r="D68" s="515" t="s">
        <v>957</v>
      </c>
      <c r="E68" s="91" t="str">
        <f>Main_Parameters!$C$124</f>
        <v>000090CF</v>
      </c>
      <c r="F68" s="92" t="s">
        <v>1931</v>
      </c>
      <c r="G68"/>
      <c r="H68"/>
      <c r="I68"/>
      <c r="J68"/>
      <c r="K68"/>
      <c r="L68"/>
      <c r="M68"/>
      <c r="N68"/>
      <c r="O68"/>
      <c r="P68"/>
      <c r="Q68"/>
      <c r="R68"/>
      <c r="S68"/>
      <c r="T68"/>
      <c r="U68"/>
      <c r="V68"/>
      <c r="W68"/>
      <c r="X68" s="131"/>
      <c r="AH68" s="131"/>
    </row>
    <row r="69" spans="2:57">
      <c r="B69" s="101" t="str">
        <f>IF(Main_Parameters!$C$43="TX1 Enable","REMend","delay")</f>
        <v>delay</v>
      </c>
      <c r="C69" s="102"/>
      <c r="D69" s="96">
        <v>1000</v>
      </c>
      <c r="E69" s="96"/>
      <c r="F69" s="92"/>
      <c r="G69"/>
      <c r="H69"/>
      <c r="I69"/>
      <c r="J69"/>
      <c r="K69"/>
      <c r="L69"/>
      <c r="M69"/>
      <c r="N69"/>
      <c r="O69"/>
      <c r="P69"/>
      <c r="Q69"/>
      <c r="R69"/>
      <c r="S69"/>
      <c r="T69"/>
      <c r="U69"/>
      <c r="V69"/>
      <c r="W69"/>
      <c r="X69" s="131"/>
      <c r="AH69" s="131"/>
    </row>
    <row r="70" spans="2:57">
      <c r="B70" s="101" t="str">
        <f>IF(Main_Parameters!$C$43="TX1 Enable","REMend","WR32")</f>
        <v>WR32</v>
      </c>
      <c r="C70" s="89" t="s">
        <v>1928</v>
      </c>
      <c r="D70" s="513" t="s">
        <v>1929</v>
      </c>
      <c r="E70" s="511" t="s">
        <v>1932</v>
      </c>
      <c r="F70" s="97"/>
      <c r="G70"/>
      <c r="H70"/>
      <c r="I70"/>
      <c r="J70"/>
      <c r="K70"/>
      <c r="L70"/>
      <c r="M70"/>
      <c r="N70"/>
      <c r="O70"/>
      <c r="P70"/>
      <c r="Q70"/>
      <c r="R70"/>
      <c r="S70"/>
      <c r="T70"/>
      <c r="U70"/>
      <c r="V70"/>
      <c r="W70"/>
    </row>
    <row r="71" spans="2:57">
      <c r="B71" s="101" t="str">
        <f>IF(Main_Parameters!$C$43="TX1 Enable","REMend","WR32")</f>
        <v>WR32</v>
      </c>
      <c r="C71" s="102" t="s">
        <v>1933</v>
      </c>
      <c r="D71" s="515" t="s">
        <v>959</v>
      </c>
      <c r="E71" s="91" t="str">
        <f>Main_Parameters!$C$127</f>
        <v>00000014</v>
      </c>
      <c r="F71" s="92"/>
      <c r="G71"/>
      <c r="H71"/>
      <c r="I71"/>
      <c r="J71"/>
      <c r="K71"/>
      <c r="L71"/>
      <c r="M71"/>
      <c r="N71"/>
      <c r="O71"/>
      <c r="P71"/>
      <c r="Q71"/>
      <c r="R71"/>
      <c r="S71"/>
      <c r="T71"/>
      <c r="U71"/>
      <c r="V71"/>
      <c r="W71"/>
      <c r="X71" s="131"/>
      <c r="AH71" s="131"/>
    </row>
    <row r="72" spans="2:57">
      <c r="B72" s="101" t="str">
        <f>IF(Main_Parameters!$C$43="TX1 Enable","REMend","WR32")</f>
        <v>WR32</v>
      </c>
      <c r="C72" s="102" t="s">
        <v>1934</v>
      </c>
      <c r="D72" s="515" t="s">
        <v>960</v>
      </c>
      <c r="E72" s="91" t="str">
        <f>Main_Parameters!$C$128</f>
        <v>00001770</v>
      </c>
      <c r="F72" s="92"/>
      <c r="G72"/>
      <c r="H72"/>
      <c r="I72"/>
      <c r="J72"/>
      <c r="K72"/>
      <c r="L72"/>
      <c r="M72"/>
      <c r="N72"/>
      <c r="O72"/>
      <c r="P72"/>
      <c r="Q72"/>
      <c r="R72"/>
      <c r="S72"/>
      <c r="T72"/>
      <c r="U72"/>
      <c r="V72"/>
      <c r="W72"/>
      <c r="X72" s="131"/>
      <c r="AH72" s="131"/>
    </row>
    <row r="73" spans="2:57" ht="15">
      <c r="B73" s="101" t="str">
        <f>IF(Main_Parameters!$C$43="TX1 Enable","REMend","WR32")</f>
        <v>WR32</v>
      </c>
      <c r="C73" s="102" t="s">
        <v>1935</v>
      </c>
      <c r="D73" s="515" t="s">
        <v>1936</v>
      </c>
      <c r="E73" s="91" t="str">
        <f>DEC2HEX(HEX2DEC(K73),8)</f>
        <v>00000000</v>
      </c>
      <c r="F73" s="92"/>
      <c r="G73"/>
      <c r="H73" s="597" t="s">
        <v>1937</v>
      </c>
      <c r="I73" s="598"/>
      <c r="J73" s="599"/>
      <c r="K73" s="116">
        <v>0</v>
      </c>
      <c r="L73" s="117" t="str">
        <f>IF(HEX2DEC(K73)&lt;0,"NG",IF(HEX2DEC(K73)&gt;4294967295,"NG","OK"))</f>
        <v>OK</v>
      </c>
      <c r="M73" s="103"/>
      <c r="N73" s="110"/>
      <c r="O73" s="110"/>
      <c r="P73" s="110"/>
      <c r="Q73" s="110"/>
      <c r="R73" s="110"/>
      <c r="S73" s="110"/>
      <c r="T73" s="110"/>
      <c r="U73" s="110"/>
      <c r="V73" s="110"/>
      <c r="W73" s="111"/>
      <c r="X73" s="131"/>
      <c r="AH73" s="131"/>
    </row>
    <row r="74" spans="2:57">
      <c r="B74" s="101" t="str">
        <f>IF(Main_Parameters!$C$43="TX1 Enable","REMend","WR32")</f>
        <v>WR32</v>
      </c>
      <c r="C74" s="102" t="s">
        <v>1938</v>
      </c>
      <c r="D74" s="515" t="s">
        <v>1939</v>
      </c>
      <c r="E74" s="91" t="str">
        <f>DEC2HEX(Y74*2^31+Z74*2^30+AA74*2^29+AB74*2^28+AC74*2^27+AD74*2^26+AE74*2^25+AF74*2^24+AG74*2^23+AH74*2^22+AI74*2^21+AJ74*2^20+AK74*2^19+AL74*2^18+AM74*2^17+AN74*2^16+AO74*2^15+AP74*2^14+AQ74*2^13+AR74*2^12+AS74*2^11+AT74*2^10+AU74*2^9+AV74*2^8+AW74*2^7+AX74*2^6+AY74*2^5+AZ74*2^4+BA74*2^3+BB74*2^2+BC74*2^1+BD74*2^0,8)</f>
        <v>00000101</v>
      </c>
      <c r="F74" s="92"/>
      <c r="G74"/>
      <c r="H74" s="103"/>
      <c r="I74" s="110"/>
      <c r="J74" s="110"/>
      <c r="K74" s="110"/>
      <c r="L74" s="118" t="s">
        <v>1940</v>
      </c>
      <c r="M74" s="118" t="s">
        <v>1941</v>
      </c>
      <c r="N74" s="118" t="s">
        <v>1942</v>
      </c>
      <c r="O74" s="118" t="s">
        <v>1943</v>
      </c>
      <c r="P74" s="118" t="s">
        <v>1944</v>
      </c>
      <c r="Q74" s="118" t="s">
        <v>1945</v>
      </c>
      <c r="R74" s="118" t="s">
        <v>1946</v>
      </c>
      <c r="S74" s="118" t="s">
        <v>1947</v>
      </c>
      <c r="T74" s="118" t="s">
        <v>1948</v>
      </c>
      <c r="U74" s="118" t="s">
        <v>1949</v>
      </c>
      <c r="V74" s="133" t="s">
        <v>1950</v>
      </c>
      <c r="W74" s="104" t="s">
        <v>1951</v>
      </c>
      <c r="X74" s="131"/>
      <c r="Y74" s="64">
        <v>0</v>
      </c>
      <c r="Z74" s="64">
        <v>0</v>
      </c>
      <c r="AA74" s="64">
        <v>0</v>
      </c>
      <c r="AB74" s="64">
        <v>0</v>
      </c>
      <c r="AC74" s="64">
        <v>0</v>
      </c>
      <c r="AD74" s="64">
        <v>0</v>
      </c>
      <c r="AE74" s="64">
        <v>0</v>
      </c>
      <c r="AF74" s="64">
        <v>0</v>
      </c>
      <c r="AG74" s="64">
        <v>0</v>
      </c>
      <c r="AH74" s="131">
        <f>IF(L74="INIT Int Enb",1,0)</f>
        <v>0</v>
      </c>
      <c r="AI74" s="131">
        <f>IF(M74="ApErr Int Enb",1,0)</f>
        <v>0</v>
      </c>
      <c r="AJ74" s="131">
        <f>IF(N74="DSIPrto Int Enb",1,0)</f>
        <v>0</v>
      </c>
      <c r="AK74" s="131">
        <f>IF(O74="DSIrErr Int Enb",1,0)</f>
        <v>0</v>
      </c>
      <c r="AL74" s="131">
        <f>IF(P74="DSILPTX Int Enb",1,0)</f>
        <v>0</v>
      </c>
      <c r="AM74" s="131">
        <f>IF(Q74="DSIrTrg Int Enb",1,0)</f>
        <v>0</v>
      </c>
      <c r="AN74" s="131">
        <f>IF(R74="DSIrStat Int Enb",1,0)</f>
        <v>0</v>
      </c>
      <c r="AO74" s="64">
        <v>0</v>
      </c>
      <c r="AP74" s="131">
        <f>IF(S74="PRESP_TO Enb",1,0)</f>
        <v>0</v>
      </c>
      <c r="AQ74" s="131">
        <v>0</v>
      </c>
      <c r="AR74" s="131">
        <v>0</v>
      </c>
      <c r="AS74" s="131">
        <v>0</v>
      </c>
      <c r="AT74" s="131">
        <f>IF(T74="HSTX_TO Enb",1,0)</f>
        <v>0</v>
      </c>
      <c r="AU74" s="131">
        <f>IF(U74="IND_TO Enb",1,0)</f>
        <v>0</v>
      </c>
      <c r="AV74" s="131">
        <f>IF(V74="INDMdSel Reg",1,0)</f>
        <v>1</v>
      </c>
      <c r="AW74" s="64">
        <v>0</v>
      </c>
      <c r="AX74" s="64">
        <v>0</v>
      </c>
      <c r="AY74" s="64">
        <v>0</v>
      </c>
      <c r="AZ74" s="64">
        <v>0</v>
      </c>
      <c r="BA74" s="64">
        <v>0</v>
      </c>
      <c r="BB74" s="64">
        <v>0</v>
      </c>
      <c r="BC74" s="64">
        <v>0</v>
      </c>
      <c r="BD74" s="131">
        <f>IF(W74="VHDELAY Reg",1,0)</f>
        <v>1</v>
      </c>
    </row>
    <row r="75" spans="2:57" ht="15">
      <c r="B75" s="101" t="str">
        <f>IF(Main_Parameters!$C$43="TX1 Enable","REMend",IF(G75="Disable","REMend","WR32"))</f>
        <v>REMend</v>
      </c>
      <c r="C75" s="102" t="s">
        <v>1952</v>
      </c>
      <c r="D75" s="515" t="s">
        <v>1953</v>
      </c>
      <c r="E75" s="91" t="str">
        <f>DEC2HEX(Y75*2^31+Z75*2^30+AA75*2^29+AB75*2^28+AC75*2^27+AD75*2^26+AE75*2^25+AF75*2^24+AG75*2^23+AH75*2^22+AI75*2^21+AJ75*2^20+AK75*2^19+AL75*2^18+AM75*2^17+AN75*2^16+AO75*2^15+AP75*2^14+AQ75*2^13+AR75*2^12+AS75*2^11+AT75*2^10+AU75*2^9+AV75*2^8+AW75*2^7+AX75*2^6+AY75*2^5+AZ75*2^4+BA75*2^3+BB75*2^2+BC75*2^1+BD75*2^0,8)</f>
        <v>00000000</v>
      </c>
      <c r="F75" s="92"/>
      <c r="G75" s="104" t="s">
        <v>780</v>
      </c>
      <c r="H75" s="103"/>
      <c r="I75" s="110"/>
      <c r="J75" s="110"/>
      <c r="K75" s="110"/>
      <c r="L75" s="110"/>
      <c r="M75" s="110"/>
      <c r="N75" s="119"/>
      <c r="O75" s="119"/>
      <c r="P75" s="119"/>
      <c r="Q75" s="115" t="s">
        <v>1954</v>
      </c>
      <c r="R75" s="120" t="str">
        <f>IF(S75&gt;8191,"NG",IF(S75&lt;0,"NG","OK"))</f>
        <v>OK</v>
      </c>
      <c r="S75" s="134">
        <v>0</v>
      </c>
      <c r="T75" s="112" t="s">
        <v>1955</v>
      </c>
      <c r="U75" s="118" t="s">
        <v>1302</v>
      </c>
      <c r="V75" s="112" t="s">
        <v>1956</v>
      </c>
      <c r="W75" s="104" t="s">
        <v>1957</v>
      </c>
      <c r="X75" s="131"/>
      <c r="Y75" s="64">
        <v>0</v>
      </c>
      <c r="Z75" s="64">
        <v>0</v>
      </c>
      <c r="AA75" s="64">
        <v>0</v>
      </c>
      <c r="AB75" s="64">
        <v>0</v>
      </c>
      <c r="AC75" s="64">
        <v>0</v>
      </c>
      <c r="AD75" s="64">
        <v>0</v>
      </c>
      <c r="AE75" s="64">
        <v>0</v>
      </c>
      <c r="AF75" s="64">
        <v>0</v>
      </c>
      <c r="AG75" s="64">
        <v>0</v>
      </c>
      <c r="AH75" s="64">
        <v>0</v>
      </c>
      <c r="AI75" s="64">
        <v>0</v>
      </c>
      <c r="AJ75" s="64">
        <v>0</v>
      </c>
      <c r="AK75" s="64">
        <v>0</v>
      </c>
      <c r="AL75" s="64">
        <v>0</v>
      </c>
      <c r="AM75" s="64">
        <v>0</v>
      </c>
      <c r="AN75" s="64">
        <v>0</v>
      </c>
      <c r="AO75" s="64">
        <v>0</v>
      </c>
      <c r="AP75" s="64">
        <v>0</v>
      </c>
      <c r="AQ75" s="64">
        <v>0</v>
      </c>
      <c r="AR75" s="64">
        <v>0</v>
      </c>
      <c r="AS75" s="64">
        <v>0</v>
      </c>
      <c r="AT75" s="64">
        <v>0</v>
      </c>
      <c r="AU75" s="64">
        <v>0</v>
      </c>
      <c r="AV75" s="64">
        <v>0</v>
      </c>
      <c r="AW75" s="64">
        <v>0</v>
      </c>
      <c r="AX75" s="64">
        <v>0</v>
      </c>
      <c r="AY75" s="64">
        <v>0</v>
      </c>
      <c r="AZ75" s="64">
        <v>0</v>
      </c>
      <c r="BA75" s="64">
        <f>S75</f>
        <v>0</v>
      </c>
      <c r="BB75" s="64">
        <v>0</v>
      </c>
      <c r="BC75" s="64">
        <f>IF(U75="VFP",0,IF(U75="Immediate",2,1))</f>
        <v>0</v>
      </c>
      <c r="BD75" s="64">
        <f>IF(W75="Input",0,1)</f>
        <v>0</v>
      </c>
      <c r="BE75" s="131"/>
    </row>
    <row r="76" spans="2:57" ht="15">
      <c r="B76" s="101" t="str">
        <f>IF(Main_Parameters!$C$43="TX1 Enable","REMend","WR32")</f>
        <v>WR32</v>
      </c>
      <c r="C76" s="102" t="s">
        <v>1958</v>
      </c>
      <c r="D76" s="515" t="s">
        <v>1959</v>
      </c>
      <c r="E76" s="91" t="str">
        <f t="shared" ref="E76:E83" si="15">DEC2HEX(HEX2DEC(K76),8)</f>
        <v>00010000</v>
      </c>
      <c r="F76" s="92"/>
      <c r="G76"/>
      <c r="H76" s="597" t="s">
        <v>1960</v>
      </c>
      <c r="I76" s="598"/>
      <c r="J76" s="599"/>
      <c r="K76" s="516" t="s">
        <v>1961</v>
      </c>
      <c r="L76" s="120" t="str">
        <f t="shared" ref="L76:L83" si="16">IF(HEX2DEC(K76)&lt;0,"NG",IF(HEX2DEC(K76)&gt;4294967295,"NG","OK"))</f>
        <v>OK</v>
      </c>
      <c r="M76" s="103"/>
      <c r="N76" s="110"/>
      <c r="O76" s="110"/>
      <c r="P76" s="110"/>
      <c r="Q76" s="110"/>
      <c r="R76" s="110"/>
      <c r="S76" s="110"/>
      <c r="T76" s="110"/>
      <c r="U76" s="110"/>
      <c r="V76" s="110"/>
      <c r="W76" s="111"/>
    </row>
    <row r="77" spans="2:57" ht="15">
      <c r="B77" s="101" t="str">
        <f>IF(Main_Parameters!$C$43="TX1 Enable","REMend","WR32")</f>
        <v>WR32</v>
      </c>
      <c r="C77" s="102" t="s">
        <v>1962</v>
      </c>
      <c r="D77" s="515" t="s">
        <v>1963</v>
      </c>
      <c r="E77" s="91" t="str">
        <f t="shared" si="15"/>
        <v>00005000</v>
      </c>
      <c r="F77" s="92"/>
      <c r="G77"/>
      <c r="H77" s="597" t="s">
        <v>1964</v>
      </c>
      <c r="I77" s="598"/>
      <c r="J77" s="599"/>
      <c r="K77" s="516" t="s">
        <v>995</v>
      </c>
      <c r="L77" s="120" t="str">
        <f t="shared" si="16"/>
        <v>OK</v>
      </c>
      <c r="M77" s="103"/>
      <c r="N77" s="110"/>
      <c r="O77" s="110"/>
      <c r="P77" s="110"/>
      <c r="Q77" s="110"/>
      <c r="R77" s="110"/>
      <c r="S77" s="110"/>
      <c r="T77" s="110"/>
      <c r="U77" s="110"/>
      <c r="V77" s="110"/>
      <c r="W77" s="111"/>
      <c r="X77" s="131"/>
      <c r="AH77" s="131"/>
    </row>
    <row r="78" spans="2:57" ht="15">
      <c r="B78" s="101" t="str">
        <f>IF(Main_Parameters!$C$43="TX1 Enable","REMend","WR32")</f>
        <v>WR32</v>
      </c>
      <c r="C78" s="102" t="s">
        <v>1965</v>
      </c>
      <c r="D78" s="515" t="s">
        <v>1966</v>
      </c>
      <c r="E78" s="91" t="str">
        <f t="shared" si="15"/>
        <v>00010000</v>
      </c>
      <c r="F78" s="92"/>
      <c r="G78"/>
      <c r="H78" s="597" t="s">
        <v>1967</v>
      </c>
      <c r="I78" s="598"/>
      <c r="J78" s="599"/>
      <c r="K78" s="516" t="s">
        <v>1961</v>
      </c>
      <c r="L78" s="120" t="str">
        <f t="shared" si="16"/>
        <v>OK</v>
      </c>
      <c r="M78" s="103"/>
      <c r="N78" s="110"/>
      <c r="O78" s="110"/>
      <c r="P78" s="110"/>
      <c r="Q78" s="110"/>
      <c r="R78" s="110"/>
      <c r="S78" s="110"/>
      <c r="T78" s="110"/>
      <c r="U78" s="110"/>
      <c r="V78" s="110"/>
      <c r="W78" s="111"/>
      <c r="X78" s="131"/>
      <c r="AH78" s="131"/>
    </row>
    <row r="79" spans="2:57" ht="15">
      <c r="B79" s="101" t="str">
        <f>IF(Main_Parameters!$C$43="TX1 Enable","REMend","WR32")</f>
        <v>WR32</v>
      </c>
      <c r="C79" s="102" t="s">
        <v>1968</v>
      </c>
      <c r="D79" s="515" t="s">
        <v>1969</v>
      </c>
      <c r="E79" s="91" t="str">
        <f t="shared" si="15"/>
        <v>00010000</v>
      </c>
      <c r="F79" s="92"/>
      <c r="G79"/>
      <c r="H79" s="597" t="s">
        <v>1970</v>
      </c>
      <c r="I79" s="598"/>
      <c r="J79" s="599"/>
      <c r="K79" s="516" t="s">
        <v>1961</v>
      </c>
      <c r="L79" s="120" t="str">
        <f t="shared" si="16"/>
        <v>OK</v>
      </c>
      <c r="M79" s="103"/>
      <c r="N79" s="110"/>
      <c r="O79" s="110"/>
      <c r="P79" s="110"/>
      <c r="Q79" s="110"/>
      <c r="R79" s="110"/>
      <c r="S79" s="110"/>
      <c r="T79" s="110"/>
      <c r="U79" s="110"/>
      <c r="V79" s="110"/>
      <c r="W79" s="111"/>
      <c r="X79" s="131"/>
      <c r="AH79" s="131"/>
    </row>
    <row r="80" spans="2:57" ht="15">
      <c r="B80" s="101" t="str">
        <f>IF(Main_Parameters!$C$43="TX1 Enable","REMend","WR32")</f>
        <v>WR32</v>
      </c>
      <c r="C80" s="102" t="s">
        <v>1971</v>
      </c>
      <c r="D80" s="515" t="s">
        <v>1972</v>
      </c>
      <c r="E80" s="91" t="str">
        <f t="shared" si="15"/>
        <v>00010000</v>
      </c>
      <c r="F80" s="92"/>
      <c r="G80"/>
      <c r="H80" s="597" t="s">
        <v>1973</v>
      </c>
      <c r="I80" s="598"/>
      <c r="J80" s="599"/>
      <c r="K80" s="516" t="s">
        <v>1961</v>
      </c>
      <c r="L80" s="120" t="str">
        <f t="shared" si="16"/>
        <v>OK</v>
      </c>
      <c r="M80" s="103"/>
      <c r="N80" s="110"/>
      <c r="O80" s="110"/>
      <c r="P80" s="110"/>
      <c r="Q80" s="110"/>
      <c r="R80" s="110"/>
      <c r="S80" s="110"/>
      <c r="T80" s="110"/>
      <c r="U80" s="110"/>
      <c r="V80" s="110"/>
      <c r="W80" s="111"/>
      <c r="X80" s="131"/>
      <c r="AH80" s="131"/>
    </row>
    <row r="81" spans="2:57" ht="15">
      <c r="B81" s="101" t="str">
        <f>IF(Main_Parameters!$C$43="TX1 Enable","REMend","WR32")</f>
        <v>WR32</v>
      </c>
      <c r="C81" s="102" t="s">
        <v>1974</v>
      </c>
      <c r="D81" s="515" t="s">
        <v>1975</v>
      </c>
      <c r="E81" s="91" t="str">
        <f t="shared" si="15"/>
        <v>00010000</v>
      </c>
      <c r="F81" s="92"/>
      <c r="G81"/>
      <c r="H81" s="597" t="s">
        <v>1976</v>
      </c>
      <c r="I81" s="598"/>
      <c r="J81" s="599"/>
      <c r="K81" s="516" t="s">
        <v>1961</v>
      </c>
      <c r="L81" s="120" t="str">
        <f t="shared" si="16"/>
        <v>OK</v>
      </c>
      <c r="M81" s="103"/>
      <c r="N81" s="110"/>
      <c r="O81" s="110"/>
      <c r="P81" s="110"/>
      <c r="Q81" s="110"/>
      <c r="R81" s="110"/>
      <c r="S81" s="110"/>
      <c r="T81" s="110"/>
      <c r="U81" s="110"/>
      <c r="V81" s="110"/>
      <c r="W81" s="111"/>
      <c r="X81" s="131"/>
      <c r="AH81" s="131"/>
    </row>
    <row r="82" spans="2:57" ht="15">
      <c r="B82" s="101" t="str">
        <f>IF(Main_Parameters!$C$43="TX1 Enable","REMend","WR32")</f>
        <v>WR32</v>
      </c>
      <c r="C82" s="102" t="s">
        <v>1977</v>
      </c>
      <c r="D82" s="515" t="s">
        <v>1978</v>
      </c>
      <c r="E82" s="91" t="str">
        <f t="shared" si="15"/>
        <v>00001000</v>
      </c>
      <c r="F82" s="92"/>
      <c r="G82"/>
      <c r="H82" s="597" t="s">
        <v>1979</v>
      </c>
      <c r="I82" s="598"/>
      <c r="J82" s="599"/>
      <c r="K82" s="516" t="s">
        <v>1980</v>
      </c>
      <c r="L82" s="120" t="str">
        <f t="shared" si="16"/>
        <v>OK</v>
      </c>
      <c r="M82" s="103"/>
      <c r="N82" s="110"/>
      <c r="O82" s="110"/>
      <c r="P82" s="110"/>
      <c r="Q82" s="110"/>
      <c r="R82" s="110"/>
      <c r="S82" s="110"/>
      <c r="T82" s="110"/>
      <c r="U82" s="110"/>
      <c r="V82" s="110"/>
      <c r="W82" s="111"/>
      <c r="X82" s="131"/>
      <c r="AH82" s="131"/>
    </row>
    <row r="83" spans="2:57" ht="15">
      <c r="B83" s="101" t="str">
        <f>IF(Main_Parameters!$C$43="TX1 Enable","REMend","WR32")</f>
        <v>WR32</v>
      </c>
      <c r="C83" s="102" t="s">
        <v>1981</v>
      </c>
      <c r="D83" s="515" t="s">
        <v>1982</v>
      </c>
      <c r="E83" s="91" t="str">
        <f t="shared" si="15"/>
        <v>00010000</v>
      </c>
      <c r="F83" s="92"/>
      <c r="G83"/>
      <c r="H83" s="597" t="s">
        <v>1983</v>
      </c>
      <c r="I83" s="598"/>
      <c r="J83" s="599"/>
      <c r="K83" s="516" t="s">
        <v>1961</v>
      </c>
      <c r="L83" s="120" t="str">
        <f t="shared" si="16"/>
        <v>OK</v>
      </c>
      <c r="M83" s="103"/>
      <c r="N83" s="110"/>
      <c r="O83" s="110"/>
      <c r="P83" s="110"/>
      <c r="Q83" s="110"/>
      <c r="R83" s="110"/>
      <c r="S83" s="110"/>
      <c r="T83" s="110"/>
      <c r="U83" s="110"/>
      <c r="V83" s="110"/>
      <c r="W83" s="111"/>
      <c r="X83" s="131"/>
      <c r="AH83" s="131"/>
    </row>
    <row r="84" spans="2:57">
      <c r="B84" s="101" t="str">
        <f>IF(Main_Parameters!$C$43="TX1 Enable","REMend","WR32")</f>
        <v>WR32</v>
      </c>
      <c r="C84" s="102" t="s">
        <v>1984</v>
      </c>
      <c r="D84" s="515" t="s">
        <v>1985</v>
      </c>
      <c r="E84" s="91" t="str">
        <f t="shared" ref="E84:E87" si="17">DEC2HEX(Y84*2^31+Z84*2^30+AA84*2^29+AB84*2^28+AC84*2^27+AD84*2^26+AE84*2^25+AF84*2^24+AG84*2^23+AH84*2^22+AI84*2^21+AJ84*2^20+AK84*2^19+AL84*2^18+AM84*2^17+AN84*2^16+AO84*2^15+AP84*2^14+AQ84*2^13+AR84*2^12+AS84*2^11+AT84*2^10+AU84*2^9+AV84*2^8+AW84*2^7+AX84*2^6+AY84*2^5+AZ84*2^4+BA84*2^3+BB84*2^2+BC84*2^1+BD84*2^0,8)</f>
        <v>00000161</v>
      </c>
      <c r="F84" s="92"/>
      <c r="G84"/>
      <c r="H84" s="105"/>
      <c r="I84" s="121"/>
      <c r="J84" s="121"/>
      <c r="K84" s="122"/>
      <c r="L84" s="125" t="s">
        <v>1986</v>
      </c>
      <c r="M84" s="104" t="s">
        <v>1987</v>
      </c>
      <c r="N84" s="125" t="s">
        <v>1988</v>
      </c>
      <c r="O84" s="104" t="s">
        <v>721</v>
      </c>
      <c r="P84" s="125" t="s">
        <v>1989</v>
      </c>
      <c r="Q84" s="104" t="s">
        <v>780</v>
      </c>
      <c r="R84" s="125" t="s">
        <v>1990</v>
      </c>
      <c r="S84" s="113" t="s">
        <v>780</v>
      </c>
      <c r="T84" s="112" t="s">
        <v>1991</v>
      </c>
      <c r="U84" s="135" t="str">
        <f>IF(Main_Parameters!$C$80="Enable","Continuous","Discontinuous")</f>
        <v>Continuous</v>
      </c>
      <c r="V84" s="112" t="s">
        <v>1992</v>
      </c>
      <c r="W84" s="135" t="str">
        <f>IF(Main_Parameters!$C$79="Yes","Yes","No")</f>
        <v>Yes</v>
      </c>
      <c r="X84" s="63"/>
      <c r="Y84" s="47">
        <v>0</v>
      </c>
      <c r="Z84" s="47">
        <v>0</v>
      </c>
      <c r="AA84" s="47">
        <v>0</v>
      </c>
      <c r="AB84" s="47">
        <v>0</v>
      </c>
      <c r="AC84" s="47">
        <v>0</v>
      </c>
      <c r="AD84" s="47">
        <v>0</v>
      </c>
      <c r="AE84" s="47">
        <v>0</v>
      </c>
      <c r="AF84" s="47">
        <v>0</v>
      </c>
      <c r="AG84" s="47">
        <v>0</v>
      </c>
      <c r="AH84" s="63">
        <v>0</v>
      </c>
      <c r="AI84" s="47">
        <v>0</v>
      </c>
      <c r="AJ84" s="47">
        <v>0</v>
      </c>
      <c r="AK84" s="47">
        <v>0</v>
      </c>
      <c r="AL84" s="47">
        <v>0</v>
      </c>
      <c r="AM84" s="47">
        <v>0</v>
      </c>
      <c r="AN84" s="47">
        <v>0</v>
      </c>
      <c r="AO84" s="47">
        <v>0</v>
      </c>
      <c r="AP84" s="47">
        <v>0</v>
      </c>
      <c r="AQ84" s="47">
        <v>0</v>
      </c>
      <c r="AR84" s="47">
        <v>0</v>
      </c>
      <c r="AS84" s="47">
        <v>0</v>
      </c>
      <c r="AT84" s="47">
        <f>IF(M84="Forced to STOP",1,0)</f>
        <v>0</v>
      </c>
      <c r="AU84" s="47">
        <f>IF(O84="Disable",1,0)</f>
        <v>0</v>
      </c>
      <c r="AV84" s="47">
        <f>IF(Q84="Disable",1,0)</f>
        <v>1</v>
      </c>
      <c r="AW84" s="47">
        <v>0</v>
      </c>
      <c r="AX84" s="47">
        <f>IF(S84="Disable",1,0)</f>
        <v>1</v>
      </c>
      <c r="AY84" s="47">
        <f>IF(U84="Continuous",1,0)</f>
        <v>1</v>
      </c>
      <c r="AZ84" s="47">
        <v>0</v>
      </c>
      <c r="BA84" s="47">
        <v>0</v>
      </c>
      <c r="BB84" s="47">
        <v>0</v>
      </c>
      <c r="BC84" s="47">
        <v>0</v>
      </c>
      <c r="BD84" s="47">
        <f>IF(W84="Yes",1,0)</f>
        <v>1</v>
      </c>
    </row>
    <row r="85" spans="2:57">
      <c r="B85" s="101" t="str">
        <f>IF(Main_Parameters!$C$43="TX1 Enable","REMend","WR32")</f>
        <v>WR32</v>
      </c>
      <c r="C85" s="102" t="s">
        <v>1993</v>
      </c>
      <c r="D85" s="515" t="s">
        <v>1994</v>
      </c>
      <c r="E85" s="91" t="str">
        <f t="shared" si="17"/>
        <v>00000001</v>
      </c>
      <c r="F85" s="92"/>
      <c r="G85"/>
      <c r="H85" s="103"/>
      <c r="I85" s="110"/>
      <c r="J85" s="110"/>
      <c r="K85" s="110"/>
      <c r="L85" s="110"/>
      <c r="M85" s="110"/>
      <c r="N85" s="110"/>
      <c r="O85" s="111"/>
      <c r="P85" s="106" t="s">
        <v>1995</v>
      </c>
      <c r="Q85" s="104" t="s">
        <v>780</v>
      </c>
      <c r="R85" s="106" t="s">
        <v>1996</v>
      </c>
      <c r="S85" s="104" t="s">
        <v>780</v>
      </c>
      <c r="T85" s="106" t="s">
        <v>1997</v>
      </c>
      <c r="U85" s="104" t="s">
        <v>780</v>
      </c>
      <c r="V85" s="106" t="s">
        <v>1998</v>
      </c>
      <c r="W85" s="104" t="s">
        <v>721</v>
      </c>
      <c r="X85" s="63"/>
      <c r="Y85" s="47">
        <v>0</v>
      </c>
      <c r="Z85" s="47">
        <v>0</v>
      </c>
      <c r="AA85" s="47">
        <v>0</v>
      </c>
      <c r="AB85" s="47">
        <v>0</v>
      </c>
      <c r="AC85" s="47">
        <v>0</v>
      </c>
      <c r="AD85" s="47">
        <v>0</v>
      </c>
      <c r="AE85" s="47">
        <v>0</v>
      </c>
      <c r="AF85" s="47">
        <v>0</v>
      </c>
      <c r="AG85" s="47">
        <v>0</v>
      </c>
      <c r="AH85" s="63">
        <v>0</v>
      </c>
      <c r="AI85" s="47">
        <v>0</v>
      </c>
      <c r="AJ85" s="47">
        <v>0</v>
      </c>
      <c r="AK85" s="47">
        <v>0</v>
      </c>
      <c r="AL85" s="47">
        <v>0</v>
      </c>
      <c r="AM85" s="47">
        <v>0</v>
      </c>
      <c r="AN85" s="47">
        <v>0</v>
      </c>
      <c r="AO85" s="47">
        <v>0</v>
      </c>
      <c r="AP85" s="47">
        <v>0</v>
      </c>
      <c r="AQ85" s="47">
        <v>0</v>
      </c>
      <c r="AR85" s="47">
        <v>0</v>
      </c>
      <c r="AS85" s="47">
        <v>0</v>
      </c>
      <c r="AT85" s="47">
        <v>0</v>
      </c>
      <c r="AU85" s="47">
        <v>0</v>
      </c>
      <c r="AV85" s="47">
        <v>0</v>
      </c>
      <c r="AW85" s="47">
        <v>0</v>
      </c>
      <c r="AX85" s="47">
        <v>0</v>
      </c>
      <c r="AY85" s="47">
        <v>0</v>
      </c>
      <c r="AZ85" s="47">
        <v>0</v>
      </c>
      <c r="BA85" s="47">
        <f>IF(Q85="Enable",1,0)</f>
        <v>0</v>
      </c>
      <c r="BB85" s="47">
        <f>IF(S85="Enable",1,0)</f>
        <v>0</v>
      </c>
      <c r="BC85" s="47">
        <f>IF(U85="Enable",1,0)</f>
        <v>0</v>
      </c>
      <c r="BD85" s="47">
        <f>IF(W85="Enable",1,0)</f>
        <v>1</v>
      </c>
    </row>
    <row r="86" spans="2:57" ht="15">
      <c r="B86" s="101" t="str">
        <f>IF(Main_Parameters!$C$43="TX1 Enable","REMend","WR32")</f>
        <v>WR32</v>
      </c>
      <c r="C86" s="102" t="s">
        <v>1999</v>
      </c>
      <c r="D86" s="515" t="s">
        <v>2000</v>
      </c>
      <c r="E86" s="91" t="str">
        <f>DEC2HEX(HEX2DEC(K86),8)</f>
        <v>000000C8</v>
      </c>
      <c r="F86" s="92"/>
      <c r="G86"/>
      <c r="H86" s="597" t="s">
        <v>2001</v>
      </c>
      <c r="I86" s="598"/>
      <c r="J86" s="599"/>
      <c r="K86" s="516" t="s">
        <v>2002</v>
      </c>
      <c r="L86" s="120" t="str">
        <f>IF(HEX2DEC(K86)&lt;0,"NG",IF(HEX2DEC(K86)&gt;4294967295,"NG","OK"))</f>
        <v>OK</v>
      </c>
      <c r="M86" s="103"/>
      <c r="N86" s="110"/>
      <c r="O86" s="110"/>
      <c r="P86" s="110"/>
      <c r="Q86" s="110"/>
      <c r="R86" s="110"/>
      <c r="S86" s="110"/>
      <c r="T86" s="110"/>
      <c r="U86" s="110"/>
      <c r="V86" s="110"/>
      <c r="W86" s="111"/>
      <c r="X86" s="131"/>
      <c r="AH86" s="131"/>
    </row>
    <row r="87" spans="2:57">
      <c r="B87" s="101" t="str">
        <f>IF(Main_Parameters!$C$43="TX1 Enable","REMend",IF(G87="Disable","REMend","WR32"))</f>
        <v>REMend</v>
      </c>
      <c r="C87" s="102" t="s">
        <v>2003</v>
      </c>
      <c r="D87" s="515" t="s">
        <v>2004</v>
      </c>
      <c r="E87" s="91" t="str">
        <f t="shared" si="17"/>
        <v>00000014</v>
      </c>
      <c r="F87" s="92"/>
      <c r="G87" s="104" t="s">
        <v>780</v>
      </c>
      <c r="H87" s="103"/>
      <c r="I87" s="110"/>
      <c r="J87" s="110"/>
      <c r="K87" s="110"/>
      <c r="L87" s="110"/>
      <c r="M87" s="110"/>
      <c r="N87" s="114"/>
      <c r="O87" s="114"/>
      <c r="P87" s="119"/>
      <c r="Q87" s="132"/>
      <c r="R87" s="136" t="s">
        <v>2005</v>
      </c>
      <c r="S87" s="104" t="s">
        <v>2006</v>
      </c>
      <c r="T87" s="137" t="s">
        <v>2007</v>
      </c>
      <c r="U87" s="104" t="s">
        <v>2006</v>
      </c>
      <c r="V87" s="137" t="s">
        <v>2008</v>
      </c>
      <c r="W87" s="104" t="s">
        <v>2009</v>
      </c>
      <c r="X87" s="131"/>
      <c r="Y87" s="64">
        <v>0</v>
      </c>
      <c r="Z87" s="64">
        <v>0</v>
      </c>
      <c r="AA87" s="64">
        <v>0</v>
      </c>
      <c r="AB87" s="64">
        <v>0</v>
      </c>
      <c r="AC87" s="64">
        <v>0</v>
      </c>
      <c r="AD87" s="64">
        <v>0</v>
      </c>
      <c r="AE87" s="64">
        <v>0</v>
      </c>
      <c r="AF87" s="64">
        <v>0</v>
      </c>
      <c r="AG87" s="64">
        <v>0</v>
      </c>
      <c r="AH87" s="64">
        <v>0</v>
      </c>
      <c r="AI87" s="64">
        <v>0</v>
      </c>
      <c r="AJ87" s="64">
        <v>0</v>
      </c>
      <c r="AK87" s="64">
        <v>0</v>
      </c>
      <c r="AL87" s="64">
        <v>0</v>
      </c>
      <c r="AM87" s="64">
        <v>0</v>
      </c>
      <c r="AN87" s="64">
        <v>0</v>
      </c>
      <c r="AO87" s="64">
        <v>0</v>
      </c>
      <c r="AP87" s="64">
        <v>0</v>
      </c>
      <c r="AQ87" s="64">
        <v>0</v>
      </c>
      <c r="AR87" s="64">
        <v>0</v>
      </c>
      <c r="AS87" s="64">
        <v>0</v>
      </c>
      <c r="AT87" s="64">
        <v>0</v>
      </c>
      <c r="AU87" s="64">
        <v>0</v>
      </c>
      <c r="AV87" s="64">
        <v>0</v>
      </c>
      <c r="AW87" s="64">
        <v>0</v>
      </c>
      <c r="AX87" s="64">
        <v>0</v>
      </c>
      <c r="AY87" s="64">
        <v>0</v>
      </c>
      <c r="AZ87" s="64">
        <f t="shared" ref="AZ87:BD87" si="18">IF(S87="Mask",1,0)</f>
        <v>1</v>
      </c>
      <c r="BA87" s="64">
        <v>0</v>
      </c>
      <c r="BB87" s="64">
        <f t="shared" si="18"/>
        <v>1</v>
      </c>
      <c r="BC87" s="64">
        <v>0</v>
      </c>
      <c r="BD87" s="64">
        <f t="shared" si="18"/>
        <v>0</v>
      </c>
      <c r="BE87" s="131"/>
    </row>
    <row r="88" spans="2:57" ht="15">
      <c r="B88" s="101" t="str">
        <f>IF(Main_Parameters!$C$43="TX1 Enable","REMend","WR32")</f>
        <v>WR32</v>
      </c>
      <c r="C88" s="102" t="s">
        <v>2010</v>
      </c>
      <c r="D88" s="515" t="s">
        <v>2011</v>
      </c>
      <c r="E88" s="91" t="str">
        <f>DEC2HEX(HEX2DEC(K88),8)</f>
        <v>0000002A</v>
      </c>
      <c r="F88" s="92"/>
      <c r="G88"/>
      <c r="H88" s="597" t="s">
        <v>2012</v>
      </c>
      <c r="I88" s="598"/>
      <c r="J88" s="599"/>
      <c r="K88" s="516" t="s">
        <v>2013</v>
      </c>
      <c r="L88" s="120" t="str">
        <f>IF(HEX2DEC(K88)&lt;0,"NG",IF(HEX2DEC(K88)&gt;65535,"NG","OK"))</f>
        <v>OK</v>
      </c>
      <c r="M88" s="103"/>
      <c r="N88" s="110"/>
      <c r="O88" s="110"/>
      <c r="P88" s="110"/>
      <c r="Q88" s="110"/>
      <c r="R88" s="110"/>
      <c r="S88" s="110"/>
      <c r="T88" s="110"/>
      <c r="U88" s="110"/>
      <c r="V88" s="110"/>
      <c r="W88" s="111"/>
      <c r="X88" s="131"/>
      <c r="AH88" s="131"/>
    </row>
    <row r="89" spans="2:57">
      <c r="B89" s="101" t="str">
        <f>IF(Main_Parameters!$C$43="TX1 Enable","REMend","WR32")</f>
        <v>WR32</v>
      </c>
      <c r="C89" s="102" t="s">
        <v>2014</v>
      </c>
      <c r="D89" s="515" t="s">
        <v>2015</v>
      </c>
      <c r="E89" s="91" t="str">
        <f>Main_Parameters!$C$131</f>
        <v>000003F5</v>
      </c>
      <c r="F89" s="92"/>
      <c r="G89"/>
      <c r="H89"/>
      <c r="I89"/>
      <c r="J89"/>
      <c r="K89"/>
      <c r="L89"/>
      <c r="M89"/>
      <c r="N89"/>
      <c r="O89"/>
      <c r="P89"/>
      <c r="Q89"/>
      <c r="R89"/>
      <c r="S89"/>
      <c r="T89"/>
      <c r="U89"/>
      <c r="V89"/>
      <c r="W89"/>
      <c r="X89" s="131"/>
      <c r="AH89" s="131"/>
    </row>
    <row r="90" spans="2:57">
      <c r="B90" s="101" t="str">
        <f>IF(Main_Parameters!$C$43="TX1 Enable","REMend",IF(G90="Disable","REMend","WR32"))</f>
        <v>REMend</v>
      </c>
      <c r="C90" s="102" t="s">
        <v>2016</v>
      </c>
      <c r="D90" s="515" t="s">
        <v>2017</v>
      </c>
      <c r="E90" s="91" t="str">
        <f t="shared" ref="E90:E95" si="19">DEC2HEX(Y90*2^31+Z90*2^30+AA90*2^29+AB90*2^28+AC90*2^27+AD90*2^26+AE90*2^25+AF90*2^24+AG90*2^23+AH90*2^22+AI90*2^21+AJ90*2^20+AK90*2^19+AL90*2^18+AM90*2^17+AN90*2^16+AO90*2^15+AP90*2^14+AQ90*2^13+AR90*2^12+AS90*2^11+AT90*2^10+AU90*2^9+AV90*2^8+AW90*2^7+AX90*2^6+AY90*2^5+AZ90*2^4+BA90*2^3+BB90*2^2+BC90*2^1+BD90*2^0,8)</f>
        <v>00000001</v>
      </c>
      <c r="F90" s="92"/>
      <c r="G90" s="104" t="s">
        <v>780</v>
      </c>
      <c r="H90" s="105"/>
      <c r="I90" s="121"/>
      <c r="J90" s="121"/>
      <c r="K90" s="121"/>
      <c r="L90" s="121"/>
      <c r="M90" s="121"/>
      <c r="N90" s="121"/>
      <c r="O90" s="121"/>
      <c r="P90" s="119"/>
      <c r="Q90" s="119"/>
      <c r="R90" s="138"/>
      <c r="S90" s="126"/>
      <c r="T90" s="126" t="s">
        <v>2018</v>
      </c>
      <c r="U90" s="124">
        <v>0</v>
      </c>
      <c r="V90" s="112" t="s">
        <v>2019</v>
      </c>
      <c r="W90" s="104" t="s">
        <v>2020</v>
      </c>
      <c r="X90" s="63"/>
      <c r="Y90" s="47">
        <v>0</v>
      </c>
      <c r="Z90" s="47">
        <v>0</v>
      </c>
      <c r="AA90" s="47">
        <v>0</v>
      </c>
      <c r="AB90" s="47">
        <v>0</v>
      </c>
      <c r="AC90" s="47">
        <v>0</v>
      </c>
      <c r="AD90" s="47">
        <v>0</v>
      </c>
      <c r="AE90" s="47">
        <v>0</v>
      </c>
      <c r="AF90" s="47">
        <v>0</v>
      </c>
      <c r="AG90" s="47">
        <v>0</v>
      </c>
      <c r="AH90" s="47">
        <v>0</v>
      </c>
      <c r="AI90" s="47">
        <v>0</v>
      </c>
      <c r="AJ90" s="47">
        <v>0</v>
      </c>
      <c r="AK90" s="47">
        <v>0</v>
      </c>
      <c r="AL90" s="47">
        <v>0</v>
      </c>
      <c r="AM90" s="47">
        <v>0</v>
      </c>
      <c r="AN90" s="47">
        <v>0</v>
      </c>
      <c r="AO90" s="47">
        <v>0</v>
      </c>
      <c r="AP90" s="47">
        <v>0</v>
      </c>
      <c r="AQ90" s="47">
        <v>0</v>
      </c>
      <c r="AR90" s="47">
        <v>0</v>
      </c>
      <c r="AS90" s="47">
        <v>0</v>
      </c>
      <c r="AT90" s="47">
        <v>0</v>
      </c>
      <c r="AU90" s="47">
        <v>0</v>
      </c>
      <c r="AV90" s="47">
        <v>0</v>
      </c>
      <c r="AW90" s="47">
        <v>0</v>
      </c>
      <c r="AX90" s="47">
        <v>0</v>
      </c>
      <c r="AY90" s="47">
        <v>0</v>
      </c>
      <c r="AZ90" s="47">
        <v>0</v>
      </c>
      <c r="BA90" s="47">
        <v>0</v>
      </c>
      <c r="BB90" s="47">
        <v>0</v>
      </c>
      <c r="BC90" s="47">
        <f>U90</f>
        <v>0</v>
      </c>
      <c r="BD90" s="47">
        <f>IF(W90="By Reg",1,0)</f>
        <v>1</v>
      </c>
    </row>
    <row r="91" spans="2:57">
      <c r="B91" s="101" t="str">
        <f>IF(Main_Parameters!$C$43="TX1 Enable","REMend","WR32")</f>
        <v>WR32</v>
      </c>
      <c r="C91" s="102" t="s">
        <v>2021</v>
      </c>
      <c r="D91" s="515" t="s">
        <v>964</v>
      </c>
      <c r="E91" s="91" t="str">
        <f>Main_Parameters!$C$133</f>
        <v>00000081</v>
      </c>
      <c r="F91" s="92"/>
      <c r="G91"/>
      <c r="H91"/>
      <c r="I91"/>
      <c r="J91"/>
      <c r="K91"/>
      <c r="L91"/>
      <c r="M91"/>
      <c r="N91"/>
      <c r="O91"/>
      <c r="P91"/>
      <c r="Q91"/>
      <c r="R91"/>
      <c r="S91"/>
      <c r="T91"/>
      <c r="U91"/>
      <c r="V91"/>
      <c r="W91"/>
      <c r="X91" s="131"/>
      <c r="Y91" s="131"/>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c r="AY91" s="131"/>
      <c r="AZ91" s="131"/>
      <c r="BA91" s="131"/>
      <c r="BB91" s="131"/>
      <c r="BC91" s="131"/>
      <c r="BD91" s="131"/>
    </row>
    <row r="92" spans="2:57">
      <c r="B92" s="101" t="str">
        <f>IF(Main_Parameters!$C$43="TX1 Enable","REMend","WR32")</f>
        <v>WR32</v>
      </c>
      <c r="C92" s="102" t="s">
        <v>2022</v>
      </c>
      <c r="D92" s="515" t="s">
        <v>965</v>
      </c>
      <c r="E92" s="91" t="str">
        <f>Main_Parameters!$C$134</f>
        <v>000000A3</v>
      </c>
      <c r="F92" s="92"/>
      <c r="G92"/>
      <c r="H92"/>
      <c r="I92"/>
      <c r="J92"/>
      <c r="K92"/>
      <c r="L92"/>
      <c r="M92"/>
      <c r="N92"/>
      <c r="O92"/>
      <c r="P92"/>
      <c r="Q92"/>
      <c r="R92"/>
      <c r="S92"/>
      <c r="T92"/>
      <c r="U92"/>
      <c r="V92"/>
      <c r="W92"/>
      <c r="X92" s="131"/>
      <c r="AH92" s="131"/>
    </row>
    <row r="93" spans="2:57">
      <c r="B93" s="101" t="str">
        <f>IF(Main_Parameters!$C$43="TX1 Enable","REMend","WR32")</f>
        <v>WR32</v>
      </c>
      <c r="C93" s="102" t="s">
        <v>2023</v>
      </c>
      <c r="D93" s="515" t="s">
        <v>966</v>
      </c>
      <c r="E93" s="91" t="str">
        <f>Main_Parameters!$C$135</f>
        <v>00000104</v>
      </c>
      <c r="F93" s="92"/>
      <c r="G93"/>
      <c r="H93"/>
      <c r="I93"/>
      <c r="J93"/>
      <c r="K93"/>
      <c r="L93"/>
      <c r="M93"/>
      <c r="N93"/>
      <c r="O93"/>
      <c r="P93"/>
      <c r="Q93"/>
      <c r="R93"/>
      <c r="S93"/>
      <c r="T93"/>
      <c r="U93"/>
      <c r="V93"/>
      <c r="W93"/>
      <c r="X93" s="131"/>
      <c r="AH93" s="131"/>
    </row>
    <row r="94" spans="2:57">
      <c r="B94" s="101" t="str">
        <f>IF(Main_Parameters!$C$43="TX1 Enable","REMend",IF(G94="Disable","REMend","WR32"))</f>
        <v>WR32</v>
      </c>
      <c r="C94" s="102" t="s">
        <v>2024</v>
      </c>
      <c r="D94" s="515" t="s">
        <v>2025</v>
      </c>
      <c r="E94" s="91" t="str">
        <f t="shared" si="19"/>
        <v>00000000</v>
      </c>
      <c r="F94" s="92"/>
      <c r="G94" s="104" t="s">
        <v>721</v>
      </c>
      <c r="H94" s="105"/>
      <c r="I94" s="121"/>
      <c r="J94" s="121"/>
      <c r="K94" s="121"/>
      <c r="L94" s="121"/>
      <c r="M94" s="122"/>
      <c r="N94" s="126" t="s">
        <v>2026</v>
      </c>
      <c r="O94" s="124" t="s">
        <v>2009</v>
      </c>
      <c r="P94" s="106" t="s">
        <v>2027</v>
      </c>
      <c r="Q94" s="113" t="s">
        <v>2009</v>
      </c>
      <c r="R94" s="125" t="s">
        <v>2028</v>
      </c>
      <c r="S94" s="113" t="s">
        <v>2009</v>
      </c>
      <c r="T94" s="112" t="s">
        <v>2029</v>
      </c>
      <c r="U94" s="113" t="s">
        <v>2009</v>
      </c>
      <c r="V94" s="112" t="s">
        <v>2030</v>
      </c>
      <c r="W94" s="104" t="s">
        <v>2009</v>
      </c>
      <c r="X94" s="63"/>
      <c r="Y94" s="47">
        <v>0</v>
      </c>
      <c r="Z94" s="47">
        <v>0</v>
      </c>
      <c r="AA94" s="47">
        <v>0</v>
      </c>
      <c r="AB94" s="47">
        <v>0</v>
      </c>
      <c r="AC94" s="47">
        <v>0</v>
      </c>
      <c r="AD94" s="47">
        <v>0</v>
      </c>
      <c r="AE94" s="47">
        <v>0</v>
      </c>
      <c r="AF94" s="47">
        <v>0</v>
      </c>
      <c r="AG94" s="47">
        <v>0</v>
      </c>
      <c r="AH94" s="47">
        <v>0</v>
      </c>
      <c r="AI94" s="47">
        <v>0</v>
      </c>
      <c r="AJ94" s="47">
        <v>0</v>
      </c>
      <c r="AK94" s="47">
        <v>0</v>
      </c>
      <c r="AL94" s="47">
        <v>0</v>
      </c>
      <c r="AM94" s="47">
        <v>0</v>
      </c>
      <c r="AN94" s="47">
        <v>0</v>
      </c>
      <c r="AO94" s="47">
        <v>0</v>
      </c>
      <c r="AP94" s="47">
        <v>0</v>
      </c>
      <c r="AQ94" s="47">
        <v>0</v>
      </c>
      <c r="AR94" s="47">
        <v>0</v>
      </c>
      <c r="AS94" s="47">
        <v>0</v>
      </c>
      <c r="AT94" s="47">
        <v>0</v>
      </c>
      <c r="AU94" s="47">
        <v>0</v>
      </c>
      <c r="AV94" s="47">
        <v>0</v>
      </c>
      <c r="AW94" s="47">
        <v>0</v>
      </c>
      <c r="AX94" s="47">
        <v>0</v>
      </c>
      <c r="AY94" s="47">
        <v>0</v>
      </c>
      <c r="AZ94" s="47">
        <f>IF(O94="Mask",1,0)</f>
        <v>0</v>
      </c>
      <c r="BA94" s="47">
        <f t="shared" ref="BA94:BA98" si="20">IF(Q94="Mask",1,0)</f>
        <v>0</v>
      </c>
      <c r="BB94" s="47">
        <f t="shared" ref="BB94:BB98" si="21">IF(S94="Mask",1,0)</f>
        <v>0</v>
      </c>
      <c r="BC94" s="47">
        <f t="shared" ref="BC94:BC98" si="22">IF(U94="Mask",1,0)</f>
        <v>0</v>
      </c>
      <c r="BD94" s="47">
        <f t="shared" ref="BD94:BD98" si="23">IF(W94="Mask",1,0)</f>
        <v>0</v>
      </c>
    </row>
    <row r="95" spans="2:57">
      <c r="B95" s="101" t="str">
        <f>IF(Main_Parameters!$C$43="TX1 Enable","REMend",IF(G95="Disable","REMend","WR32"))</f>
        <v>REMend</v>
      </c>
      <c r="C95" s="102" t="s">
        <v>2031</v>
      </c>
      <c r="D95" s="515" t="s">
        <v>2032</v>
      </c>
      <c r="E95" s="91" t="str">
        <f t="shared" si="19"/>
        <v>00000000</v>
      </c>
      <c r="F95" s="92"/>
      <c r="G95" s="104" t="s">
        <v>780</v>
      </c>
      <c r="H95" s="103"/>
      <c r="I95" s="110"/>
      <c r="J95" s="110"/>
      <c r="K95" s="110"/>
      <c r="L95" s="110"/>
      <c r="M95" s="110"/>
      <c r="N95" s="119"/>
      <c r="O95" s="112"/>
      <c r="P95" s="111" t="s">
        <v>2033</v>
      </c>
      <c r="Q95" s="113" t="s">
        <v>2009</v>
      </c>
      <c r="R95" s="122" t="s">
        <v>2034</v>
      </c>
      <c r="S95" s="124" t="s">
        <v>2009</v>
      </c>
      <c r="T95" s="111" t="s">
        <v>2035</v>
      </c>
      <c r="U95" s="113" t="s">
        <v>2009</v>
      </c>
      <c r="V95" s="122" t="s">
        <v>2036</v>
      </c>
      <c r="W95" s="127" t="s">
        <v>2009</v>
      </c>
      <c r="X95" s="63"/>
      <c r="Y95" s="47">
        <v>0</v>
      </c>
      <c r="Z95" s="47">
        <v>0</v>
      </c>
      <c r="AA95" s="47">
        <v>0</v>
      </c>
      <c r="AB95" s="47">
        <v>0</v>
      </c>
      <c r="AC95" s="47">
        <v>0</v>
      </c>
      <c r="AD95" s="47">
        <v>0</v>
      </c>
      <c r="AE95" s="47">
        <v>0</v>
      </c>
      <c r="AF95" s="47">
        <v>0</v>
      </c>
      <c r="AG95" s="47">
        <v>0</v>
      </c>
      <c r="AH95" s="47">
        <v>0</v>
      </c>
      <c r="AI95" s="47">
        <v>0</v>
      </c>
      <c r="AJ95" s="47">
        <v>0</v>
      </c>
      <c r="AK95" s="47">
        <v>0</v>
      </c>
      <c r="AL95" s="47">
        <v>0</v>
      </c>
      <c r="AM95" s="47">
        <v>0</v>
      </c>
      <c r="AN95" s="47">
        <v>0</v>
      </c>
      <c r="AO95" s="47">
        <v>0</v>
      </c>
      <c r="AP95" s="47">
        <v>0</v>
      </c>
      <c r="AQ95" s="47">
        <v>0</v>
      </c>
      <c r="AR95" s="47">
        <v>0</v>
      </c>
      <c r="AS95" s="47">
        <v>0</v>
      </c>
      <c r="AT95" s="47">
        <v>0</v>
      </c>
      <c r="AU95" s="47">
        <v>0</v>
      </c>
      <c r="AV95" s="47">
        <v>0</v>
      </c>
      <c r="AW95" s="47">
        <v>0</v>
      </c>
      <c r="AX95" s="47">
        <v>0</v>
      </c>
      <c r="AY95" s="47">
        <v>0</v>
      </c>
      <c r="AZ95" s="47">
        <v>0</v>
      </c>
      <c r="BA95" s="47">
        <f t="shared" si="20"/>
        <v>0</v>
      </c>
      <c r="BB95" s="47">
        <f t="shared" si="21"/>
        <v>0</v>
      </c>
      <c r="BC95" s="47">
        <f t="shared" si="22"/>
        <v>0</v>
      </c>
      <c r="BD95" s="47">
        <f t="shared" si="23"/>
        <v>0</v>
      </c>
    </row>
    <row r="96" spans="2:57" ht="15">
      <c r="B96" s="101" t="str">
        <f>IF(Main_Parameters!$C$43="TX1 Enable","REMend",IF(G96="Disable","REMend","WR32"))</f>
        <v>WR32</v>
      </c>
      <c r="C96" s="102" t="s">
        <v>2037</v>
      </c>
      <c r="D96" s="515" t="s">
        <v>2038</v>
      </c>
      <c r="E96" s="91" t="str">
        <f>DEC2HEX(HEX2DEC(K96),8)</f>
        <v>00000015</v>
      </c>
      <c r="F96" s="92"/>
      <c r="G96" s="104" t="s">
        <v>721</v>
      </c>
      <c r="H96" s="597" t="s">
        <v>2039</v>
      </c>
      <c r="I96" s="598"/>
      <c r="J96" s="599"/>
      <c r="K96" s="516" t="s">
        <v>2040</v>
      </c>
      <c r="L96" s="120" t="str">
        <f>IF(HEX2DEC(K96)&lt;0,"NG",IF(HEX2DEC(K96)&gt;31,"NG","OK"))</f>
        <v>OK</v>
      </c>
      <c r="M96" s="103"/>
      <c r="N96" s="110"/>
      <c r="O96" s="110"/>
      <c r="P96" s="110"/>
      <c r="Q96" s="110"/>
      <c r="R96" s="110"/>
      <c r="S96" s="110"/>
      <c r="T96" s="110"/>
      <c r="U96" s="110"/>
      <c r="V96" s="110"/>
      <c r="W96" s="111"/>
      <c r="X96" s="131"/>
      <c r="AH96" s="131"/>
    </row>
    <row r="97" spans="2:56">
      <c r="B97" s="101" t="str">
        <f>IF(Main_Parameters!$C$43="TX1 Enable","REMend",IF(G97="Disable","REMend","WR32"))</f>
        <v>REMend</v>
      </c>
      <c r="C97" s="102" t="s">
        <v>2041</v>
      </c>
      <c r="D97" s="515" t="s">
        <v>2042</v>
      </c>
      <c r="E97" s="91" t="str">
        <f t="shared" ref="E97:E101" si="24">DEC2HEX(Y97*2^31+Z97*2^30+AA97*2^29+AB97*2^28+AC97*2^27+AD97*2^26+AE97*2^25+AF97*2^24+AG97*2^23+AH97*2^22+AI97*2^21+AJ97*2^20+AK97*2^19+AL97*2^18+AM97*2^17+AN97*2^16+AO97*2^15+AP97*2^14+AQ97*2^13+AR97*2^12+AS97*2^11+AT97*2^10+AU97*2^9+AV97*2^8+AW97*2^7+AX97*2^6+AY97*2^5+AZ97*2^4+BA97*2^3+BB97*2^2+BC97*2^1+BD97*2^0,8)</f>
        <v>00000000</v>
      </c>
      <c r="F97" s="92"/>
      <c r="G97" s="104" t="s">
        <v>780</v>
      </c>
      <c r="H97" s="103"/>
      <c r="I97" s="110"/>
      <c r="J97" s="110"/>
      <c r="K97" s="110"/>
      <c r="L97" s="110"/>
      <c r="M97" s="110"/>
      <c r="N97" s="119"/>
      <c r="O97" s="112"/>
      <c r="P97" s="111" t="s">
        <v>2043</v>
      </c>
      <c r="Q97" s="113" t="s">
        <v>2009</v>
      </c>
      <c r="R97" s="103"/>
      <c r="S97" s="111"/>
      <c r="T97" s="111" t="s">
        <v>2044</v>
      </c>
      <c r="U97" s="113" t="s">
        <v>2009</v>
      </c>
      <c r="V97" s="103"/>
      <c r="W97" s="111"/>
      <c r="X97" s="63"/>
      <c r="Y97" s="47">
        <v>0</v>
      </c>
      <c r="Z97" s="47">
        <v>0</v>
      </c>
      <c r="AA97" s="47">
        <v>0</v>
      </c>
      <c r="AB97" s="47">
        <v>0</v>
      </c>
      <c r="AC97" s="47">
        <v>0</v>
      </c>
      <c r="AD97" s="47">
        <v>0</v>
      </c>
      <c r="AE97" s="47">
        <v>0</v>
      </c>
      <c r="AF97" s="47">
        <v>0</v>
      </c>
      <c r="AG97" s="47">
        <v>0</v>
      </c>
      <c r="AH97" s="47">
        <v>0</v>
      </c>
      <c r="AI97" s="47">
        <v>0</v>
      </c>
      <c r="AJ97" s="47">
        <v>0</v>
      </c>
      <c r="AK97" s="47">
        <v>0</v>
      </c>
      <c r="AL97" s="47">
        <v>0</v>
      </c>
      <c r="AM97" s="47">
        <v>0</v>
      </c>
      <c r="AN97" s="47">
        <v>0</v>
      </c>
      <c r="AO97" s="47">
        <v>0</v>
      </c>
      <c r="AP97" s="47">
        <v>0</v>
      </c>
      <c r="AQ97" s="47">
        <v>0</v>
      </c>
      <c r="AR97" s="47">
        <v>0</v>
      </c>
      <c r="AS97" s="47">
        <v>0</v>
      </c>
      <c r="AT97" s="47">
        <v>0</v>
      </c>
      <c r="AU97" s="47">
        <v>0</v>
      </c>
      <c r="AV97" s="47">
        <v>0</v>
      </c>
      <c r="AW97" s="47">
        <v>0</v>
      </c>
      <c r="AX97" s="47">
        <v>0</v>
      </c>
      <c r="AY97" s="47">
        <v>0</v>
      </c>
      <c r="AZ97" s="47">
        <v>0</v>
      </c>
      <c r="BA97" s="47">
        <f t="shared" si="20"/>
        <v>0</v>
      </c>
      <c r="BB97" s="47">
        <v>0</v>
      </c>
      <c r="BC97" s="47">
        <f t="shared" si="22"/>
        <v>0</v>
      </c>
      <c r="BD97" s="47">
        <v>0</v>
      </c>
    </row>
    <row r="98" spans="2:56">
      <c r="B98" s="101" t="str">
        <f>IF(Main_Parameters!$C$43="TX1 Enable","REMend",IF(G98="Disable","REMend","WR32"))</f>
        <v>WR32</v>
      </c>
      <c r="C98" s="102" t="s">
        <v>2045</v>
      </c>
      <c r="D98" s="515" t="s">
        <v>2046</v>
      </c>
      <c r="E98" s="91" t="str">
        <f t="shared" si="24"/>
        <v>00000000</v>
      </c>
      <c r="F98" s="92"/>
      <c r="G98" s="104" t="s">
        <v>721</v>
      </c>
      <c r="H98" s="106" t="s">
        <v>2047</v>
      </c>
      <c r="I98" s="104" t="s">
        <v>2009</v>
      </c>
      <c r="J98" s="106" t="s">
        <v>2048</v>
      </c>
      <c r="K98" s="104" t="s">
        <v>2009</v>
      </c>
      <c r="L98" s="106" t="s">
        <v>2049</v>
      </c>
      <c r="M98" s="104" t="s">
        <v>2009</v>
      </c>
      <c r="N98" s="106" t="s">
        <v>2050</v>
      </c>
      <c r="O98" s="104" t="s">
        <v>2009</v>
      </c>
      <c r="P98" s="106" t="s">
        <v>2051</v>
      </c>
      <c r="Q98" s="104" t="s">
        <v>2009</v>
      </c>
      <c r="R98" s="155" t="s">
        <v>2052</v>
      </c>
      <c r="S98" s="156" t="s">
        <v>2009</v>
      </c>
      <c r="T98" s="106" t="s">
        <v>2053</v>
      </c>
      <c r="U98" s="127" t="s">
        <v>2009</v>
      </c>
      <c r="V98" s="157" t="s">
        <v>2054</v>
      </c>
      <c r="W98" s="158" t="s">
        <v>2009</v>
      </c>
      <c r="X98" s="131"/>
      <c r="Y98" s="47">
        <v>0</v>
      </c>
      <c r="Z98" s="47">
        <v>0</v>
      </c>
      <c r="AA98" s="47">
        <v>0</v>
      </c>
      <c r="AB98" s="47">
        <v>0</v>
      </c>
      <c r="AC98" s="47">
        <v>0</v>
      </c>
      <c r="AD98" s="47">
        <v>0</v>
      </c>
      <c r="AE98" s="47">
        <v>0</v>
      </c>
      <c r="AF98" s="47">
        <v>0</v>
      </c>
      <c r="AG98" s="47">
        <v>0</v>
      </c>
      <c r="AH98" s="47">
        <v>0</v>
      </c>
      <c r="AI98" s="47">
        <v>0</v>
      </c>
      <c r="AJ98" s="47">
        <v>0</v>
      </c>
      <c r="AK98" s="47">
        <v>0</v>
      </c>
      <c r="AL98" s="47">
        <v>0</v>
      </c>
      <c r="AM98" s="47">
        <v>0</v>
      </c>
      <c r="AN98" s="47">
        <v>0</v>
      </c>
      <c r="AO98" s="47">
        <v>0</v>
      </c>
      <c r="AP98" s="47">
        <v>0</v>
      </c>
      <c r="AQ98" s="47">
        <v>0</v>
      </c>
      <c r="AR98" s="47">
        <v>0</v>
      </c>
      <c r="AS98" s="47">
        <v>0</v>
      </c>
      <c r="AT98" s="47">
        <v>0</v>
      </c>
      <c r="AU98" s="47">
        <f>IF(I98="Mask",1,0)</f>
        <v>0</v>
      </c>
      <c r="AV98" s="47">
        <f t="shared" ref="AV98:AZ98" si="25">IF(K98="Mask",1,0)</f>
        <v>0</v>
      </c>
      <c r="AW98" s="47">
        <v>0</v>
      </c>
      <c r="AX98" s="47">
        <f t="shared" si="25"/>
        <v>0</v>
      </c>
      <c r="AY98" s="47">
        <v>0</v>
      </c>
      <c r="AZ98" s="47">
        <f t="shared" si="25"/>
        <v>0</v>
      </c>
      <c r="BA98" s="47">
        <f t="shared" si="20"/>
        <v>0</v>
      </c>
      <c r="BB98" s="47">
        <f t="shared" si="21"/>
        <v>0</v>
      </c>
      <c r="BC98" s="47">
        <f t="shared" si="22"/>
        <v>0</v>
      </c>
      <c r="BD98" s="47">
        <f t="shared" si="23"/>
        <v>0</v>
      </c>
    </row>
    <row r="99" spans="2:56">
      <c r="B99" s="101" t="str">
        <f>IF(Main_Parameters!$C$43="TX1 Enable","REMend",IF(G99="Disable","REMend","WR32"))</f>
        <v>WR32</v>
      </c>
      <c r="C99" s="102" t="s">
        <v>2055</v>
      </c>
      <c r="D99" s="515" t="s">
        <v>2056</v>
      </c>
      <c r="E99" s="91" t="str">
        <f t="shared" si="24"/>
        <v>00000080</v>
      </c>
      <c r="F99" s="92"/>
      <c r="G99" s="104" t="s">
        <v>721</v>
      </c>
      <c r="H99" s="595" t="s">
        <v>2057</v>
      </c>
      <c r="I99" s="596"/>
      <c r="J99" s="127" t="s">
        <v>2009</v>
      </c>
      <c r="K99" s="127" t="s">
        <v>2009</v>
      </c>
      <c r="L99" s="104" t="s">
        <v>2009</v>
      </c>
      <c r="M99" s="104" t="s">
        <v>2009</v>
      </c>
      <c r="N99" s="104" t="s">
        <v>2009</v>
      </c>
      <c r="O99" s="104" t="s">
        <v>2009</v>
      </c>
      <c r="P99" s="128" t="s">
        <v>2006</v>
      </c>
      <c r="Q99" s="127" t="s">
        <v>2009</v>
      </c>
      <c r="R99" s="139"/>
      <c r="S99" s="127" t="s">
        <v>2009</v>
      </c>
      <c r="T99" s="124" t="s">
        <v>2009</v>
      </c>
      <c r="U99" s="140"/>
      <c r="V99" s="119"/>
      <c r="W99" s="112"/>
      <c r="X99" s="131"/>
      <c r="Y99" s="47">
        <v>0</v>
      </c>
      <c r="Z99" s="47">
        <v>0</v>
      </c>
      <c r="AA99" s="47">
        <v>0</v>
      </c>
      <c r="AB99" s="47">
        <v>0</v>
      </c>
      <c r="AC99" s="47">
        <v>0</v>
      </c>
      <c r="AD99" s="47">
        <v>0</v>
      </c>
      <c r="AE99" s="47">
        <v>0</v>
      </c>
      <c r="AF99" s="47">
        <v>0</v>
      </c>
      <c r="AG99" s="47">
        <v>0</v>
      </c>
      <c r="AH99" s="47">
        <v>0</v>
      </c>
      <c r="AI99" s="47">
        <v>0</v>
      </c>
      <c r="AJ99" s="47">
        <v>0</v>
      </c>
      <c r="AK99" s="47">
        <v>0</v>
      </c>
      <c r="AL99" s="47">
        <v>0</v>
      </c>
      <c r="AM99" s="47">
        <v>0</v>
      </c>
      <c r="AN99" s="47">
        <v>0</v>
      </c>
      <c r="AO99" s="47">
        <v>0</v>
      </c>
      <c r="AP99" s="47">
        <v>0</v>
      </c>
      <c r="AQ99" s="47">
        <f t="shared" ref="AQ99:AX99" si="26">IF(J99="Mask",1,0)</f>
        <v>0</v>
      </c>
      <c r="AR99" s="47">
        <f t="shared" si="26"/>
        <v>0</v>
      </c>
      <c r="AS99" s="47">
        <f t="shared" si="26"/>
        <v>0</v>
      </c>
      <c r="AT99" s="47">
        <f t="shared" si="26"/>
        <v>0</v>
      </c>
      <c r="AU99" s="47">
        <f t="shared" si="26"/>
        <v>0</v>
      </c>
      <c r="AV99" s="47">
        <f t="shared" si="26"/>
        <v>0</v>
      </c>
      <c r="AW99" s="47">
        <f t="shared" si="26"/>
        <v>1</v>
      </c>
      <c r="AX99" s="47">
        <f t="shared" si="26"/>
        <v>0</v>
      </c>
      <c r="AY99" s="47">
        <v>0</v>
      </c>
      <c r="AZ99" s="47">
        <f>IF(S99="Mask",1,0)</f>
        <v>0</v>
      </c>
      <c r="BA99" s="47">
        <f>IF(T99="Mask",1,0)</f>
        <v>0</v>
      </c>
      <c r="BB99" s="47">
        <v>0</v>
      </c>
      <c r="BC99" s="47">
        <v>0</v>
      </c>
      <c r="BD99" s="47">
        <v>0</v>
      </c>
    </row>
    <row r="100" spans="2:56">
      <c r="B100" s="101" t="str">
        <f>IF(Main_Parameters!$C$43="TX1 Enable","REMend",IF(G100="Disable","REMend","WR32"))</f>
        <v>WR32</v>
      </c>
      <c r="C100" s="102" t="s">
        <v>2058</v>
      </c>
      <c r="D100" s="515" t="s">
        <v>2059</v>
      </c>
      <c r="E100" s="91" t="str">
        <f t="shared" si="24"/>
        <v>00000000</v>
      </c>
      <c r="F100" s="92"/>
      <c r="G100" s="104" t="s">
        <v>721</v>
      </c>
      <c r="H100" s="107"/>
      <c r="I100" s="119"/>
      <c r="J100" s="119"/>
      <c r="K100" s="112"/>
      <c r="L100" s="112" t="s">
        <v>2060</v>
      </c>
      <c r="M100" s="104" t="s">
        <v>2009</v>
      </c>
      <c r="N100" s="106" t="s">
        <v>2061</v>
      </c>
      <c r="O100" s="113" t="s">
        <v>2009</v>
      </c>
      <c r="P100" s="107"/>
      <c r="Q100" s="119"/>
      <c r="R100" s="119"/>
      <c r="S100" s="119"/>
      <c r="T100" s="119"/>
      <c r="U100" s="112"/>
      <c r="V100" s="106" t="s">
        <v>2062</v>
      </c>
      <c r="W100" s="104" t="s">
        <v>2009</v>
      </c>
      <c r="X100" s="131"/>
      <c r="Y100" s="47">
        <v>0</v>
      </c>
      <c r="Z100" s="47">
        <v>0</v>
      </c>
      <c r="AA100" s="47">
        <v>0</v>
      </c>
      <c r="AB100" s="47">
        <v>0</v>
      </c>
      <c r="AC100" s="47">
        <v>0</v>
      </c>
      <c r="AD100" s="47">
        <v>0</v>
      </c>
      <c r="AE100" s="47">
        <v>0</v>
      </c>
      <c r="AF100" s="47">
        <v>0</v>
      </c>
      <c r="AG100" s="47">
        <v>0</v>
      </c>
      <c r="AH100" s="47">
        <v>0</v>
      </c>
      <c r="AI100" s="47">
        <v>0</v>
      </c>
      <c r="AJ100" s="47">
        <v>0</v>
      </c>
      <c r="AK100" s="47">
        <v>0</v>
      </c>
      <c r="AL100" s="47">
        <v>0</v>
      </c>
      <c r="AM100" s="47">
        <v>0</v>
      </c>
      <c r="AN100" s="47">
        <v>0</v>
      </c>
      <c r="AO100" s="47">
        <v>0</v>
      </c>
      <c r="AP100" s="47">
        <v>0</v>
      </c>
      <c r="AQ100" s="47">
        <v>0</v>
      </c>
      <c r="AR100" s="47">
        <v>0</v>
      </c>
      <c r="AS100" s="47">
        <v>0</v>
      </c>
      <c r="AT100" s="47">
        <v>0</v>
      </c>
      <c r="AU100" s="47">
        <f>IF(M100="Mask",1,0)</f>
        <v>0</v>
      </c>
      <c r="AV100" s="47">
        <f>IF(O100="Mask",1,0)</f>
        <v>0</v>
      </c>
      <c r="AW100" s="47">
        <v>0</v>
      </c>
      <c r="AX100" s="47">
        <v>0</v>
      </c>
      <c r="AY100" s="47">
        <v>0</v>
      </c>
      <c r="AZ100" s="47">
        <v>0</v>
      </c>
      <c r="BA100" s="47">
        <v>0</v>
      </c>
      <c r="BB100" s="47">
        <v>0</v>
      </c>
      <c r="BC100" s="47">
        <v>0</v>
      </c>
      <c r="BD100" s="47">
        <f>IF(W100="Mask",1,0)</f>
        <v>0</v>
      </c>
    </row>
    <row r="101" spans="2:56">
      <c r="B101" s="101" t="str">
        <f>IF(Main_Parameters!$C$43="TX1 Enable","REMend",IF(G101="Disable","REMend","WR32"))</f>
        <v>REMend</v>
      </c>
      <c r="C101" s="94" t="s">
        <v>2063</v>
      </c>
      <c r="D101" s="513" t="s">
        <v>2064</v>
      </c>
      <c r="E101" s="91" t="str">
        <f t="shared" si="24"/>
        <v>00000000</v>
      </c>
      <c r="F101" s="97"/>
      <c r="G101" s="104" t="s">
        <v>780</v>
      </c>
      <c r="H101" s="107"/>
      <c r="I101" s="119"/>
      <c r="J101" s="119"/>
      <c r="K101" s="119"/>
      <c r="L101" s="119"/>
      <c r="M101" s="112"/>
      <c r="N101" s="129" t="s">
        <v>2065</v>
      </c>
      <c r="O101" s="104">
        <v>0</v>
      </c>
      <c r="P101" s="129" t="s">
        <v>2066</v>
      </c>
      <c r="Q101" s="104">
        <v>0</v>
      </c>
      <c r="R101" s="129" t="s">
        <v>2067</v>
      </c>
      <c r="S101" s="104">
        <v>0</v>
      </c>
      <c r="T101" s="129" t="s">
        <v>2068</v>
      </c>
      <c r="U101" s="104">
        <v>0</v>
      </c>
      <c r="V101" s="129" t="s">
        <v>2069</v>
      </c>
      <c r="W101" s="104">
        <v>0</v>
      </c>
      <c r="X101" s="131"/>
      <c r="Y101" s="47">
        <v>0</v>
      </c>
      <c r="Z101" s="47">
        <v>0</v>
      </c>
      <c r="AA101" s="47">
        <v>0</v>
      </c>
      <c r="AB101" s="47">
        <v>0</v>
      </c>
      <c r="AC101" s="47">
        <v>0</v>
      </c>
      <c r="AD101" s="47">
        <v>0</v>
      </c>
      <c r="AE101" s="47">
        <v>0</v>
      </c>
      <c r="AF101" s="47">
        <v>0</v>
      </c>
      <c r="AG101" s="47">
        <v>0</v>
      </c>
      <c r="AH101" s="47">
        <v>0</v>
      </c>
      <c r="AI101" s="47">
        <v>0</v>
      </c>
      <c r="AJ101" s="47">
        <v>0</v>
      </c>
      <c r="AK101" s="47">
        <v>0</v>
      </c>
      <c r="AL101" s="47">
        <v>0</v>
      </c>
      <c r="AM101" s="47">
        <v>0</v>
      </c>
      <c r="AN101" s="47">
        <f>O101</f>
        <v>0</v>
      </c>
      <c r="AO101" s="47">
        <v>0</v>
      </c>
      <c r="AP101" s="47">
        <v>0</v>
      </c>
      <c r="AQ101" s="47">
        <v>0</v>
      </c>
      <c r="AR101" s="47">
        <f>Q101</f>
        <v>0</v>
      </c>
      <c r="AS101" s="47">
        <v>0</v>
      </c>
      <c r="AT101" s="47">
        <v>0</v>
      </c>
      <c r="AU101" s="47">
        <v>0</v>
      </c>
      <c r="AV101" s="47">
        <f>S101</f>
        <v>0</v>
      </c>
      <c r="AW101" s="47">
        <v>0</v>
      </c>
      <c r="AX101" s="47">
        <v>0</v>
      </c>
      <c r="AY101" s="47">
        <v>0</v>
      </c>
      <c r="AZ101" s="47">
        <f>U101</f>
        <v>0</v>
      </c>
      <c r="BA101" s="47">
        <v>0</v>
      </c>
      <c r="BB101" s="47">
        <v>0</v>
      </c>
      <c r="BC101" s="47">
        <v>0</v>
      </c>
      <c r="BD101" s="47">
        <f>W101</f>
        <v>0</v>
      </c>
    </row>
    <row r="102" spans="2:56">
      <c r="B102" s="101" t="str">
        <f>IF(Main_Parameters!$C$43="TX1 Enable","REMend","WR32")</f>
        <v>WR32</v>
      </c>
      <c r="C102" s="94" t="s">
        <v>871</v>
      </c>
      <c r="D102" s="513" t="s">
        <v>967</v>
      </c>
      <c r="E102" s="91" t="str">
        <f>Main_Parameters!$C$137</f>
        <v>00000006</v>
      </c>
      <c r="F102" s="97"/>
      <c r="G102"/>
      <c r="H102"/>
      <c r="I102"/>
      <c r="J102"/>
      <c r="K102"/>
      <c r="L102"/>
      <c r="M102"/>
      <c r="N102"/>
      <c r="O102"/>
      <c r="P102"/>
      <c r="Q102"/>
      <c r="R102"/>
      <c r="S102"/>
      <c r="T102"/>
      <c r="U102"/>
      <c r="V102"/>
      <c r="W102"/>
      <c r="X102" s="131"/>
      <c r="AH102" s="131"/>
    </row>
    <row r="103" spans="2:56">
      <c r="B103" s="101" t="str">
        <f>IF(Main_Parameters!$C$43="TX1 Enable","REMend","WR32")</f>
        <v>WR32</v>
      </c>
      <c r="C103" s="94" t="s">
        <v>878</v>
      </c>
      <c r="D103" s="513" t="s">
        <v>968</v>
      </c>
      <c r="E103" s="91" t="str">
        <f>Main_Parameters!$C$138</f>
        <v>00240204</v>
      </c>
      <c r="F103" s="97"/>
      <c r="G103"/>
      <c r="H103"/>
      <c r="I103"/>
      <c r="J103"/>
      <c r="K103"/>
      <c r="L103"/>
      <c r="M103"/>
      <c r="N103"/>
      <c r="O103"/>
      <c r="P103"/>
      <c r="Q103"/>
      <c r="R103"/>
      <c r="S103"/>
      <c r="T103"/>
      <c r="U103"/>
      <c r="V103"/>
      <c r="W103"/>
      <c r="X103" s="131"/>
      <c r="AH103" s="131"/>
    </row>
    <row r="104" spans="2:56">
      <c r="B104" s="101" t="str">
        <f>IF(Main_Parameters!$C$43="TX1 Enable","REMend","WR32")</f>
        <v>WR32</v>
      </c>
      <c r="C104" s="94" t="s">
        <v>2070</v>
      </c>
      <c r="D104" s="513" t="s">
        <v>969</v>
      </c>
      <c r="E104" s="91" t="str">
        <f>Main_Parameters!$C$139</f>
        <v>000D0008</v>
      </c>
      <c r="F104" s="97"/>
      <c r="G104"/>
      <c r="H104"/>
      <c r="I104"/>
      <c r="J104"/>
      <c r="K104"/>
      <c r="L104"/>
      <c r="M104"/>
      <c r="N104"/>
      <c r="O104"/>
      <c r="P104"/>
      <c r="Q104"/>
      <c r="R104"/>
      <c r="S104"/>
      <c r="T104"/>
      <c r="U104"/>
      <c r="V104"/>
      <c r="W104"/>
      <c r="X104" s="131"/>
      <c r="AH104" s="131"/>
    </row>
    <row r="105" spans="2:56">
      <c r="B105" s="101" t="str">
        <f>IF(Main_Parameters!$C$43="TX1 Enable","REMend","WR32")</f>
        <v>WR32</v>
      </c>
      <c r="C105" s="94" t="s">
        <v>899</v>
      </c>
      <c r="D105" s="513" t="s">
        <v>970</v>
      </c>
      <c r="E105" s="91" t="str">
        <f>Main_Parameters!$C$140</f>
        <v>00140006</v>
      </c>
      <c r="F105" s="97"/>
      <c r="G105"/>
      <c r="H105"/>
      <c r="I105"/>
      <c r="J105"/>
      <c r="K105"/>
      <c r="L105"/>
      <c r="M105"/>
      <c r="N105"/>
      <c r="O105"/>
      <c r="P105"/>
      <c r="Q105"/>
      <c r="R105"/>
      <c r="S105"/>
      <c r="T105"/>
      <c r="U105"/>
      <c r="V105"/>
      <c r="W105"/>
      <c r="X105" s="131"/>
      <c r="AH105" s="131"/>
    </row>
    <row r="106" spans="2:56">
      <c r="B106" s="101" t="str">
        <f>IF(Main_Parameters!$C$43="TX1 Enable","REMend","WR32")</f>
        <v>WR32</v>
      </c>
      <c r="C106" s="94" t="s">
        <v>907</v>
      </c>
      <c r="D106" s="513" t="s">
        <v>971</v>
      </c>
      <c r="E106" s="91" t="str">
        <f>Main_Parameters!$C$141</f>
        <v>00004268</v>
      </c>
      <c r="F106" s="97"/>
      <c r="G106"/>
      <c r="H106"/>
      <c r="I106"/>
      <c r="J106"/>
      <c r="K106"/>
      <c r="L106"/>
      <c r="M106"/>
      <c r="N106"/>
      <c r="O106"/>
      <c r="P106"/>
      <c r="Q106"/>
      <c r="R106"/>
      <c r="S106"/>
      <c r="T106"/>
      <c r="U106"/>
      <c r="V106"/>
      <c r="W106"/>
      <c r="X106" s="131"/>
      <c r="AH106" s="131"/>
    </row>
    <row r="107" spans="2:56">
      <c r="B107" s="101" t="str">
        <f>IF(Main_Parameters!$C$43="TX1 Enable","REMend","WR32")</f>
        <v>WR32</v>
      </c>
      <c r="C107" s="94" t="s">
        <v>2071</v>
      </c>
      <c r="D107" s="513" t="s">
        <v>972</v>
      </c>
      <c r="E107" s="91" t="str">
        <f>Main_Parameters!$C$142</f>
        <v>0000000F</v>
      </c>
      <c r="F107" s="97"/>
      <c r="G107"/>
      <c r="H107"/>
      <c r="I107"/>
      <c r="J107"/>
      <c r="K107"/>
      <c r="L107"/>
      <c r="M107"/>
      <c r="N107"/>
      <c r="O107"/>
      <c r="P107"/>
      <c r="Q107"/>
      <c r="R107"/>
      <c r="S107"/>
      <c r="T107"/>
      <c r="U107"/>
      <c r="V107"/>
      <c r="W107"/>
      <c r="X107" s="131"/>
      <c r="AH107" s="131"/>
    </row>
    <row r="108" spans="2:56">
      <c r="B108" s="101" t="str">
        <f>IF(Main_Parameters!$C$43="TX1 Enable","REMend","WR32")</f>
        <v>WR32</v>
      </c>
      <c r="C108" s="94" t="s">
        <v>2072</v>
      </c>
      <c r="D108" s="513" t="s">
        <v>973</v>
      </c>
      <c r="E108" s="91" t="str">
        <f>Main_Parameters!$C$143</f>
        <v>000D0008</v>
      </c>
      <c r="F108" s="97"/>
      <c r="G108"/>
      <c r="H108"/>
      <c r="I108"/>
      <c r="J108"/>
      <c r="K108" s="130"/>
      <c r="L108"/>
      <c r="M108"/>
      <c r="N108"/>
      <c r="O108"/>
      <c r="P108"/>
      <c r="Q108"/>
      <c r="R108"/>
      <c r="S108"/>
      <c r="T108"/>
      <c r="U108"/>
      <c r="V108"/>
      <c r="W108"/>
      <c r="X108" s="131"/>
      <c r="AH108" s="131"/>
    </row>
    <row r="109" spans="2:56">
      <c r="B109" s="101" t="str">
        <f>IF(Main_Parameters!$C$43="TX1 Enable","REMend","WR32")</f>
        <v>WR32</v>
      </c>
      <c r="C109" s="94" t="s">
        <v>2073</v>
      </c>
      <c r="D109" s="513" t="s">
        <v>2074</v>
      </c>
      <c r="E109" s="511" t="s">
        <v>2075</v>
      </c>
      <c r="F109" s="97"/>
      <c r="G109"/>
      <c r="H109"/>
      <c r="I109"/>
      <c r="J109"/>
      <c r="K109"/>
      <c r="L109"/>
      <c r="M109"/>
      <c r="N109"/>
      <c r="O109"/>
      <c r="P109"/>
      <c r="Q109"/>
      <c r="R109"/>
      <c r="S109"/>
      <c r="T109"/>
      <c r="U109"/>
      <c r="V109"/>
      <c r="W109"/>
      <c r="X109" s="131"/>
      <c r="AH109" s="131"/>
    </row>
    <row r="110" spans="2:56">
      <c r="B110" s="101" t="str">
        <f>IF(Main_Parameters!$C$43="TX1 Enable","REMend","WR32")</f>
        <v>WR32</v>
      </c>
      <c r="C110" s="94" t="s">
        <v>2076</v>
      </c>
      <c r="D110" s="513" t="s">
        <v>974</v>
      </c>
      <c r="E110" s="91" t="str">
        <f>Main_Parameters!$C$145</f>
        <v>0000001F</v>
      </c>
      <c r="F110" s="97"/>
      <c r="G110"/>
      <c r="H110"/>
      <c r="I110"/>
      <c r="J110"/>
      <c r="K110"/>
      <c r="L110"/>
      <c r="M110"/>
      <c r="N110"/>
      <c r="O110"/>
      <c r="P110"/>
      <c r="Q110"/>
      <c r="R110"/>
      <c r="S110"/>
      <c r="T110"/>
      <c r="U110"/>
      <c r="V110"/>
      <c r="W110"/>
      <c r="X110" s="131"/>
      <c r="AH110" s="131"/>
    </row>
    <row r="111" spans="2:56">
      <c r="B111" s="101" t="str">
        <f>IF(Main_Parameters!$C$43="TX1 Enable","REMend","WR32")</f>
        <v>WR32</v>
      </c>
      <c r="C111" s="94" t="s">
        <v>925</v>
      </c>
      <c r="D111" s="513" t="s">
        <v>975</v>
      </c>
      <c r="E111" s="91" t="str">
        <f>Main_Parameters!$C$146</f>
        <v>00060005</v>
      </c>
      <c r="F111" s="97"/>
      <c r="G111"/>
      <c r="H111"/>
      <c r="I111"/>
      <c r="J111"/>
      <c r="K111"/>
      <c r="L111"/>
      <c r="M111"/>
      <c r="N111"/>
      <c r="O111"/>
      <c r="P111"/>
      <c r="Q111"/>
      <c r="R111"/>
      <c r="S111"/>
      <c r="T111"/>
      <c r="U111"/>
      <c r="V111"/>
      <c r="W111"/>
      <c r="X111" s="131"/>
      <c r="AH111" s="131"/>
    </row>
    <row r="112" spans="2:56">
      <c r="B112" s="101" t="str">
        <f>IF(Main_Parameters!$C$43="TX1 Enable","REMend",IF(G112="Disable","REMend","WR32"))</f>
        <v>WR32</v>
      </c>
      <c r="C112" s="94" t="s">
        <v>2077</v>
      </c>
      <c r="D112" s="513" t="s">
        <v>2078</v>
      </c>
      <c r="E112" s="91" t="str">
        <f t="shared" ref="E112:E118" si="27">DEC2HEX(Y112*2^31+Z112*2^30+AA112*2^29+AB112*2^28+AC112*2^27+AD112*2^26+AE112*2^25+AF112*2^24+AG112*2^23+AH112*2^22+AI112*2^21+AJ112*2^20+AK112*2^19+AL112*2^18+AM112*2^17+AN112*2^16+AO112*2^15+AP112*2^14+AQ112*2^13+AR112*2^12+AS112*2^11+AT112*2^10+AU112*2^9+AV112*2^8+AW112*2^7+AX112*2^6+AY112*2^5+AZ112*2^4+BA112*2^3+BB112*2^2+BC112*2^1+BD112*2^0,8)</f>
        <v>00000002</v>
      </c>
      <c r="F112" s="97"/>
      <c r="G112" s="104" t="s">
        <v>721</v>
      </c>
      <c r="H112" s="107"/>
      <c r="I112" s="119"/>
      <c r="J112" s="119"/>
      <c r="K112" s="119"/>
      <c r="L112" s="119"/>
      <c r="M112" s="112"/>
      <c r="N112" s="112" t="s">
        <v>2079</v>
      </c>
      <c r="O112" s="104" t="s">
        <v>2080</v>
      </c>
      <c r="P112" s="106" t="s">
        <v>2081</v>
      </c>
      <c r="Q112" s="104" t="s">
        <v>2080</v>
      </c>
      <c r="R112" s="106" t="s">
        <v>2082</v>
      </c>
      <c r="S112" s="104" t="s">
        <v>2080</v>
      </c>
      <c r="T112" s="106" t="s">
        <v>2083</v>
      </c>
      <c r="U112" s="104" t="s">
        <v>2080</v>
      </c>
      <c r="V112" s="106" t="s">
        <v>2084</v>
      </c>
      <c r="W112" s="104" t="s">
        <v>2085</v>
      </c>
      <c r="X112" s="131"/>
      <c r="Y112" s="47">
        <v>0</v>
      </c>
      <c r="Z112" s="47">
        <v>0</v>
      </c>
      <c r="AA112" s="47">
        <v>0</v>
      </c>
      <c r="AB112" s="47">
        <v>0</v>
      </c>
      <c r="AC112" s="47">
        <v>0</v>
      </c>
      <c r="AD112" s="47">
        <v>0</v>
      </c>
      <c r="AE112" s="47">
        <v>0</v>
      </c>
      <c r="AF112" s="47">
        <v>0</v>
      </c>
      <c r="AG112" s="47">
        <v>0</v>
      </c>
      <c r="AH112" s="47">
        <v>0</v>
      </c>
      <c r="AI112" s="47">
        <v>0</v>
      </c>
      <c r="AJ112" s="47">
        <v>0</v>
      </c>
      <c r="AK112" s="47">
        <v>0</v>
      </c>
      <c r="AL112" s="47">
        <v>0</v>
      </c>
      <c r="AM112" s="47">
        <v>0</v>
      </c>
      <c r="AN112" s="47">
        <v>0</v>
      </c>
      <c r="AO112" s="47">
        <v>0</v>
      </c>
      <c r="AP112" s="47">
        <v>0</v>
      </c>
      <c r="AQ112" s="47">
        <v>0</v>
      </c>
      <c r="AR112" s="47">
        <v>0</v>
      </c>
      <c r="AS112" s="47">
        <v>0</v>
      </c>
      <c r="AT112" s="47">
        <v>0</v>
      </c>
      <c r="AU112" s="47">
        <v>0</v>
      </c>
      <c r="AV112" s="47">
        <f t="shared" ref="AV112:AZ112" si="28">IF(O112="No Add",0,IF(O112="25% Add",2,3))</f>
        <v>0</v>
      </c>
      <c r="AW112" s="47">
        <v>0</v>
      </c>
      <c r="AX112" s="47">
        <f t="shared" si="28"/>
        <v>0</v>
      </c>
      <c r="AY112" s="47">
        <v>0</v>
      </c>
      <c r="AZ112" s="47">
        <f t="shared" si="28"/>
        <v>0</v>
      </c>
      <c r="BA112" s="47">
        <v>0</v>
      </c>
      <c r="BB112" s="47">
        <f>IF(U112="No Add",0,IF(U112="25% Add",2,3))</f>
        <v>0</v>
      </c>
      <c r="BC112" s="47">
        <v>0</v>
      </c>
      <c r="BD112" s="47">
        <f>IF(W112="No Add",0,IF(W112="25% Add",2,3))</f>
        <v>2</v>
      </c>
    </row>
    <row r="113" spans="2:57">
      <c r="B113" s="101" t="str">
        <f>IF(Main_Parameters!$C$43="TX1 Enable","REMend",IF(G113="Disable","REMend","WR32"))</f>
        <v>REMend</v>
      </c>
      <c r="C113" s="94" t="s">
        <v>2086</v>
      </c>
      <c r="D113" s="513" t="s">
        <v>2087</v>
      </c>
      <c r="E113" s="91" t="str">
        <f t="shared" si="27"/>
        <v>000002AA</v>
      </c>
      <c r="F113" s="97"/>
      <c r="G113" s="104" t="s">
        <v>780</v>
      </c>
      <c r="H113" s="107"/>
      <c r="I113" s="119"/>
      <c r="J113" s="119"/>
      <c r="K113" s="119"/>
      <c r="L113" s="119"/>
      <c r="M113" s="112"/>
      <c r="N113" s="106" t="s">
        <v>2088</v>
      </c>
      <c r="O113" s="104">
        <v>2</v>
      </c>
      <c r="P113" s="106" t="s">
        <v>2089</v>
      </c>
      <c r="Q113" s="104">
        <v>2</v>
      </c>
      <c r="R113" s="106" t="s">
        <v>2090</v>
      </c>
      <c r="S113" s="104">
        <v>2</v>
      </c>
      <c r="T113" s="106" t="s">
        <v>2091</v>
      </c>
      <c r="U113" s="104">
        <v>2</v>
      </c>
      <c r="V113" s="106" t="s">
        <v>2092</v>
      </c>
      <c r="W113" s="104">
        <v>2</v>
      </c>
      <c r="X113" s="131"/>
      <c r="Y113" s="47">
        <v>0</v>
      </c>
      <c r="Z113" s="47">
        <v>0</v>
      </c>
      <c r="AA113" s="47">
        <v>0</v>
      </c>
      <c r="AB113" s="47">
        <v>0</v>
      </c>
      <c r="AC113" s="47">
        <v>0</v>
      </c>
      <c r="AD113" s="47">
        <v>0</v>
      </c>
      <c r="AE113" s="47">
        <v>0</v>
      </c>
      <c r="AF113" s="47">
        <v>0</v>
      </c>
      <c r="AG113" s="47">
        <v>0</v>
      </c>
      <c r="AH113" s="47">
        <v>0</v>
      </c>
      <c r="AI113" s="47">
        <v>0</v>
      </c>
      <c r="AJ113" s="47">
        <v>0</v>
      </c>
      <c r="AK113" s="47">
        <v>0</v>
      </c>
      <c r="AL113" s="47">
        <v>0</v>
      </c>
      <c r="AM113" s="47">
        <v>0</v>
      </c>
      <c r="AN113" s="47">
        <v>0</v>
      </c>
      <c r="AO113" s="47">
        <v>0</v>
      </c>
      <c r="AP113" s="47">
        <v>0</v>
      </c>
      <c r="AQ113" s="47">
        <v>0</v>
      </c>
      <c r="AR113" s="47">
        <v>0</v>
      </c>
      <c r="AS113" s="47">
        <v>0</v>
      </c>
      <c r="AT113" s="47">
        <v>0</v>
      </c>
      <c r="AU113" s="47">
        <v>0</v>
      </c>
      <c r="AV113" s="47">
        <f t="shared" ref="AV113:AZ113" si="29">O113</f>
        <v>2</v>
      </c>
      <c r="AW113" s="47">
        <v>0</v>
      </c>
      <c r="AX113" s="47">
        <f t="shared" si="29"/>
        <v>2</v>
      </c>
      <c r="AY113" s="47">
        <v>0</v>
      </c>
      <c r="AZ113" s="47">
        <f t="shared" si="29"/>
        <v>2</v>
      </c>
      <c r="BA113" s="47">
        <v>0</v>
      </c>
      <c r="BB113" s="47">
        <f>U113</f>
        <v>2</v>
      </c>
      <c r="BC113" s="47">
        <v>0</v>
      </c>
      <c r="BD113" s="47">
        <f>W113</f>
        <v>2</v>
      </c>
    </row>
    <row r="114" spans="2:57">
      <c r="B114" s="101" t="str">
        <f>IF(Main_Parameters!$C$43="TX1 Enable","REMend","WR32")</f>
        <v>WR32</v>
      </c>
      <c r="C114" s="89" t="s">
        <v>2093</v>
      </c>
      <c r="D114" s="513" t="s">
        <v>2094</v>
      </c>
      <c r="E114" s="511" t="s">
        <v>1921</v>
      </c>
      <c r="F114" s="97"/>
      <c r="G114"/>
      <c r="H114"/>
      <c r="I114"/>
      <c r="J114"/>
      <c r="K114"/>
      <c r="L114"/>
      <c r="M114"/>
      <c r="N114"/>
      <c r="O114"/>
      <c r="P114"/>
      <c r="Q114"/>
      <c r="R114"/>
      <c r="S114"/>
      <c r="T114"/>
      <c r="U114"/>
      <c r="V114"/>
      <c r="W114"/>
    </row>
    <row r="115" spans="2:57">
      <c r="B115" s="141" t="s">
        <v>1032</v>
      </c>
      <c r="C115" s="142" t="s">
        <v>2131</v>
      </c>
      <c r="D115" s="143"/>
      <c r="E115" s="144"/>
      <c r="F115" s="145"/>
      <c r="G115"/>
      <c r="H115"/>
      <c r="I115"/>
      <c r="J115"/>
      <c r="K115"/>
      <c r="L115"/>
      <c r="M115"/>
      <c r="N115"/>
      <c r="O115"/>
      <c r="P115"/>
      <c r="Q115"/>
      <c r="R115"/>
      <c r="S115"/>
      <c r="T115"/>
      <c r="U115"/>
      <c r="V115"/>
      <c r="W115"/>
    </row>
    <row r="116" spans="2:57">
      <c r="B116" s="96" t="s">
        <v>1622</v>
      </c>
      <c r="C116" s="146" t="s">
        <v>2132</v>
      </c>
      <c r="D116" s="513" t="s">
        <v>2133</v>
      </c>
      <c r="E116" s="147" t="str">
        <f>IF(Main_Parameters!$C$43="TX0 Enable","0000",IF(Main_Parameters!$C$43="TX1 Enable","0002","0004"))</f>
        <v>0004</v>
      </c>
      <c r="F116" s="92"/>
      <c r="G116"/>
      <c r="H116"/>
      <c r="I116"/>
      <c r="J116"/>
      <c r="K116"/>
      <c r="L116"/>
      <c r="M116"/>
      <c r="N116"/>
      <c r="O116"/>
      <c r="P116"/>
      <c r="Q116"/>
      <c r="R116"/>
      <c r="S116"/>
      <c r="T116"/>
      <c r="U116"/>
      <c r="V116"/>
      <c r="W116"/>
    </row>
    <row r="117" spans="2:57" ht="15">
      <c r="B117" s="93" t="s">
        <v>2207</v>
      </c>
      <c r="C117" s="102" t="s">
        <v>2134</v>
      </c>
      <c r="D117" s="515" t="s">
        <v>958</v>
      </c>
      <c r="E117" s="91" t="str">
        <f t="shared" si="27"/>
        <v>00000016</v>
      </c>
      <c r="F117" s="92"/>
      <c r="G117"/>
      <c r="H117" s="103"/>
      <c r="I117" s="110"/>
      <c r="J117" s="110"/>
      <c r="K117" s="110"/>
      <c r="L117" s="110"/>
      <c r="M117" s="111"/>
      <c r="N117" s="106" t="s">
        <v>2135</v>
      </c>
      <c r="O117" s="54" t="s">
        <v>2136</v>
      </c>
      <c r="P117" s="106"/>
      <c r="Q117" s="153"/>
      <c r="R117" s="112" t="s">
        <v>2137</v>
      </c>
      <c r="S117" s="159" t="s">
        <v>1305</v>
      </c>
      <c r="T117" s="112" t="s">
        <v>2138</v>
      </c>
      <c r="U117" s="159" t="str">
        <f>Main_Parameters!$M$24</f>
        <v>L Active</v>
      </c>
      <c r="V117" s="107"/>
      <c r="W117" s="112"/>
      <c r="X117" s="131"/>
      <c r="Y117" s="64">
        <v>0</v>
      </c>
      <c r="Z117" s="64">
        <v>0</v>
      </c>
      <c r="AA117" s="64">
        <v>0</v>
      </c>
      <c r="AB117" s="64">
        <v>0</v>
      </c>
      <c r="AC117" s="64">
        <v>0</v>
      </c>
      <c r="AD117" s="64">
        <v>0</v>
      </c>
      <c r="AE117" s="64">
        <v>0</v>
      </c>
      <c r="AF117" s="64">
        <v>0</v>
      </c>
      <c r="AG117" s="64">
        <v>0</v>
      </c>
      <c r="AH117" s="64">
        <v>0</v>
      </c>
      <c r="AI117" s="64">
        <v>0</v>
      </c>
      <c r="AJ117" s="64">
        <v>0</v>
      </c>
      <c r="AK117" s="64">
        <v>0</v>
      </c>
      <c r="AL117" s="64">
        <v>0</v>
      </c>
      <c r="AM117" s="64">
        <v>0</v>
      </c>
      <c r="AN117" s="64">
        <v>0</v>
      </c>
      <c r="AO117" s="64">
        <v>0</v>
      </c>
      <c r="AP117" s="64">
        <v>0</v>
      </c>
      <c r="AQ117" s="64">
        <v>0</v>
      </c>
      <c r="AR117" s="64">
        <v>0</v>
      </c>
      <c r="AS117" s="64">
        <v>0</v>
      </c>
      <c r="AT117" s="64">
        <v>0</v>
      </c>
      <c r="AU117" s="64">
        <v>0</v>
      </c>
      <c r="AV117" s="64">
        <v>0</v>
      </c>
      <c r="AW117" s="64">
        <v>0</v>
      </c>
      <c r="AX117" s="64">
        <v>0</v>
      </c>
      <c r="AY117" s="64">
        <v>0</v>
      </c>
      <c r="AZ117" s="64">
        <f>IF(O117="LP",1,0)</f>
        <v>1</v>
      </c>
      <c r="BA117" s="64">
        <v>0</v>
      </c>
      <c r="BB117" s="64">
        <f>IF(S117="H Active",0,1)</f>
        <v>1</v>
      </c>
      <c r="BC117" s="64">
        <f>IF(U117="H Active",0,1)</f>
        <v>1</v>
      </c>
      <c r="BD117" s="64">
        <v>0</v>
      </c>
      <c r="BE117" s="131"/>
    </row>
    <row r="118" spans="2:57" ht="15">
      <c r="B118" s="93" t="s">
        <v>2207</v>
      </c>
      <c r="C118" s="102" t="s">
        <v>2134</v>
      </c>
      <c r="D118" s="515" t="s">
        <v>977</v>
      </c>
      <c r="E118" s="91" t="str">
        <f t="shared" si="27"/>
        <v>00000016</v>
      </c>
      <c r="F118" s="92"/>
      <c r="G118"/>
      <c r="H118" s="103"/>
      <c r="I118" s="110"/>
      <c r="J118" s="110"/>
      <c r="K118" s="110"/>
      <c r="L118" s="110"/>
      <c r="M118" s="111"/>
      <c r="N118" s="112" t="s">
        <v>2135</v>
      </c>
      <c r="O118" s="154" t="s">
        <v>2136</v>
      </c>
      <c r="P118" s="106"/>
      <c r="Q118" s="114"/>
      <c r="R118" s="112" t="s">
        <v>2137</v>
      </c>
      <c r="S118" s="159" t="s">
        <v>1305</v>
      </c>
      <c r="T118" s="112" t="s">
        <v>2138</v>
      </c>
      <c r="U118" s="159" t="str">
        <f>Main_Parameters!$M$24</f>
        <v>L Active</v>
      </c>
      <c r="V118" s="107"/>
      <c r="W118" s="112"/>
      <c r="X118" s="131"/>
      <c r="Y118" s="64">
        <v>0</v>
      </c>
      <c r="Z118" s="64">
        <v>0</v>
      </c>
      <c r="AA118" s="64">
        <v>0</v>
      </c>
      <c r="AB118" s="64">
        <v>0</v>
      </c>
      <c r="AC118" s="64">
        <v>0</v>
      </c>
      <c r="AD118" s="64">
        <v>0</v>
      </c>
      <c r="AE118" s="64">
        <v>0</v>
      </c>
      <c r="AF118" s="64">
        <v>0</v>
      </c>
      <c r="AG118" s="64">
        <v>0</v>
      </c>
      <c r="AH118" s="64">
        <v>0</v>
      </c>
      <c r="AI118" s="64">
        <v>0</v>
      </c>
      <c r="AJ118" s="64">
        <v>0</v>
      </c>
      <c r="AK118" s="64">
        <v>0</v>
      </c>
      <c r="AL118" s="64">
        <v>0</v>
      </c>
      <c r="AM118" s="64">
        <v>0</v>
      </c>
      <c r="AN118" s="64">
        <v>0</v>
      </c>
      <c r="AO118" s="64">
        <v>0</v>
      </c>
      <c r="AP118" s="64">
        <v>0</v>
      </c>
      <c r="AQ118" s="64">
        <v>0</v>
      </c>
      <c r="AR118" s="64">
        <v>0</v>
      </c>
      <c r="AS118" s="64">
        <v>0</v>
      </c>
      <c r="AT118" s="64">
        <v>0</v>
      </c>
      <c r="AU118" s="64">
        <v>0</v>
      </c>
      <c r="AV118" s="64">
        <v>0</v>
      </c>
      <c r="AW118" s="64">
        <v>0</v>
      </c>
      <c r="AX118" s="64">
        <v>0</v>
      </c>
      <c r="AY118" s="64">
        <v>0</v>
      </c>
      <c r="AZ118" s="64">
        <f>IF(O118="LP",1,0)</f>
        <v>1</v>
      </c>
      <c r="BA118" s="64">
        <v>0</v>
      </c>
      <c r="BB118" s="64">
        <f>IF(S118="H Active",0,1)</f>
        <v>1</v>
      </c>
      <c r="BC118" s="64">
        <f>IF(U118="H Active",0,1)</f>
        <v>1</v>
      </c>
      <c r="BD118" s="64">
        <v>0</v>
      </c>
      <c r="BE118" s="131"/>
    </row>
    <row r="119" spans="2:57" outlineLevel="1">
      <c r="B119" s="148" t="s">
        <v>1032</v>
      </c>
      <c r="C119" s="149" t="s">
        <v>2139</v>
      </c>
      <c r="D119" s="150"/>
      <c r="E119" s="151"/>
      <c r="F119" s="152"/>
      <c r="G119"/>
      <c r="H119"/>
      <c r="I119"/>
      <c r="J119"/>
      <c r="K119"/>
      <c r="L119"/>
      <c r="M119"/>
      <c r="N119"/>
      <c r="O119"/>
      <c r="P119"/>
      <c r="Q119"/>
      <c r="R119"/>
      <c r="S119"/>
      <c r="T119"/>
      <c r="U119"/>
      <c r="V119"/>
      <c r="W119"/>
    </row>
    <row r="120" spans="2:57" outlineLevel="1">
      <c r="B120" s="148" t="s">
        <v>1032</v>
      </c>
      <c r="C120" s="149" t="s">
        <v>2140</v>
      </c>
      <c r="D120" s="150"/>
      <c r="E120" s="151"/>
      <c r="F120" s="152"/>
      <c r="G120"/>
      <c r="H120"/>
      <c r="I120"/>
      <c r="J120"/>
      <c r="K120"/>
      <c r="L120"/>
      <c r="M120"/>
      <c r="N120"/>
      <c r="O120"/>
      <c r="P120"/>
      <c r="Q120"/>
      <c r="R120"/>
      <c r="S120"/>
      <c r="T120"/>
      <c r="U120"/>
      <c r="V120"/>
      <c r="W120"/>
    </row>
    <row r="121" spans="2:57" outlineLevel="1">
      <c r="B121" s="148" t="s">
        <v>1622</v>
      </c>
      <c r="C121" s="149" t="s">
        <v>2141</v>
      </c>
      <c r="D121" s="517" t="s">
        <v>2142</v>
      </c>
      <c r="E121" s="518" t="s">
        <v>2143</v>
      </c>
      <c r="F121" s="152"/>
      <c r="G121"/>
      <c r="H121"/>
      <c r="I121"/>
      <c r="J121"/>
      <c r="K121"/>
      <c r="L121"/>
      <c r="M121"/>
      <c r="N121"/>
      <c r="O121"/>
      <c r="P121"/>
      <c r="Q121"/>
      <c r="R121"/>
      <c r="S121"/>
      <c r="T121"/>
      <c r="U121"/>
      <c r="V121"/>
      <c r="W121"/>
    </row>
    <row r="122" spans="2:57" outlineLevel="1">
      <c r="B122" s="148" t="s">
        <v>1622</v>
      </c>
      <c r="C122" s="149" t="s">
        <v>2141</v>
      </c>
      <c r="D122" s="517" t="s">
        <v>2142</v>
      </c>
      <c r="E122" s="518" t="s">
        <v>1863</v>
      </c>
      <c r="F122" s="152"/>
      <c r="G122"/>
      <c r="H122"/>
      <c r="I122"/>
      <c r="J122"/>
      <c r="K122"/>
      <c r="L122"/>
      <c r="M122"/>
      <c r="N122"/>
      <c r="O122"/>
      <c r="P122"/>
      <c r="Q122"/>
      <c r="R122"/>
      <c r="S122"/>
      <c r="T122"/>
      <c r="U122"/>
      <c r="V122"/>
      <c r="W122"/>
    </row>
    <row r="123" spans="2:57" outlineLevel="1">
      <c r="B123" s="148" t="s">
        <v>1872</v>
      </c>
      <c r="C123" s="149"/>
      <c r="D123" s="151">
        <v>5000</v>
      </c>
      <c r="E123" s="151"/>
      <c r="F123" s="152"/>
      <c r="G123"/>
      <c r="H123"/>
      <c r="I123"/>
      <c r="J123"/>
      <c r="K123"/>
      <c r="L123"/>
      <c r="M123"/>
      <c r="N123"/>
      <c r="O123"/>
      <c r="P123"/>
      <c r="Q123"/>
      <c r="R123"/>
      <c r="S123"/>
      <c r="T123"/>
      <c r="U123"/>
      <c r="V123"/>
      <c r="W123"/>
    </row>
    <row r="124" spans="2:57" outlineLevel="1">
      <c r="B124" s="148" t="s">
        <v>1032</v>
      </c>
      <c r="C124" s="149" t="s">
        <v>2144</v>
      </c>
      <c r="D124" s="150"/>
      <c r="E124" s="151"/>
      <c r="F124" s="152"/>
      <c r="G124"/>
      <c r="H124"/>
      <c r="I124"/>
      <c r="J124"/>
      <c r="K124"/>
      <c r="L124"/>
      <c r="M124"/>
      <c r="N124"/>
      <c r="O124"/>
      <c r="P124"/>
      <c r="Q124"/>
      <c r="R124"/>
      <c r="S124"/>
      <c r="T124"/>
      <c r="U124"/>
      <c r="V124"/>
      <c r="W124"/>
    </row>
    <row r="125" spans="2:57" outlineLevel="1">
      <c r="B125" s="148" t="s">
        <v>1622</v>
      </c>
      <c r="C125" s="149" t="s">
        <v>2141</v>
      </c>
      <c r="D125" s="517" t="s">
        <v>2142</v>
      </c>
      <c r="E125" s="518" t="s">
        <v>2145</v>
      </c>
      <c r="F125" s="152"/>
      <c r="G125"/>
      <c r="H125"/>
      <c r="I125"/>
      <c r="J125"/>
      <c r="K125"/>
      <c r="L125"/>
      <c r="M125"/>
      <c r="N125"/>
      <c r="O125"/>
      <c r="P125"/>
      <c r="Q125"/>
      <c r="R125"/>
      <c r="S125"/>
      <c r="T125"/>
      <c r="U125"/>
      <c r="V125"/>
      <c r="W125"/>
    </row>
    <row r="126" spans="2:57" outlineLevel="1">
      <c r="B126" s="148" t="s">
        <v>1622</v>
      </c>
      <c r="C126" s="149" t="s">
        <v>2141</v>
      </c>
      <c r="D126" s="517" t="s">
        <v>2142</v>
      </c>
      <c r="E126" s="518" t="s">
        <v>2146</v>
      </c>
      <c r="F126" s="152"/>
      <c r="G126"/>
      <c r="H126"/>
      <c r="I126"/>
      <c r="J126"/>
      <c r="K126"/>
      <c r="L126"/>
      <c r="M126"/>
      <c r="N126"/>
      <c r="O126"/>
      <c r="P126"/>
      <c r="Q126"/>
      <c r="R126"/>
      <c r="S126"/>
      <c r="T126"/>
      <c r="U126"/>
      <c r="V126"/>
      <c r="W126"/>
    </row>
    <row r="127" spans="2:57" outlineLevel="1">
      <c r="B127" s="148" t="s">
        <v>1872</v>
      </c>
      <c r="C127" s="149"/>
      <c r="D127" s="151">
        <v>200</v>
      </c>
      <c r="E127" s="151"/>
      <c r="F127" s="152"/>
      <c r="G127"/>
      <c r="H127"/>
      <c r="I127"/>
      <c r="J127"/>
      <c r="K127"/>
      <c r="L127"/>
      <c r="M127"/>
      <c r="N127"/>
      <c r="O127"/>
      <c r="P127"/>
      <c r="Q127"/>
      <c r="R127"/>
      <c r="S127"/>
      <c r="T127"/>
      <c r="U127"/>
      <c r="V127"/>
      <c r="W127"/>
    </row>
    <row r="128" spans="2:57" outlineLevel="1">
      <c r="B128" s="148" t="s">
        <v>1032</v>
      </c>
      <c r="C128" s="149" t="s">
        <v>2147</v>
      </c>
      <c r="D128" s="150"/>
      <c r="E128" s="151"/>
      <c r="F128" s="152"/>
      <c r="G128"/>
      <c r="H128"/>
      <c r="I128"/>
      <c r="J128"/>
      <c r="K128"/>
      <c r="L128"/>
      <c r="M128"/>
      <c r="N128"/>
      <c r="O128"/>
      <c r="P128"/>
      <c r="Q128"/>
      <c r="R128"/>
      <c r="S128"/>
      <c r="T128"/>
      <c r="U128"/>
      <c r="V128"/>
      <c r="W128"/>
    </row>
    <row r="129" spans="2:23" outlineLevel="1">
      <c r="B129" s="148" t="s">
        <v>1622</v>
      </c>
      <c r="C129" s="149" t="s">
        <v>2141</v>
      </c>
      <c r="D129" s="517" t="s">
        <v>2142</v>
      </c>
      <c r="E129" s="518" t="s">
        <v>2148</v>
      </c>
      <c r="F129" s="152"/>
      <c r="G129"/>
      <c r="H129"/>
      <c r="I129"/>
      <c r="J129"/>
      <c r="K129"/>
      <c r="L129"/>
      <c r="M129"/>
      <c r="N129"/>
      <c r="O129"/>
      <c r="P129"/>
      <c r="Q129"/>
      <c r="R129"/>
      <c r="S129"/>
      <c r="T129"/>
      <c r="U129"/>
      <c r="V129"/>
      <c r="W129"/>
    </row>
    <row r="130" spans="2:23" outlineLevel="1">
      <c r="B130" s="148" t="s">
        <v>1622</v>
      </c>
      <c r="C130" s="149" t="s">
        <v>2141</v>
      </c>
      <c r="D130" s="517" t="s">
        <v>2142</v>
      </c>
      <c r="E130" s="518" t="s">
        <v>2143</v>
      </c>
      <c r="F130" s="152"/>
      <c r="G130"/>
      <c r="H130"/>
      <c r="I130"/>
      <c r="J130"/>
      <c r="K130"/>
      <c r="L130"/>
      <c r="M130"/>
      <c r="N130"/>
      <c r="O130"/>
      <c r="P130"/>
      <c r="Q130"/>
      <c r="R130"/>
      <c r="S130"/>
      <c r="T130"/>
      <c r="U130"/>
      <c r="V130"/>
      <c r="W130"/>
    </row>
    <row r="131" spans="2:23" outlineLevel="1">
      <c r="B131" s="148" t="s">
        <v>1622</v>
      </c>
      <c r="C131" s="149" t="s">
        <v>2141</v>
      </c>
      <c r="D131" s="517" t="s">
        <v>2142</v>
      </c>
      <c r="E131" s="518" t="s">
        <v>2013</v>
      </c>
      <c r="F131" s="152"/>
      <c r="G131"/>
      <c r="H131"/>
      <c r="I131"/>
      <c r="J131"/>
      <c r="K131"/>
      <c r="L131"/>
      <c r="M131"/>
      <c r="N131"/>
      <c r="O131"/>
      <c r="P131"/>
      <c r="Q131"/>
      <c r="R131"/>
      <c r="S131"/>
      <c r="T131"/>
      <c r="U131"/>
      <c r="V131"/>
      <c r="W131"/>
    </row>
    <row r="132" spans="2:23" outlineLevel="1">
      <c r="B132" s="148" t="s">
        <v>1622</v>
      </c>
      <c r="C132" s="149" t="s">
        <v>2141</v>
      </c>
      <c r="D132" s="517" t="s">
        <v>2142</v>
      </c>
      <c r="E132" s="518" t="s">
        <v>2149</v>
      </c>
      <c r="F132" s="152"/>
      <c r="G132"/>
      <c r="H132"/>
      <c r="I132"/>
      <c r="J132"/>
      <c r="K132"/>
      <c r="L132"/>
      <c r="M132"/>
      <c r="N132"/>
      <c r="O132"/>
      <c r="P132"/>
      <c r="Q132"/>
      <c r="R132"/>
      <c r="S132"/>
      <c r="T132"/>
      <c r="U132"/>
      <c r="V132"/>
      <c r="W132"/>
    </row>
    <row r="133" spans="2:23" outlineLevel="1">
      <c r="B133" s="148" t="s">
        <v>1622</v>
      </c>
      <c r="C133" s="149" t="s">
        <v>2141</v>
      </c>
      <c r="D133" s="517" t="s">
        <v>2142</v>
      </c>
      <c r="E133" s="518" t="s">
        <v>2150</v>
      </c>
      <c r="F133" s="152"/>
      <c r="G133"/>
      <c r="H133"/>
      <c r="I133"/>
      <c r="J133"/>
      <c r="K133"/>
      <c r="L133"/>
      <c r="M133"/>
      <c r="N133"/>
      <c r="O133"/>
      <c r="P133"/>
      <c r="Q133"/>
      <c r="R133"/>
      <c r="S133"/>
      <c r="T133"/>
      <c r="U133"/>
      <c r="V133"/>
      <c r="W133"/>
    </row>
    <row r="134" spans="2:23" outlineLevel="1">
      <c r="B134" s="148" t="s">
        <v>1872</v>
      </c>
      <c r="C134" s="149"/>
      <c r="D134" s="151">
        <v>200</v>
      </c>
      <c r="E134" s="151"/>
      <c r="F134" s="152"/>
      <c r="G134"/>
      <c r="H134"/>
      <c r="I134"/>
      <c r="J134"/>
      <c r="K134"/>
      <c r="L134"/>
      <c r="M134"/>
      <c r="N134"/>
      <c r="O134"/>
      <c r="P134"/>
      <c r="Q134"/>
      <c r="R134"/>
      <c r="S134"/>
      <c r="T134"/>
      <c r="U134"/>
      <c r="V134"/>
      <c r="W134"/>
    </row>
    <row r="135" spans="2:23" outlineLevel="1">
      <c r="B135" s="148" t="s">
        <v>1032</v>
      </c>
      <c r="C135" s="149" t="s">
        <v>2151</v>
      </c>
      <c r="D135" s="150"/>
      <c r="E135" s="151"/>
      <c r="F135" s="152"/>
      <c r="G135"/>
      <c r="H135"/>
      <c r="I135"/>
      <c r="J135"/>
      <c r="K135"/>
      <c r="L135"/>
      <c r="M135"/>
      <c r="N135"/>
      <c r="O135"/>
      <c r="P135"/>
      <c r="Q135"/>
      <c r="R135"/>
      <c r="S135"/>
      <c r="T135"/>
      <c r="U135"/>
      <c r="V135"/>
      <c r="W135"/>
    </row>
    <row r="136" spans="2:23" outlineLevel="1">
      <c r="B136" s="148" t="s">
        <v>1622</v>
      </c>
      <c r="C136" s="149" t="s">
        <v>2141</v>
      </c>
      <c r="D136" s="517" t="s">
        <v>2142</v>
      </c>
      <c r="E136" s="518" t="s">
        <v>2148</v>
      </c>
      <c r="F136" s="152"/>
      <c r="G136"/>
      <c r="H136"/>
      <c r="I136"/>
      <c r="J136"/>
      <c r="K136"/>
      <c r="L136"/>
      <c r="M136"/>
      <c r="N136"/>
      <c r="O136"/>
      <c r="P136"/>
      <c r="Q136"/>
      <c r="R136"/>
      <c r="S136"/>
      <c r="T136"/>
      <c r="U136"/>
      <c r="V136"/>
      <c r="W136"/>
    </row>
    <row r="137" spans="2:23" outlineLevel="1">
      <c r="B137" s="148" t="s">
        <v>1622</v>
      </c>
      <c r="C137" s="149" t="s">
        <v>2141</v>
      </c>
      <c r="D137" s="517" t="s">
        <v>2142</v>
      </c>
      <c r="E137" s="518" t="s">
        <v>2143</v>
      </c>
      <c r="F137" s="152"/>
      <c r="G137"/>
      <c r="H137"/>
      <c r="I137"/>
      <c r="J137"/>
      <c r="K137"/>
      <c r="L137"/>
      <c r="M137"/>
      <c r="N137"/>
      <c r="O137"/>
      <c r="P137"/>
      <c r="Q137"/>
      <c r="R137"/>
      <c r="S137"/>
      <c r="T137"/>
      <c r="U137"/>
      <c r="V137"/>
      <c r="W137"/>
    </row>
    <row r="138" spans="2:23" outlineLevel="1">
      <c r="B138" s="148" t="s">
        <v>1622</v>
      </c>
      <c r="C138" s="149" t="s">
        <v>2141</v>
      </c>
      <c r="D138" s="517" t="s">
        <v>2142</v>
      </c>
      <c r="E138" s="518" t="s">
        <v>2152</v>
      </c>
      <c r="F138" s="152"/>
      <c r="G138"/>
      <c r="H138"/>
      <c r="I138"/>
      <c r="J138"/>
      <c r="K138"/>
      <c r="L138"/>
      <c r="M138"/>
      <c r="N138"/>
      <c r="O138"/>
      <c r="P138"/>
      <c r="Q138"/>
      <c r="R138"/>
      <c r="S138"/>
      <c r="T138"/>
      <c r="U138"/>
      <c r="V138"/>
      <c r="W138"/>
    </row>
    <row r="139" spans="2:23" outlineLevel="1">
      <c r="B139" s="148" t="s">
        <v>1622</v>
      </c>
      <c r="C139" s="149" t="s">
        <v>2141</v>
      </c>
      <c r="D139" s="517" t="s">
        <v>2142</v>
      </c>
      <c r="E139" s="518" t="s">
        <v>2153</v>
      </c>
      <c r="F139" s="152"/>
      <c r="G139"/>
      <c r="H139"/>
      <c r="I139"/>
      <c r="J139"/>
      <c r="K139"/>
      <c r="L139"/>
      <c r="M139"/>
      <c r="N139"/>
      <c r="O139"/>
      <c r="P139"/>
      <c r="Q139"/>
      <c r="R139"/>
      <c r="S139"/>
      <c r="T139"/>
      <c r="U139"/>
      <c r="V139"/>
      <c r="W139"/>
    </row>
    <row r="140" spans="2:23" outlineLevel="1">
      <c r="B140" s="148" t="s">
        <v>1622</v>
      </c>
      <c r="C140" s="149" t="s">
        <v>2141</v>
      </c>
      <c r="D140" s="517" t="s">
        <v>2142</v>
      </c>
      <c r="E140" s="518" t="s">
        <v>2154</v>
      </c>
      <c r="F140" s="152"/>
      <c r="G140"/>
      <c r="H140"/>
      <c r="I140"/>
      <c r="J140"/>
      <c r="K140"/>
      <c r="L140"/>
      <c r="M140"/>
      <c r="N140"/>
      <c r="O140"/>
      <c r="P140"/>
      <c r="Q140"/>
      <c r="R140"/>
      <c r="S140"/>
      <c r="T140"/>
      <c r="U140"/>
      <c r="V140"/>
      <c r="W140"/>
    </row>
    <row r="141" spans="2:23" outlineLevel="1">
      <c r="B141" s="148" t="s">
        <v>1872</v>
      </c>
      <c r="C141" s="149"/>
      <c r="D141" s="151">
        <v>200</v>
      </c>
      <c r="E141" s="151"/>
      <c r="F141" s="152"/>
      <c r="G141"/>
      <c r="H141"/>
      <c r="I141"/>
      <c r="J141"/>
      <c r="K141"/>
      <c r="L141"/>
      <c r="M141"/>
      <c r="N141"/>
      <c r="O141"/>
      <c r="P141"/>
      <c r="Q141"/>
      <c r="R141"/>
      <c r="S141"/>
      <c r="T141"/>
      <c r="U141"/>
      <c r="V141"/>
      <c r="W141"/>
    </row>
    <row r="142" spans="2:23" outlineLevel="1">
      <c r="B142" s="148" t="s">
        <v>1032</v>
      </c>
      <c r="C142" s="149" t="s">
        <v>2155</v>
      </c>
      <c r="D142" s="150"/>
      <c r="E142" s="151"/>
      <c r="F142" s="152"/>
      <c r="G142"/>
      <c r="H142"/>
      <c r="I142"/>
      <c r="J142"/>
      <c r="K142"/>
      <c r="L142"/>
      <c r="M142"/>
      <c r="N142"/>
      <c r="O142"/>
      <c r="P142"/>
      <c r="Q142"/>
      <c r="R142"/>
      <c r="S142"/>
      <c r="T142"/>
      <c r="U142"/>
      <c r="V142"/>
      <c r="W142"/>
    </row>
    <row r="143" spans="2:23" outlineLevel="1">
      <c r="B143" s="148" t="s">
        <v>1622</v>
      </c>
      <c r="C143" s="149" t="s">
        <v>2141</v>
      </c>
      <c r="D143" s="517" t="s">
        <v>2142</v>
      </c>
      <c r="E143" s="518" t="s">
        <v>2145</v>
      </c>
      <c r="F143" s="152"/>
      <c r="G143"/>
      <c r="H143"/>
      <c r="I143"/>
      <c r="J143"/>
      <c r="K143"/>
      <c r="L143"/>
      <c r="M143"/>
      <c r="N143"/>
      <c r="O143"/>
      <c r="P143"/>
      <c r="Q143"/>
      <c r="R143"/>
      <c r="S143"/>
      <c r="T143"/>
      <c r="U143"/>
      <c r="V143"/>
      <c r="W143"/>
    </row>
    <row r="144" spans="2:23" outlineLevel="1">
      <c r="B144" s="148" t="s">
        <v>1622</v>
      </c>
      <c r="C144" s="149" t="s">
        <v>2141</v>
      </c>
      <c r="D144" s="517" t="s">
        <v>2142</v>
      </c>
      <c r="E144" s="518" t="s">
        <v>2156</v>
      </c>
      <c r="F144" s="152"/>
      <c r="G144"/>
      <c r="H144"/>
      <c r="I144"/>
      <c r="J144"/>
      <c r="K144"/>
      <c r="L144"/>
      <c r="M144"/>
      <c r="N144"/>
      <c r="O144"/>
      <c r="P144"/>
      <c r="Q144"/>
      <c r="R144"/>
      <c r="S144"/>
      <c r="T144"/>
      <c r="U144"/>
      <c r="V144"/>
      <c r="W144"/>
    </row>
    <row r="145" spans="2:23" outlineLevel="1">
      <c r="B145" s="148" t="s">
        <v>1872</v>
      </c>
      <c r="C145" s="149"/>
      <c r="D145" s="151">
        <v>200</v>
      </c>
      <c r="E145" s="151"/>
      <c r="F145" s="152"/>
      <c r="G145"/>
      <c r="H145"/>
      <c r="I145"/>
      <c r="J145"/>
      <c r="K145"/>
      <c r="L145"/>
      <c r="M145"/>
      <c r="N145"/>
      <c r="O145"/>
      <c r="P145"/>
      <c r="Q145"/>
      <c r="R145"/>
      <c r="S145"/>
      <c r="T145"/>
      <c r="U145"/>
      <c r="V145"/>
      <c r="W145"/>
    </row>
    <row r="146" spans="2:23" outlineLevel="1">
      <c r="B146" s="148" t="s">
        <v>1032</v>
      </c>
      <c r="C146" s="149" t="s">
        <v>2157</v>
      </c>
      <c r="D146" s="150"/>
      <c r="E146" s="151"/>
      <c r="F146" s="152"/>
      <c r="G146"/>
      <c r="H146"/>
      <c r="I146"/>
      <c r="J146"/>
      <c r="K146"/>
      <c r="L146"/>
      <c r="M146"/>
      <c r="N146"/>
      <c r="O146"/>
      <c r="P146"/>
      <c r="Q146"/>
      <c r="R146"/>
      <c r="S146"/>
      <c r="T146"/>
      <c r="U146"/>
      <c r="V146"/>
      <c r="W146"/>
    </row>
    <row r="147" spans="2:23" outlineLevel="1">
      <c r="B147" s="148" t="s">
        <v>1622</v>
      </c>
      <c r="C147" s="149" t="s">
        <v>2141</v>
      </c>
      <c r="D147" s="517" t="s">
        <v>2142</v>
      </c>
      <c r="E147" s="518" t="s">
        <v>2148</v>
      </c>
      <c r="F147" s="152"/>
      <c r="G147"/>
      <c r="H147"/>
      <c r="I147"/>
      <c r="J147"/>
      <c r="K147"/>
      <c r="L147"/>
      <c r="M147"/>
      <c r="N147"/>
      <c r="O147"/>
      <c r="P147"/>
      <c r="Q147"/>
      <c r="R147"/>
      <c r="S147"/>
      <c r="T147"/>
      <c r="U147"/>
      <c r="V147"/>
      <c r="W147"/>
    </row>
    <row r="148" spans="2:23" outlineLevel="1">
      <c r="B148" s="148" t="s">
        <v>1622</v>
      </c>
      <c r="C148" s="149" t="s">
        <v>2141</v>
      </c>
      <c r="D148" s="517" t="s">
        <v>2142</v>
      </c>
      <c r="E148" s="518" t="s">
        <v>2158</v>
      </c>
      <c r="F148" s="152"/>
      <c r="G148"/>
      <c r="H148"/>
      <c r="I148"/>
      <c r="J148"/>
      <c r="K148"/>
      <c r="L148"/>
      <c r="M148"/>
      <c r="N148"/>
      <c r="O148"/>
      <c r="P148"/>
      <c r="Q148"/>
      <c r="R148"/>
      <c r="S148"/>
      <c r="T148"/>
      <c r="U148"/>
      <c r="V148"/>
      <c r="W148"/>
    </row>
    <row r="149" spans="2:23" outlineLevel="1">
      <c r="B149" s="148" t="s">
        <v>1622</v>
      </c>
      <c r="C149" s="149" t="s">
        <v>2141</v>
      </c>
      <c r="D149" s="517" t="s">
        <v>2142</v>
      </c>
      <c r="E149" s="518" t="s">
        <v>2159</v>
      </c>
      <c r="F149" s="152"/>
      <c r="G149"/>
      <c r="H149"/>
      <c r="I149"/>
      <c r="J149"/>
      <c r="K149"/>
      <c r="L149"/>
      <c r="M149"/>
      <c r="N149"/>
      <c r="O149"/>
      <c r="P149"/>
      <c r="Q149"/>
      <c r="R149"/>
      <c r="S149"/>
      <c r="T149"/>
      <c r="U149"/>
      <c r="V149"/>
      <c r="W149"/>
    </row>
    <row r="150" spans="2:23" outlineLevel="1">
      <c r="B150" s="148" t="s">
        <v>1622</v>
      </c>
      <c r="C150" s="149" t="s">
        <v>2141</v>
      </c>
      <c r="D150" s="517" t="s">
        <v>2142</v>
      </c>
      <c r="E150" s="518" t="s">
        <v>1870</v>
      </c>
      <c r="F150" s="152"/>
      <c r="G150"/>
      <c r="H150"/>
      <c r="I150"/>
      <c r="J150"/>
      <c r="K150"/>
      <c r="L150"/>
      <c r="M150"/>
      <c r="N150"/>
      <c r="O150"/>
      <c r="P150"/>
      <c r="Q150"/>
      <c r="R150"/>
      <c r="S150"/>
      <c r="T150"/>
      <c r="U150"/>
      <c r="V150"/>
      <c r="W150"/>
    </row>
    <row r="151" spans="2:23" outlineLevel="1">
      <c r="B151" s="148" t="s">
        <v>1872</v>
      </c>
      <c r="C151" s="149"/>
      <c r="D151" s="151">
        <v>200</v>
      </c>
      <c r="E151" s="151"/>
      <c r="F151" s="152"/>
      <c r="G151"/>
      <c r="H151"/>
      <c r="I151"/>
      <c r="J151"/>
      <c r="K151"/>
      <c r="L151"/>
      <c r="M151"/>
      <c r="N151"/>
      <c r="O151"/>
      <c r="P151"/>
      <c r="Q151"/>
      <c r="R151"/>
      <c r="S151"/>
      <c r="T151"/>
      <c r="U151"/>
      <c r="V151"/>
      <c r="W151"/>
    </row>
    <row r="152" spans="2:23" outlineLevel="1">
      <c r="B152" s="148" t="s">
        <v>1032</v>
      </c>
      <c r="C152" s="149" t="s">
        <v>2160</v>
      </c>
      <c r="D152" s="150"/>
      <c r="E152" s="151"/>
      <c r="F152" s="152"/>
      <c r="G152"/>
      <c r="H152"/>
      <c r="I152"/>
      <c r="J152"/>
      <c r="K152"/>
      <c r="L152"/>
      <c r="M152"/>
      <c r="N152"/>
      <c r="O152"/>
      <c r="P152"/>
      <c r="Q152"/>
      <c r="R152"/>
      <c r="S152"/>
      <c r="T152"/>
      <c r="U152"/>
      <c r="V152"/>
      <c r="W152"/>
    </row>
    <row r="153" spans="2:23" outlineLevel="1">
      <c r="B153" s="148" t="s">
        <v>1622</v>
      </c>
      <c r="C153" s="149" t="s">
        <v>2141</v>
      </c>
      <c r="D153" s="517" t="s">
        <v>2142</v>
      </c>
      <c r="E153" s="518" t="s">
        <v>2145</v>
      </c>
      <c r="F153" s="152"/>
      <c r="G153"/>
      <c r="H153"/>
      <c r="I153"/>
      <c r="J153"/>
      <c r="K153"/>
      <c r="L153"/>
      <c r="M153"/>
      <c r="N153"/>
      <c r="O153"/>
      <c r="P153"/>
      <c r="Q153"/>
      <c r="R153"/>
      <c r="S153"/>
      <c r="T153"/>
      <c r="U153"/>
      <c r="V153"/>
      <c r="W153"/>
    </row>
    <row r="154" spans="2:23" outlineLevel="1">
      <c r="B154" s="148" t="s">
        <v>1622</v>
      </c>
      <c r="C154" s="149" t="s">
        <v>2141</v>
      </c>
      <c r="D154" s="517" t="s">
        <v>2142</v>
      </c>
      <c r="E154" s="518" t="s">
        <v>2161</v>
      </c>
      <c r="F154" s="152"/>
      <c r="G154"/>
      <c r="H154"/>
      <c r="I154"/>
      <c r="J154"/>
      <c r="K154"/>
      <c r="L154"/>
      <c r="M154"/>
      <c r="N154"/>
      <c r="O154"/>
      <c r="P154"/>
      <c r="Q154"/>
      <c r="R154"/>
      <c r="S154"/>
      <c r="T154"/>
      <c r="U154"/>
      <c r="V154"/>
      <c r="W154"/>
    </row>
    <row r="155" spans="2:23" outlineLevel="1">
      <c r="B155" s="148" t="s">
        <v>1872</v>
      </c>
      <c r="C155" s="149"/>
      <c r="D155" s="151">
        <v>200</v>
      </c>
      <c r="E155" s="151"/>
      <c r="F155" s="152"/>
      <c r="G155"/>
      <c r="H155"/>
      <c r="I155"/>
      <c r="J155"/>
      <c r="K155"/>
      <c r="L155"/>
      <c r="M155"/>
      <c r="N155"/>
      <c r="O155"/>
      <c r="P155"/>
      <c r="Q155"/>
      <c r="R155"/>
      <c r="S155"/>
      <c r="T155"/>
      <c r="U155"/>
      <c r="V155"/>
      <c r="W155"/>
    </row>
    <row r="156" spans="2:23" outlineLevel="1">
      <c r="B156" s="148" t="s">
        <v>1032</v>
      </c>
      <c r="C156" s="149" t="s">
        <v>2162</v>
      </c>
      <c r="D156" s="150"/>
      <c r="E156" s="151"/>
      <c r="F156" s="152"/>
      <c r="G156"/>
      <c r="H156"/>
      <c r="I156"/>
      <c r="J156"/>
      <c r="K156"/>
      <c r="L156"/>
      <c r="M156"/>
      <c r="N156"/>
      <c r="O156"/>
      <c r="P156"/>
      <c r="Q156"/>
      <c r="R156"/>
      <c r="S156"/>
      <c r="T156"/>
      <c r="U156"/>
      <c r="V156"/>
      <c r="W156"/>
    </row>
    <row r="157" spans="2:23" outlineLevel="1">
      <c r="B157" s="148" t="s">
        <v>1622</v>
      </c>
      <c r="C157" s="149" t="s">
        <v>2141</v>
      </c>
      <c r="D157" s="517" t="s">
        <v>2142</v>
      </c>
      <c r="E157" s="518" t="s">
        <v>2145</v>
      </c>
      <c r="F157" s="152"/>
      <c r="G157"/>
      <c r="H157"/>
      <c r="I157"/>
      <c r="J157"/>
      <c r="K157"/>
      <c r="L157"/>
      <c r="M157"/>
      <c r="N157"/>
      <c r="O157"/>
      <c r="P157"/>
      <c r="Q157"/>
      <c r="R157"/>
      <c r="S157"/>
      <c r="T157"/>
      <c r="U157"/>
      <c r="V157"/>
      <c r="W157"/>
    </row>
    <row r="158" spans="2:23" outlineLevel="1">
      <c r="B158" s="148" t="s">
        <v>1622</v>
      </c>
      <c r="C158" s="149" t="s">
        <v>2141</v>
      </c>
      <c r="D158" s="517" t="s">
        <v>2142</v>
      </c>
      <c r="E158" s="518" t="s">
        <v>2163</v>
      </c>
      <c r="F158" s="152"/>
      <c r="G158"/>
      <c r="H158"/>
      <c r="I158"/>
      <c r="J158"/>
      <c r="K158"/>
      <c r="L158"/>
      <c r="M158"/>
      <c r="N158"/>
      <c r="O158"/>
      <c r="P158"/>
      <c r="Q158"/>
      <c r="R158"/>
      <c r="S158"/>
      <c r="T158"/>
      <c r="U158"/>
      <c r="V158"/>
      <c r="W158"/>
    </row>
    <row r="159" spans="2:23" outlineLevel="1">
      <c r="B159" s="148" t="s">
        <v>1872</v>
      </c>
      <c r="C159" s="149"/>
      <c r="D159" s="151">
        <v>200</v>
      </c>
      <c r="E159" s="151"/>
      <c r="F159" s="152"/>
      <c r="G159"/>
      <c r="H159"/>
      <c r="I159"/>
      <c r="J159"/>
      <c r="K159"/>
      <c r="L159"/>
      <c r="M159"/>
      <c r="N159"/>
      <c r="O159"/>
      <c r="P159"/>
      <c r="Q159"/>
      <c r="R159"/>
      <c r="S159"/>
      <c r="T159"/>
      <c r="U159"/>
      <c r="V159"/>
      <c r="W159"/>
    </row>
    <row r="160" spans="2:23" outlineLevel="1">
      <c r="B160" s="148" t="s">
        <v>1032</v>
      </c>
      <c r="C160" s="149" t="s">
        <v>2164</v>
      </c>
      <c r="D160" s="150"/>
      <c r="E160" s="151"/>
      <c r="F160" s="152"/>
      <c r="G160"/>
      <c r="H160"/>
      <c r="I160"/>
      <c r="J160"/>
      <c r="K160"/>
      <c r="L160"/>
      <c r="M160"/>
      <c r="N160"/>
      <c r="O160"/>
      <c r="P160"/>
      <c r="Q160"/>
      <c r="R160"/>
      <c r="S160"/>
      <c r="T160"/>
      <c r="U160"/>
      <c r="V160"/>
      <c r="W160"/>
    </row>
    <row r="161" spans="2:23" outlineLevel="1">
      <c r="B161" s="148" t="s">
        <v>1622</v>
      </c>
      <c r="C161" s="149" t="s">
        <v>2141</v>
      </c>
      <c r="D161" s="517" t="s">
        <v>2142</v>
      </c>
      <c r="E161" s="518" t="s">
        <v>2145</v>
      </c>
      <c r="F161" s="152"/>
      <c r="G161"/>
      <c r="H161"/>
      <c r="I161"/>
      <c r="J161"/>
      <c r="K161"/>
      <c r="L161"/>
      <c r="M161"/>
      <c r="N161"/>
      <c r="O161"/>
      <c r="P161"/>
      <c r="Q161"/>
      <c r="R161"/>
      <c r="S161"/>
      <c r="T161"/>
      <c r="U161"/>
      <c r="V161"/>
      <c r="W161"/>
    </row>
    <row r="162" spans="2:23" outlineLevel="1">
      <c r="B162" s="148" t="s">
        <v>1622</v>
      </c>
      <c r="C162" s="149" t="s">
        <v>2141</v>
      </c>
      <c r="D162" s="517" t="s">
        <v>2142</v>
      </c>
      <c r="E162" s="518" t="s">
        <v>2165</v>
      </c>
      <c r="F162" s="152"/>
      <c r="G162"/>
      <c r="H162"/>
      <c r="I162"/>
      <c r="J162"/>
      <c r="K162"/>
      <c r="L162"/>
      <c r="M162"/>
      <c r="N162"/>
      <c r="O162"/>
      <c r="P162"/>
      <c r="Q162"/>
      <c r="R162"/>
      <c r="S162"/>
      <c r="T162"/>
      <c r="U162"/>
      <c r="V162"/>
      <c r="W162"/>
    </row>
    <row r="163" spans="2:23" outlineLevel="1">
      <c r="B163" s="148" t="s">
        <v>1872</v>
      </c>
      <c r="C163" s="149"/>
      <c r="D163" s="151">
        <v>200</v>
      </c>
      <c r="E163" s="151"/>
      <c r="F163" s="152"/>
      <c r="G163"/>
      <c r="H163"/>
      <c r="I163"/>
      <c r="J163"/>
      <c r="K163"/>
      <c r="L163"/>
      <c r="M163"/>
      <c r="N163"/>
      <c r="O163"/>
      <c r="P163"/>
      <c r="Q163"/>
      <c r="R163"/>
      <c r="S163"/>
      <c r="T163"/>
      <c r="U163"/>
      <c r="V163"/>
      <c r="W163"/>
    </row>
    <row r="164" spans="2:23" outlineLevel="1">
      <c r="B164" s="148" t="s">
        <v>1032</v>
      </c>
      <c r="C164" s="149" t="s">
        <v>1871</v>
      </c>
      <c r="D164" s="150"/>
      <c r="E164" s="151"/>
      <c r="F164" s="152"/>
      <c r="G164"/>
      <c r="H164"/>
      <c r="I164"/>
      <c r="J164"/>
      <c r="K164"/>
      <c r="L164"/>
      <c r="M164"/>
      <c r="N164"/>
      <c r="O164"/>
      <c r="P164"/>
      <c r="Q164"/>
      <c r="R164"/>
      <c r="S164"/>
      <c r="T164"/>
      <c r="U164"/>
      <c r="V164"/>
      <c r="W164"/>
    </row>
    <row r="165" spans="2:23" outlineLevel="1">
      <c r="B165" s="148" t="s">
        <v>1622</v>
      </c>
      <c r="C165" s="149" t="s">
        <v>2141</v>
      </c>
      <c r="D165" s="517" t="s">
        <v>2142</v>
      </c>
      <c r="E165" s="518" t="s">
        <v>2143</v>
      </c>
      <c r="F165" s="152"/>
      <c r="G165"/>
      <c r="H165"/>
      <c r="I165"/>
      <c r="J165"/>
      <c r="K165"/>
      <c r="L165"/>
      <c r="M165"/>
      <c r="N165"/>
      <c r="O165"/>
      <c r="P165"/>
      <c r="Q165"/>
      <c r="R165"/>
      <c r="S165"/>
      <c r="T165"/>
      <c r="U165"/>
      <c r="V165"/>
      <c r="W165"/>
    </row>
    <row r="166" spans="2:23" outlineLevel="1">
      <c r="B166" s="148" t="s">
        <v>1622</v>
      </c>
      <c r="C166" s="149" t="s">
        <v>2141</v>
      </c>
      <c r="D166" s="517" t="s">
        <v>2142</v>
      </c>
      <c r="E166" s="518" t="s">
        <v>2166</v>
      </c>
      <c r="F166" s="152"/>
      <c r="G166"/>
      <c r="H166"/>
      <c r="I166"/>
      <c r="J166"/>
      <c r="K166"/>
      <c r="L166"/>
      <c r="M166"/>
      <c r="N166"/>
      <c r="O166"/>
      <c r="P166"/>
      <c r="Q166"/>
      <c r="R166"/>
      <c r="S166"/>
      <c r="T166"/>
      <c r="U166"/>
      <c r="V166"/>
      <c r="W166"/>
    </row>
    <row r="167" spans="2:23" outlineLevel="1">
      <c r="B167" s="148" t="s">
        <v>1872</v>
      </c>
      <c r="C167" s="149"/>
      <c r="D167" s="151">
        <v>120000</v>
      </c>
      <c r="E167" s="151"/>
      <c r="F167" s="152"/>
      <c r="G167"/>
      <c r="H167"/>
      <c r="I167"/>
      <c r="J167"/>
      <c r="K167"/>
      <c r="L167"/>
      <c r="M167"/>
      <c r="N167"/>
      <c r="O167"/>
      <c r="P167"/>
      <c r="Q167"/>
      <c r="R167"/>
      <c r="S167"/>
      <c r="T167"/>
      <c r="U167"/>
      <c r="V167"/>
      <c r="W167"/>
    </row>
    <row r="168" spans="2:23" outlineLevel="1">
      <c r="B168" s="148" t="s">
        <v>1032</v>
      </c>
      <c r="C168" s="149" t="s">
        <v>2167</v>
      </c>
      <c r="D168" s="150"/>
      <c r="E168" s="151"/>
      <c r="F168" s="152"/>
      <c r="G168"/>
      <c r="H168"/>
      <c r="I168"/>
      <c r="J168"/>
      <c r="K168"/>
      <c r="L168"/>
      <c r="M168"/>
      <c r="N168"/>
      <c r="O168"/>
      <c r="P168"/>
      <c r="Q168"/>
      <c r="R168"/>
      <c r="S168"/>
      <c r="T168"/>
      <c r="U168"/>
      <c r="V168"/>
      <c r="W168"/>
    </row>
    <row r="169" spans="2:23" outlineLevel="1">
      <c r="B169" s="148" t="s">
        <v>1622</v>
      </c>
      <c r="C169" s="149" t="s">
        <v>2141</v>
      </c>
      <c r="D169" s="517" t="s">
        <v>2142</v>
      </c>
      <c r="E169" s="518" t="s">
        <v>2168</v>
      </c>
      <c r="F169" s="152"/>
      <c r="G169"/>
      <c r="H169"/>
      <c r="I169"/>
      <c r="J169"/>
      <c r="K169"/>
      <c r="L169"/>
      <c r="M169"/>
      <c r="N169"/>
      <c r="O169"/>
      <c r="P169"/>
      <c r="Q169"/>
      <c r="R169"/>
      <c r="S169"/>
      <c r="T169"/>
      <c r="U169"/>
      <c r="V169"/>
      <c r="W169"/>
    </row>
    <row r="170" spans="2:23" outlineLevel="1">
      <c r="B170" s="148" t="s">
        <v>1622</v>
      </c>
      <c r="C170" s="149" t="s">
        <v>2141</v>
      </c>
      <c r="D170" s="517" t="s">
        <v>2142</v>
      </c>
      <c r="E170" s="518" t="s">
        <v>2169</v>
      </c>
      <c r="F170" s="152"/>
      <c r="G170"/>
      <c r="H170"/>
      <c r="I170"/>
      <c r="J170"/>
      <c r="K170"/>
      <c r="L170"/>
      <c r="M170"/>
      <c r="N170"/>
      <c r="O170"/>
      <c r="P170"/>
      <c r="Q170"/>
      <c r="R170"/>
      <c r="S170"/>
      <c r="T170"/>
      <c r="U170"/>
      <c r="V170"/>
      <c r="W170"/>
    </row>
    <row r="171" spans="2:23" outlineLevel="1">
      <c r="B171" s="148" t="s">
        <v>1872</v>
      </c>
      <c r="C171" s="149"/>
      <c r="D171" s="151">
        <v>200</v>
      </c>
      <c r="E171" s="151"/>
      <c r="F171" s="152"/>
      <c r="G171"/>
      <c r="H171"/>
      <c r="I171"/>
      <c r="J171"/>
      <c r="K171"/>
      <c r="L171"/>
      <c r="M171"/>
      <c r="N171"/>
      <c r="O171"/>
      <c r="P171"/>
      <c r="Q171"/>
      <c r="R171"/>
      <c r="S171"/>
      <c r="T171"/>
      <c r="U171"/>
      <c r="V171"/>
      <c r="W171"/>
    </row>
    <row r="172" spans="2:23" outlineLevel="1">
      <c r="B172" s="148" t="s">
        <v>1032</v>
      </c>
      <c r="C172" s="149" t="s">
        <v>2170</v>
      </c>
      <c r="D172" s="150"/>
      <c r="E172" s="151"/>
      <c r="F172" s="152"/>
      <c r="G172"/>
      <c r="H172"/>
      <c r="I172"/>
      <c r="J172"/>
      <c r="K172"/>
      <c r="L172"/>
      <c r="M172"/>
      <c r="N172"/>
      <c r="O172"/>
      <c r="P172"/>
      <c r="Q172"/>
      <c r="R172"/>
      <c r="S172"/>
      <c r="T172"/>
      <c r="U172"/>
      <c r="V172"/>
      <c r="W172"/>
    </row>
    <row r="173" spans="2:23" outlineLevel="1">
      <c r="B173" s="148" t="s">
        <v>1622</v>
      </c>
      <c r="C173" s="149" t="s">
        <v>2141</v>
      </c>
      <c r="D173" s="517" t="s">
        <v>2142</v>
      </c>
      <c r="E173" s="518" t="s">
        <v>2171</v>
      </c>
      <c r="F173" s="152"/>
      <c r="G173"/>
      <c r="H173"/>
      <c r="I173"/>
      <c r="J173"/>
      <c r="K173"/>
      <c r="L173"/>
      <c r="M173"/>
      <c r="N173"/>
      <c r="O173"/>
      <c r="P173"/>
      <c r="Q173"/>
      <c r="R173"/>
      <c r="S173"/>
      <c r="T173"/>
      <c r="U173"/>
      <c r="V173"/>
      <c r="W173"/>
    </row>
    <row r="174" spans="2:23" outlineLevel="1">
      <c r="B174" s="148" t="s">
        <v>1622</v>
      </c>
      <c r="C174" s="149" t="s">
        <v>2141</v>
      </c>
      <c r="D174" s="517" t="s">
        <v>2142</v>
      </c>
      <c r="E174" s="518" t="s">
        <v>1649</v>
      </c>
      <c r="F174" s="152"/>
      <c r="G174"/>
      <c r="H174"/>
      <c r="I174"/>
      <c r="J174"/>
      <c r="K174"/>
      <c r="L174"/>
      <c r="M174"/>
      <c r="N174"/>
      <c r="O174"/>
      <c r="P174"/>
      <c r="Q174"/>
      <c r="R174"/>
      <c r="S174"/>
      <c r="T174"/>
      <c r="U174"/>
      <c r="V174"/>
      <c r="W174"/>
    </row>
    <row r="175" spans="2:23" outlineLevel="1">
      <c r="B175" s="148" t="s">
        <v>1622</v>
      </c>
      <c r="C175" s="149" t="s">
        <v>2141</v>
      </c>
      <c r="D175" s="517" t="s">
        <v>2142</v>
      </c>
      <c r="E175" s="518" t="s">
        <v>2172</v>
      </c>
      <c r="F175" s="152"/>
      <c r="G175"/>
      <c r="H175"/>
      <c r="I175"/>
      <c r="J175"/>
      <c r="K175"/>
      <c r="L175"/>
      <c r="M175"/>
      <c r="N175"/>
      <c r="O175"/>
      <c r="P175"/>
      <c r="Q175"/>
      <c r="R175"/>
      <c r="S175"/>
      <c r="T175"/>
      <c r="U175"/>
      <c r="V175"/>
      <c r="W175"/>
    </row>
    <row r="176" spans="2:23" outlineLevel="1">
      <c r="B176" s="148" t="s">
        <v>1622</v>
      </c>
      <c r="C176" s="149" t="s">
        <v>2141</v>
      </c>
      <c r="D176" s="517" t="s">
        <v>2142</v>
      </c>
      <c r="E176" s="518" t="s">
        <v>2173</v>
      </c>
      <c r="F176" s="152"/>
      <c r="G176"/>
      <c r="H176"/>
      <c r="I176"/>
      <c r="J176"/>
      <c r="K176"/>
      <c r="L176"/>
      <c r="M176"/>
      <c r="N176"/>
      <c r="O176"/>
      <c r="P176"/>
      <c r="Q176"/>
      <c r="R176"/>
      <c r="S176"/>
      <c r="T176"/>
      <c r="U176"/>
      <c r="V176"/>
      <c r="W176"/>
    </row>
    <row r="177" spans="2:23" outlineLevel="1">
      <c r="B177" s="148" t="s">
        <v>1622</v>
      </c>
      <c r="C177" s="149" t="s">
        <v>2141</v>
      </c>
      <c r="D177" s="517" t="s">
        <v>2142</v>
      </c>
      <c r="E177" s="518" t="s">
        <v>2174</v>
      </c>
      <c r="F177" s="152"/>
      <c r="G177"/>
      <c r="H177"/>
      <c r="I177"/>
      <c r="J177"/>
      <c r="K177"/>
      <c r="L177"/>
      <c r="M177"/>
      <c r="N177"/>
      <c r="O177"/>
      <c r="P177"/>
      <c r="Q177"/>
      <c r="R177"/>
      <c r="S177"/>
      <c r="T177"/>
      <c r="U177"/>
      <c r="V177"/>
      <c r="W177"/>
    </row>
    <row r="178" spans="2:23" outlineLevel="1">
      <c r="B178" s="148" t="s">
        <v>1622</v>
      </c>
      <c r="C178" s="149" t="s">
        <v>2141</v>
      </c>
      <c r="D178" s="517" t="s">
        <v>2142</v>
      </c>
      <c r="E178" s="518" t="s">
        <v>2175</v>
      </c>
      <c r="F178" s="152"/>
      <c r="G178"/>
      <c r="H178"/>
      <c r="I178"/>
      <c r="J178"/>
      <c r="K178"/>
      <c r="L178"/>
      <c r="M178"/>
      <c r="N178"/>
      <c r="O178"/>
      <c r="P178"/>
      <c r="Q178"/>
      <c r="R178"/>
      <c r="S178"/>
      <c r="T178"/>
      <c r="U178"/>
      <c r="V178"/>
      <c r="W178"/>
    </row>
    <row r="179" spans="2:23" outlineLevel="1">
      <c r="B179" s="148" t="s">
        <v>1622</v>
      </c>
      <c r="C179" s="149" t="s">
        <v>2141</v>
      </c>
      <c r="D179" s="517" t="s">
        <v>2142</v>
      </c>
      <c r="E179" s="518" t="s">
        <v>2176</v>
      </c>
      <c r="F179" s="152"/>
      <c r="G179"/>
      <c r="H179"/>
      <c r="I179"/>
      <c r="J179"/>
      <c r="K179"/>
      <c r="L179"/>
      <c r="M179"/>
      <c r="N179"/>
      <c r="O179"/>
      <c r="P179"/>
      <c r="Q179"/>
      <c r="R179"/>
      <c r="S179"/>
      <c r="T179"/>
      <c r="U179"/>
      <c r="V179"/>
      <c r="W179"/>
    </row>
    <row r="180" spans="2:23" outlineLevel="1">
      <c r="B180" s="148" t="s">
        <v>1622</v>
      </c>
      <c r="C180" s="149" t="s">
        <v>2141</v>
      </c>
      <c r="D180" s="517" t="s">
        <v>2142</v>
      </c>
      <c r="E180" s="518" t="s">
        <v>2177</v>
      </c>
      <c r="F180" s="152"/>
      <c r="G180"/>
      <c r="H180"/>
      <c r="I180"/>
      <c r="J180"/>
      <c r="K180"/>
      <c r="L180"/>
      <c r="M180"/>
      <c r="N180"/>
      <c r="O180"/>
      <c r="P180"/>
      <c r="Q180"/>
      <c r="R180"/>
      <c r="S180"/>
      <c r="T180"/>
      <c r="U180"/>
      <c r="V180"/>
      <c r="W180"/>
    </row>
    <row r="181" spans="2:23" outlineLevel="1">
      <c r="B181" s="148" t="s">
        <v>1622</v>
      </c>
      <c r="C181" s="149" t="s">
        <v>2141</v>
      </c>
      <c r="D181" s="517" t="s">
        <v>2142</v>
      </c>
      <c r="E181" s="518" t="s">
        <v>2178</v>
      </c>
      <c r="F181" s="152"/>
      <c r="G181"/>
      <c r="H181"/>
      <c r="I181"/>
      <c r="J181"/>
      <c r="K181"/>
      <c r="L181"/>
      <c r="M181"/>
      <c r="N181"/>
      <c r="O181"/>
      <c r="P181"/>
      <c r="Q181"/>
      <c r="R181"/>
      <c r="S181"/>
      <c r="T181"/>
      <c r="U181"/>
      <c r="V181"/>
      <c r="W181"/>
    </row>
    <row r="182" spans="2:23" outlineLevel="1">
      <c r="B182" s="148" t="s">
        <v>1622</v>
      </c>
      <c r="C182" s="149" t="s">
        <v>2141</v>
      </c>
      <c r="D182" s="517" t="s">
        <v>2142</v>
      </c>
      <c r="E182" s="518" t="s">
        <v>2179</v>
      </c>
      <c r="F182" s="152"/>
      <c r="G182"/>
      <c r="H182"/>
      <c r="I182"/>
      <c r="J182"/>
      <c r="K182"/>
      <c r="L182"/>
      <c r="M182"/>
      <c r="N182"/>
      <c r="O182"/>
      <c r="P182"/>
      <c r="Q182"/>
      <c r="R182"/>
      <c r="S182"/>
      <c r="T182"/>
      <c r="U182"/>
      <c r="V182"/>
      <c r="W182"/>
    </row>
    <row r="183" spans="2:23" outlineLevel="1">
      <c r="B183" s="148" t="s">
        <v>1622</v>
      </c>
      <c r="C183" s="149" t="s">
        <v>2141</v>
      </c>
      <c r="D183" s="517" t="s">
        <v>2142</v>
      </c>
      <c r="E183" s="518" t="s">
        <v>2180</v>
      </c>
      <c r="F183" s="152"/>
      <c r="G183"/>
      <c r="H183"/>
      <c r="I183"/>
      <c r="J183"/>
      <c r="K183"/>
      <c r="L183"/>
      <c r="M183"/>
      <c r="N183"/>
      <c r="O183"/>
      <c r="P183"/>
      <c r="Q183"/>
      <c r="R183"/>
      <c r="S183"/>
      <c r="T183"/>
      <c r="U183"/>
      <c r="V183"/>
      <c r="W183"/>
    </row>
    <row r="184" spans="2:23" outlineLevel="1">
      <c r="B184" s="148" t="s">
        <v>1622</v>
      </c>
      <c r="C184" s="149" t="s">
        <v>2141</v>
      </c>
      <c r="D184" s="517" t="s">
        <v>2142</v>
      </c>
      <c r="E184" s="518" t="s">
        <v>954</v>
      </c>
      <c r="F184" s="152"/>
      <c r="G184"/>
      <c r="H184"/>
      <c r="I184"/>
      <c r="J184"/>
      <c r="K184"/>
      <c r="L184"/>
      <c r="M184"/>
      <c r="N184"/>
      <c r="O184"/>
      <c r="P184"/>
      <c r="Q184"/>
      <c r="R184"/>
      <c r="S184"/>
      <c r="T184"/>
      <c r="U184"/>
      <c r="V184"/>
      <c r="W184"/>
    </row>
    <row r="185" spans="2:23" outlineLevel="1">
      <c r="B185" s="160"/>
      <c r="C185" s="161"/>
      <c r="D185" s="150"/>
      <c r="E185" s="162"/>
      <c r="F185" s="152"/>
      <c r="G185"/>
      <c r="H185"/>
      <c r="I185"/>
      <c r="J185"/>
      <c r="K185"/>
      <c r="L185"/>
      <c r="M185"/>
      <c r="N185"/>
      <c r="O185"/>
      <c r="P185"/>
      <c r="Q185"/>
      <c r="R185"/>
      <c r="S185"/>
      <c r="T185"/>
      <c r="U185"/>
      <c r="V185"/>
      <c r="W185"/>
    </row>
    <row r="186" spans="2:23" outlineLevel="1">
      <c r="B186" s="148"/>
      <c r="C186" s="149"/>
      <c r="D186" s="150"/>
      <c r="E186" s="151"/>
      <c r="F186" s="152"/>
      <c r="G186"/>
      <c r="H186"/>
      <c r="I186"/>
      <c r="J186"/>
      <c r="K186"/>
      <c r="L186"/>
      <c r="M186"/>
      <c r="N186"/>
      <c r="O186"/>
      <c r="P186"/>
      <c r="Q186"/>
      <c r="R186"/>
      <c r="S186"/>
      <c r="T186"/>
      <c r="U186"/>
      <c r="V186"/>
      <c r="W186"/>
    </row>
    <row r="187" spans="2:23" outlineLevel="1">
      <c r="B187" s="160"/>
      <c r="C187" s="161"/>
      <c r="D187" s="150"/>
      <c r="E187" s="162"/>
      <c r="F187" s="152"/>
      <c r="G187"/>
      <c r="H187"/>
      <c r="I187"/>
      <c r="J187"/>
      <c r="K187"/>
      <c r="L187"/>
      <c r="M187"/>
      <c r="N187"/>
      <c r="O187"/>
      <c r="P187"/>
      <c r="Q187"/>
      <c r="R187"/>
      <c r="S187"/>
      <c r="T187"/>
      <c r="U187"/>
      <c r="V187"/>
      <c r="W187"/>
    </row>
    <row r="188" spans="2:23" outlineLevel="1">
      <c r="B188" s="148"/>
      <c r="C188" s="149"/>
      <c r="D188" s="150"/>
      <c r="E188" s="151"/>
      <c r="F188" s="152"/>
      <c r="G188"/>
      <c r="H188"/>
      <c r="I188"/>
      <c r="J188"/>
      <c r="K188"/>
      <c r="L188"/>
      <c r="M188"/>
      <c r="N188"/>
      <c r="O188"/>
      <c r="P188"/>
      <c r="Q188"/>
      <c r="R188"/>
      <c r="S188"/>
      <c r="T188"/>
      <c r="U188"/>
      <c r="V188"/>
      <c r="W188"/>
    </row>
    <row r="189" spans="2:23" outlineLevel="1">
      <c r="B189" s="160"/>
      <c r="C189" s="161"/>
      <c r="D189" s="150"/>
      <c r="E189" s="162"/>
      <c r="F189" s="152"/>
      <c r="G189"/>
      <c r="H189"/>
      <c r="I189"/>
      <c r="J189"/>
      <c r="K189"/>
      <c r="L189"/>
      <c r="M189"/>
      <c r="N189"/>
      <c r="O189"/>
      <c r="P189"/>
      <c r="Q189"/>
      <c r="R189"/>
      <c r="S189"/>
      <c r="T189"/>
      <c r="U189"/>
      <c r="V189"/>
      <c r="W189"/>
    </row>
    <row r="190" spans="2:23" outlineLevel="1">
      <c r="B190" s="148"/>
      <c r="C190" s="149"/>
      <c r="D190" s="150"/>
      <c r="E190" s="151"/>
      <c r="F190" s="152"/>
      <c r="G190"/>
      <c r="H190"/>
      <c r="I190"/>
      <c r="J190"/>
      <c r="K190"/>
      <c r="L190"/>
      <c r="M190"/>
      <c r="N190"/>
      <c r="O190"/>
      <c r="P190"/>
      <c r="Q190"/>
      <c r="R190"/>
      <c r="S190"/>
      <c r="T190"/>
      <c r="U190"/>
      <c r="V190"/>
      <c r="W190"/>
    </row>
    <row r="191" spans="2:23" outlineLevel="1">
      <c r="B191" s="160"/>
      <c r="C191" s="161"/>
      <c r="D191" s="150"/>
      <c r="E191" s="162"/>
      <c r="F191" s="152"/>
      <c r="G191"/>
      <c r="H191"/>
      <c r="I191"/>
      <c r="J191"/>
      <c r="K191"/>
      <c r="L191"/>
      <c r="M191"/>
      <c r="N191"/>
      <c r="O191"/>
      <c r="P191"/>
      <c r="Q191"/>
      <c r="R191"/>
      <c r="S191"/>
      <c r="T191"/>
      <c r="U191"/>
      <c r="V191"/>
      <c r="W191"/>
    </row>
    <row r="192" spans="2:23" outlineLevel="1">
      <c r="B192" s="148"/>
      <c r="C192" s="149"/>
      <c r="D192" s="150"/>
      <c r="E192" s="151"/>
      <c r="F192" s="152"/>
      <c r="G192"/>
      <c r="H192"/>
      <c r="I192"/>
      <c r="J192"/>
      <c r="K192"/>
      <c r="L192"/>
      <c r="M192"/>
      <c r="N192"/>
      <c r="O192"/>
      <c r="P192"/>
      <c r="Q192"/>
      <c r="R192"/>
      <c r="S192"/>
      <c r="T192"/>
      <c r="U192"/>
      <c r="V192"/>
      <c r="W192"/>
    </row>
    <row r="193" spans="2:23" outlineLevel="1">
      <c r="B193" s="160"/>
      <c r="C193" s="161"/>
      <c r="D193" s="150"/>
      <c r="E193" s="162"/>
      <c r="F193" s="152"/>
      <c r="G193"/>
      <c r="H193"/>
      <c r="I193"/>
      <c r="J193"/>
      <c r="K193"/>
      <c r="L193"/>
      <c r="M193"/>
      <c r="N193"/>
      <c r="O193"/>
      <c r="P193"/>
      <c r="Q193"/>
      <c r="R193"/>
      <c r="S193"/>
      <c r="T193"/>
      <c r="U193"/>
      <c r="V193"/>
      <c r="W193"/>
    </row>
    <row r="194" spans="2:23" outlineLevel="1">
      <c r="B194" s="148"/>
      <c r="C194" s="149"/>
      <c r="D194" s="150"/>
      <c r="E194" s="151"/>
      <c r="F194" s="152"/>
      <c r="G194"/>
      <c r="H194"/>
      <c r="I194"/>
      <c r="J194"/>
      <c r="K194"/>
      <c r="L194"/>
      <c r="M194"/>
      <c r="N194"/>
      <c r="O194"/>
      <c r="P194"/>
      <c r="Q194"/>
      <c r="R194"/>
      <c r="S194"/>
      <c r="T194"/>
      <c r="U194"/>
      <c r="V194"/>
      <c r="W194"/>
    </row>
    <row r="195" spans="2:23" outlineLevel="1">
      <c r="B195" s="160"/>
      <c r="C195" s="161"/>
      <c r="D195" s="150"/>
      <c r="E195" s="162"/>
      <c r="F195" s="152"/>
      <c r="G195"/>
      <c r="H195"/>
      <c r="I195"/>
      <c r="J195"/>
      <c r="K195"/>
      <c r="L195"/>
      <c r="M195"/>
      <c r="N195"/>
      <c r="O195"/>
      <c r="P195"/>
      <c r="Q195"/>
      <c r="R195"/>
      <c r="S195"/>
      <c r="T195"/>
      <c r="U195"/>
      <c r="V195"/>
      <c r="W195"/>
    </row>
    <row r="196" spans="2:23" outlineLevel="1">
      <c r="B196" s="148"/>
      <c r="C196" s="149"/>
      <c r="D196" s="150"/>
      <c r="E196" s="151"/>
      <c r="F196" s="152"/>
      <c r="G196"/>
      <c r="H196"/>
      <c r="I196"/>
      <c r="J196"/>
      <c r="K196"/>
      <c r="L196"/>
      <c r="M196"/>
      <c r="N196"/>
      <c r="O196"/>
      <c r="P196"/>
      <c r="Q196"/>
      <c r="R196"/>
      <c r="S196"/>
      <c r="T196"/>
      <c r="U196"/>
      <c r="V196"/>
      <c r="W196"/>
    </row>
    <row r="197" spans="2:23" outlineLevel="1">
      <c r="B197" s="160"/>
      <c r="C197" s="161"/>
      <c r="D197" s="150"/>
      <c r="E197" s="162"/>
      <c r="F197" s="152"/>
      <c r="G197"/>
      <c r="H197"/>
      <c r="I197"/>
      <c r="J197"/>
      <c r="K197"/>
      <c r="L197"/>
      <c r="M197"/>
      <c r="N197"/>
      <c r="O197"/>
      <c r="P197"/>
      <c r="Q197"/>
      <c r="R197"/>
      <c r="S197"/>
      <c r="T197"/>
      <c r="U197"/>
      <c r="V197"/>
      <c r="W197"/>
    </row>
    <row r="198" spans="2:23" outlineLevel="1">
      <c r="B198" s="148"/>
      <c r="C198" s="149"/>
      <c r="D198" s="150"/>
      <c r="E198" s="151"/>
      <c r="F198" s="152"/>
      <c r="G198"/>
      <c r="H198"/>
      <c r="I198"/>
      <c r="J198"/>
      <c r="K198"/>
      <c r="L198"/>
      <c r="M198"/>
      <c r="N198"/>
      <c r="O198"/>
      <c r="P198"/>
      <c r="Q198"/>
      <c r="R198"/>
      <c r="S198"/>
      <c r="T198"/>
      <c r="U198"/>
      <c r="V198"/>
      <c r="W198"/>
    </row>
    <row r="199" spans="2:23" outlineLevel="1">
      <c r="B199" s="160"/>
      <c r="C199" s="161"/>
      <c r="D199" s="150"/>
      <c r="E199" s="162"/>
      <c r="F199" s="152"/>
      <c r="G199"/>
      <c r="H199"/>
      <c r="I199"/>
      <c r="J199"/>
      <c r="K199"/>
      <c r="L199"/>
      <c r="M199"/>
      <c r="N199"/>
      <c r="O199"/>
      <c r="P199"/>
      <c r="Q199"/>
      <c r="R199"/>
      <c r="S199"/>
      <c r="T199"/>
      <c r="U199"/>
      <c r="V199"/>
      <c r="W199"/>
    </row>
    <row r="200" spans="2:23" outlineLevel="1">
      <c r="B200" s="148"/>
      <c r="C200" s="149"/>
      <c r="D200" s="150"/>
      <c r="E200" s="151"/>
      <c r="F200" s="152"/>
      <c r="G200"/>
      <c r="H200"/>
      <c r="I200"/>
      <c r="J200"/>
      <c r="K200"/>
      <c r="L200"/>
      <c r="M200"/>
      <c r="N200"/>
      <c r="O200"/>
      <c r="P200"/>
      <c r="Q200"/>
      <c r="R200"/>
      <c r="S200"/>
      <c r="T200"/>
      <c r="U200"/>
      <c r="V200"/>
      <c r="W200"/>
    </row>
    <row r="201" spans="2:23" outlineLevel="1">
      <c r="B201" s="160"/>
      <c r="C201" s="161"/>
      <c r="D201" s="150"/>
      <c r="E201" s="162"/>
      <c r="F201" s="152"/>
      <c r="G201"/>
      <c r="H201"/>
      <c r="I201"/>
      <c r="J201"/>
      <c r="K201"/>
      <c r="L201"/>
      <c r="M201"/>
      <c r="N201"/>
      <c r="O201"/>
      <c r="P201"/>
      <c r="Q201"/>
      <c r="R201"/>
      <c r="S201"/>
      <c r="T201"/>
      <c r="U201"/>
      <c r="V201"/>
      <c r="W201"/>
    </row>
    <row r="202" spans="2:23" outlineLevel="1">
      <c r="B202" s="148"/>
      <c r="C202" s="149"/>
      <c r="D202" s="150"/>
      <c r="E202" s="151"/>
      <c r="F202" s="152"/>
      <c r="G202"/>
      <c r="H202"/>
      <c r="I202"/>
      <c r="J202"/>
      <c r="K202"/>
      <c r="L202"/>
      <c r="M202"/>
      <c r="N202"/>
      <c r="O202"/>
      <c r="P202"/>
      <c r="Q202"/>
      <c r="R202"/>
      <c r="S202"/>
      <c r="T202"/>
      <c r="U202"/>
      <c r="V202"/>
      <c r="W202"/>
    </row>
    <row r="203" spans="2:23" outlineLevel="1">
      <c r="B203" s="160"/>
      <c r="C203" s="161"/>
      <c r="D203" s="150"/>
      <c r="E203" s="162"/>
      <c r="F203" s="152"/>
      <c r="G203"/>
      <c r="H203"/>
      <c r="I203"/>
      <c r="J203"/>
      <c r="K203"/>
      <c r="L203"/>
      <c r="M203"/>
      <c r="N203"/>
      <c r="O203"/>
      <c r="P203"/>
      <c r="Q203"/>
      <c r="R203"/>
      <c r="S203"/>
      <c r="T203"/>
      <c r="U203"/>
      <c r="V203"/>
      <c r="W203"/>
    </row>
    <row r="204" spans="2:23" outlineLevel="1">
      <c r="B204" s="148"/>
      <c r="C204" s="149"/>
      <c r="D204" s="150"/>
      <c r="E204" s="151"/>
      <c r="F204" s="152"/>
      <c r="G204"/>
      <c r="H204"/>
      <c r="I204"/>
      <c r="J204"/>
      <c r="K204"/>
      <c r="L204"/>
      <c r="M204"/>
      <c r="N204"/>
      <c r="O204"/>
      <c r="P204"/>
      <c r="Q204"/>
      <c r="R204"/>
      <c r="S204"/>
      <c r="T204"/>
      <c r="U204"/>
      <c r="V204"/>
      <c r="W204"/>
    </row>
    <row r="205" spans="2:23" outlineLevel="1">
      <c r="B205" s="160"/>
      <c r="C205" s="161"/>
      <c r="D205" s="150"/>
      <c r="E205" s="162"/>
      <c r="F205" s="152"/>
      <c r="G205"/>
      <c r="H205"/>
      <c r="I205"/>
      <c r="J205"/>
      <c r="K205"/>
      <c r="L205"/>
      <c r="M205"/>
      <c r="N205"/>
      <c r="O205"/>
      <c r="P205"/>
      <c r="Q205"/>
      <c r="R205"/>
      <c r="S205"/>
      <c r="T205"/>
      <c r="U205"/>
      <c r="V205"/>
      <c r="W205"/>
    </row>
    <row r="206" spans="2:23" outlineLevel="1">
      <c r="B206" s="148"/>
      <c r="C206" s="149"/>
      <c r="D206" s="150"/>
      <c r="E206" s="151"/>
      <c r="F206" s="152"/>
      <c r="G206"/>
      <c r="H206"/>
      <c r="I206"/>
      <c r="J206"/>
      <c r="K206"/>
      <c r="L206"/>
      <c r="M206"/>
      <c r="N206"/>
      <c r="O206"/>
      <c r="P206"/>
      <c r="Q206"/>
      <c r="R206"/>
      <c r="S206"/>
      <c r="T206"/>
      <c r="U206"/>
      <c r="V206"/>
      <c r="W206"/>
    </row>
    <row r="207" spans="2:23" outlineLevel="1">
      <c r="B207" s="160"/>
      <c r="C207" s="161"/>
      <c r="D207" s="150"/>
      <c r="E207" s="162"/>
      <c r="F207" s="152"/>
      <c r="G207"/>
      <c r="H207"/>
      <c r="I207"/>
      <c r="J207"/>
      <c r="K207"/>
      <c r="L207"/>
      <c r="M207"/>
      <c r="N207"/>
      <c r="O207"/>
      <c r="P207"/>
      <c r="Q207"/>
      <c r="R207"/>
      <c r="S207"/>
      <c r="T207"/>
      <c r="U207"/>
      <c r="V207"/>
      <c r="W207"/>
    </row>
    <row r="208" spans="2:23" outlineLevel="1">
      <c r="B208" s="148"/>
      <c r="C208" s="149"/>
      <c r="D208" s="150"/>
      <c r="E208" s="151"/>
      <c r="F208" s="152"/>
      <c r="G208"/>
      <c r="H208"/>
      <c r="I208"/>
      <c r="J208"/>
      <c r="K208"/>
      <c r="L208"/>
      <c r="M208"/>
      <c r="N208"/>
      <c r="O208"/>
      <c r="P208"/>
      <c r="Q208"/>
      <c r="R208"/>
      <c r="S208"/>
      <c r="T208"/>
      <c r="U208"/>
      <c r="V208"/>
      <c r="W208"/>
    </row>
    <row r="209" spans="2:23" outlineLevel="1">
      <c r="B209" s="160"/>
      <c r="C209" s="161"/>
      <c r="D209" s="150"/>
      <c r="E209" s="162"/>
      <c r="F209" s="152"/>
      <c r="G209"/>
      <c r="H209"/>
      <c r="I209"/>
      <c r="J209"/>
      <c r="K209"/>
      <c r="L209"/>
      <c r="M209"/>
      <c r="N209"/>
      <c r="O209"/>
      <c r="P209"/>
      <c r="Q209"/>
      <c r="R209"/>
      <c r="S209"/>
      <c r="T209"/>
      <c r="U209"/>
      <c r="V209"/>
      <c r="W209"/>
    </row>
    <row r="210" spans="2:23" outlineLevel="1">
      <c r="B210" s="148"/>
      <c r="C210" s="149"/>
      <c r="D210" s="150"/>
      <c r="E210" s="151"/>
      <c r="F210" s="152"/>
      <c r="G210"/>
      <c r="H210"/>
      <c r="I210"/>
      <c r="J210"/>
      <c r="K210"/>
      <c r="L210"/>
      <c r="M210"/>
      <c r="N210"/>
      <c r="O210"/>
      <c r="P210"/>
      <c r="Q210"/>
      <c r="R210"/>
      <c r="S210"/>
      <c r="T210"/>
      <c r="U210"/>
      <c r="V210"/>
      <c r="W210"/>
    </row>
    <row r="211" spans="2:23" outlineLevel="1">
      <c r="B211" s="160"/>
      <c r="C211" s="161"/>
      <c r="D211" s="150"/>
      <c r="E211" s="162"/>
      <c r="F211" s="152"/>
      <c r="G211"/>
      <c r="H211"/>
      <c r="I211"/>
      <c r="J211"/>
      <c r="K211"/>
      <c r="L211"/>
      <c r="M211"/>
      <c r="N211"/>
      <c r="O211"/>
      <c r="P211"/>
      <c r="Q211"/>
      <c r="R211"/>
      <c r="S211"/>
      <c r="T211"/>
      <c r="U211"/>
      <c r="V211"/>
      <c r="W211"/>
    </row>
    <row r="212" spans="2:23" outlineLevel="1">
      <c r="B212" s="148"/>
      <c r="C212" s="149"/>
      <c r="D212" s="150"/>
      <c r="E212" s="151"/>
      <c r="F212" s="152"/>
      <c r="G212"/>
      <c r="H212"/>
      <c r="I212"/>
      <c r="J212"/>
      <c r="K212"/>
      <c r="L212"/>
      <c r="M212"/>
      <c r="N212"/>
      <c r="O212"/>
      <c r="P212"/>
      <c r="Q212"/>
      <c r="R212"/>
      <c r="S212"/>
      <c r="T212"/>
      <c r="U212"/>
      <c r="V212"/>
      <c r="W212"/>
    </row>
    <row r="213" spans="2:23" outlineLevel="1">
      <c r="B213" s="160"/>
      <c r="C213" s="161"/>
      <c r="D213" s="150"/>
      <c r="E213" s="162"/>
      <c r="F213" s="152"/>
      <c r="G213"/>
      <c r="H213"/>
      <c r="I213"/>
      <c r="J213"/>
      <c r="K213"/>
      <c r="L213"/>
      <c r="M213"/>
      <c r="N213"/>
      <c r="O213"/>
      <c r="P213"/>
      <c r="Q213"/>
      <c r="R213"/>
      <c r="S213"/>
      <c r="T213"/>
      <c r="U213"/>
      <c r="V213"/>
      <c r="W213"/>
    </row>
    <row r="214" spans="2:23" outlineLevel="1">
      <c r="B214" s="148"/>
      <c r="C214" s="149"/>
      <c r="D214" s="150"/>
      <c r="E214" s="151"/>
      <c r="F214" s="152"/>
      <c r="G214"/>
      <c r="H214"/>
      <c r="I214"/>
      <c r="J214"/>
      <c r="K214"/>
      <c r="L214"/>
      <c r="M214"/>
      <c r="N214"/>
      <c r="O214"/>
      <c r="P214"/>
      <c r="Q214"/>
      <c r="R214"/>
      <c r="S214"/>
      <c r="T214"/>
      <c r="U214"/>
      <c r="V214"/>
      <c r="W214"/>
    </row>
    <row r="215" spans="2:23" outlineLevel="1">
      <c r="B215" s="160"/>
      <c r="C215" s="161"/>
      <c r="D215" s="150"/>
      <c r="E215" s="162"/>
      <c r="F215" s="152"/>
      <c r="G215"/>
      <c r="H215"/>
      <c r="I215"/>
      <c r="J215"/>
      <c r="K215"/>
      <c r="L215"/>
      <c r="M215"/>
      <c r="N215"/>
      <c r="O215"/>
      <c r="P215"/>
      <c r="Q215"/>
      <c r="R215"/>
      <c r="S215"/>
      <c r="T215"/>
      <c r="U215"/>
      <c r="V215"/>
      <c r="W215"/>
    </row>
    <row r="216" spans="2:23" outlineLevel="1">
      <c r="B216" s="148"/>
      <c r="C216" s="149"/>
      <c r="D216" s="150"/>
      <c r="E216" s="151"/>
      <c r="F216" s="152"/>
      <c r="G216"/>
      <c r="H216"/>
      <c r="I216"/>
      <c r="J216"/>
      <c r="K216"/>
      <c r="L216"/>
      <c r="M216"/>
      <c r="N216"/>
      <c r="O216"/>
      <c r="P216"/>
      <c r="Q216"/>
      <c r="R216"/>
      <c r="S216"/>
      <c r="T216"/>
      <c r="U216"/>
      <c r="V216"/>
      <c r="W216"/>
    </row>
    <row r="217" spans="2:23" outlineLevel="1">
      <c r="B217" s="160"/>
      <c r="C217" s="161"/>
      <c r="D217" s="150"/>
      <c r="E217" s="162"/>
      <c r="F217" s="152"/>
      <c r="G217"/>
      <c r="H217"/>
      <c r="I217"/>
      <c r="J217"/>
      <c r="K217"/>
      <c r="L217"/>
      <c r="M217"/>
      <c r="N217"/>
      <c r="O217"/>
      <c r="P217"/>
      <c r="Q217"/>
      <c r="R217"/>
      <c r="S217"/>
      <c r="T217"/>
      <c r="U217"/>
      <c r="V217"/>
      <c r="W217"/>
    </row>
    <row r="218" spans="2:23" outlineLevel="1">
      <c r="B218" s="148"/>
      <c r="C218" s="149"/>
      <c r="D218" s="150"/>
      <c r="E218" s="151"/>
      <c r="F218" s="152"/>
      <c r="G218"/>
      <c r="H218"/>
      <c r="I218"/>
      <c r="J218"/>
      <c r="K218"/>
      <c r="L218"/>
      <c r="M218"/>
      <c r="N218"/>
      <c r="O218"/>
      <c r="P218"/>
      <c r="Q218"/>
      <c r="R218"/>
      <c r="S218"/>
      <c r="T218"/>
      <c r="U218"/>
      <c r="V218"/>
      <c r="W218"/>
    </row>
    <row r="219" spans="2:23" outlineLevel="1">
      <c r="B219" s="160"/>
      <c r="C219" s="161"/>
      <c r="D219" s="150"/>
      <c r="E219" s="162"/>
      <c r="F219" s="152"/>
      <c r="G219"/>
      <c r="H219"/>
      <c r="I219"/>
      <c r="J219"/>
      <c r="K219"/>
      <c r="L219"/>
      <c r="M219"/>
      <c r="N219"/>
      <c r="O219"/>
      <c r="P219"/>
      <c r="Q219"/>
      <c r="R219"/>
      <c r="S219"/>
      <c r="T219"/>
      <c r="U219"/>
      <c r="V219"/>
      <c r="W219"/>
    </row>
    <row r="220" spans="2:23" outlineLevel="1">
      <c r="B220" s="148"/>
      <c r="C220" s="149"/>
      <c r="D220" s="150"/>
      <c r="E220" s="151"/>
      <c r="F220" s="152"/>
      <c r="G220"/>
      <c r="H220"/>
      <c r="I220"/>
      <c r="J220"/>
      <c r="K220"/>
      <c r="L220"/>
      <c r="M220"/>
      <c r="N220"/>
      <c r="O220"/>
      <c r="P220"/>
      <c r="Q220"/>
      <c r="R220"/>
      <c r="S220"/>
      <c r="T220"/>
      <c r="U220"/>
      <c r="V220"/>
      <c r="W220"/>
    </row>
    <row r="221" spans="2:23" outlineLevel="1">
      <c r="B221" s="160"/>
      <c r="C221" s="161"/>
      <c r="D221" s="150"/>
      <c r="E221" s="162"/>
      <c r="F221" s="152"/>
      <c r="G221"/>
      <c r="H221"/>
      <c r="I221"/>
      <c r="J221"/>
      <c r="K221"/>
      <c r="L221"/>
      <c r="M221"/>
      <c r="N221"/>
      <c r="O221"/>
      <c r="P221"/>
      <c r="Q221"/>
      <c r="R221"/>
      <c r="S221"/>
      <c r="T221"/>
      <c r="U221"/>
      <c r="V221"/>
      <c r="W221"/>
    </row>
    <row r="222" spans="2:23" outlineLevel="1">
      <c r="B222" s="148"/>
      <c r="C222" s="149"/>
      <c r="D222" s="150"/>
      <c r="E222" s="151"/>
      <c r="F222" s="152"/>
      <c r="G222"/>
      <c r="H222"/>
      <c r="I222"/>
      <c r="J222"/>
      <c r="K222"/>
      <c r="L222"/>
      <c r="M222"/>
      <c r="N222"/>
      <c r="O222"/>
      <c r="P222"/>
      <c r="Q222"/>
      <c r="R222"/>
      <c r="S222"/>
      <c r="T222"/>
      <c r="U222"/>
      <c r="V222"/>
      <c r="W222"/>
    </row>
    <row r="223" spans="2:23" outlineLevel="1">
      <c r="B223" s="160"/>
      <c r="C223" s="161"/>
      <c r="D223" s="150"/>
      <c r="E223" s="162"/>
      <c r="F223" s="152"/>
      <c r="G223"/>
      <c r="H223"/>
      <c r="I223"/>
      <c r="J223"/>
      <c r="K223"/>
      <c r="L223"/>
      <c r="M223"/>
      <c r="N223"/>
      <c r="O223"/>
      <c r="P223"/>
      <c r="Q223"/>
      <c r="R223"/>
      <c r="S223"/>
      <c r="T223"/>
      <c r="U223"/>
      <c r="V223"/>
      <c r="W223"/>
    </row>
    <row r="224" spans="2:23" outlineLevel="1">
      <c r="B224" s="148"/>
      <c r="C224" s="149"/>
      <c r="D224" s="150"/>
      <c r="E224" s="151"/>
      <c r="F224" s="152"/>
      <c r="G224"/>
      <c r="H224"/>
      <c r="I224"/>
      <c r="J224"/>
      <c r="K224"/>
      <c r="L224"/>
      <c r="M224"/>
      <c r="N224"/>
      <c r="O224"/>
      <c r="P224"/>
      <c r="Q224"/>
      <c r="R224"/>
      <c r="S224"/>
      <c r="T224"/>
      <c r="U224"/>
      <c r="V224"/>
      <c r="W224"/>
    </row>
    <row r="225" spans="2:23" outlineLevel="1">
      <c r="B225" s="160"/>
      <c r="C225" s="161"/>
      <c r="D225" s="150"/>
      <c r="E225" s="162"/>
      <c r="F225" s="152"/>
      <c r="G225"/>
      <c r="H225"/>
      <c r="I225"/>
      <c r="J225"/>
      <c r="K225"/>
      <c r="L225"/>
      <c r="M225"/>
      <c r="N225"/>
      <c r="O225"/>
      <c r="P225"/>
      <c r="Q225"/>
      <c r="R225"/>
      <c r="S225"/>
      <c r="T225"/>
      <c r="U225"/>
      <c r="V225"/>
      <c r="W225"/>
    </row>
    <row r="226" spans="2:23" outlineLevel="1">
      <c r="B226" s="148"/>
      <c r="C226" s="149"/>
      <c r="D226" s="150"/>
      <c r="E226" s="151"/>
      <c r="F226" s="152"/>
      <c r="G226"/>
      <c r="H226"/>
      <c r="I226"/>
      <c r="J226"/>
      <c r="K226"/>
      <c r="L226"/>
      <c r="M226"/>
      <c r="N226"/>
      <c r="O226"/>
      <c r="P226"/>
      <c r="Q226"/>
      <c r="R226"/>
      <c r="S226"/>
      <c r="T226"/>
      <c r="U226"/>
      <c r="V226"/>
      <c r="W226"/>
    </row>
    <row r="227" spans="2:23" outlineLevel="1">
      <c r="B227" s="160"/>
      <c r="C227" s="161"/>
      <c r="D227" s="150"/>
      <c r="E227" s="162"/>
      <c r="F227" s="152"/>
      <c r="G227"/>
      <c r="H227"/>
      <c r="I227"/>
      <c r="J227"/>
      <c r="K227"/>
      <c r="L227"/>
      <c r="M227"/>
      <c r="N227"/>
      <c r="O227"/>
      <c r="P227"/>
      <c r="Q227"/>
      <c r="R227"/>
      <c r="S227"/>
      <c r="T227"/>
      <c r="U227"/>
      <c r="V227"/>
      <c r="W227"/>
    </row>
    <row r="228" spans="2:23" outlineLevel="1">
      <c r="B228" s="148"/>
      <c r="C228" s="149"/>
      <c r="D228" s="150"/>
      <c r="E228" s="151"/>
      <c r="F228" s="152"/>
      <c r="G228"/>
      <c r="H228"/>
      <c r="I228"/>
      <c r="J228"/>
      <c r="K228"/>
      <c r="L228"/>
      <c r="M228"/>
      <c r="N228"/>
      <c r="O228"/>
      <c r="P228"/>
      <c r="Q228"/>
      <c r="R228"/>
      <c r="S228"/>
      <c r="T228"/>
      <c r="U228"/>
      <c r="V228"/>
      <c r="W228"/>
    </row>
    <row r="229" spans="2:23" outlineLevel="1">
      <c r="B229" s="160"/>
      <c r="C229" s="161"/>
      <c r="D229" s="150"/>
      <c r="E229" s="162"/>
      <c r="F229" s="152"/>
      <c r="G229"/>
      <c r="H229"/>
      <c r="I229"/>
      <c r="J229"/>
      <c r="K229"/>
      <c r="L229"/>
      <c r="M229"/>
      <c r="N229"/>
      <c r="O229"/>
      <c r="P229"/>
      <c r="Q229"/>
      <c r="R229"/>
      <c r="S229"/>
      <c r="T229"/>
      <c r="U229"/>
      <c r="V229"/>
      <c r="W229"/>
    </row>
    <row r="230" spans="2:23" outlineLevel="1">
      <c r="B230" s="148"/>
      <c r="C230" s="149"/>
      <c r="D230" s="150"/>
      <c r="E230" s="151"/>
      <c r="F230" s="152"/>
      <c r="G230"/>
      <c r="H230"/>
      <c r="I230"/>
      <c r="J230"/>
      <c r="K230"/>
      <c r="L230"/>
      <c r="M230"/>
      <c r="N230"/>
      <c r="O230"/>
      <c r="P230"/>
      <c r="Q230"/>
      <c r="R230"/>
      <c r="S230"/>
      <c r="T230"/>
      <c r="U230"/>
      <c r="V230"/>
      <c r="W230"/>
    </row>
    <row r="231" spans="2:23" outlineLevel="1">
      <c r="B231" s="160"/>
      <c r="C231" s="161"/>
      <c r="D231" s="150"/>
      <c r="E231" s="162"/>
      <c r="F231" s="152"/>
      <c r="G231"/>
      <c r="H231"/>
      <c r="I231"/>
      <c r="J231"/>
      <c r="K231"/>
      <c r="L231"/>
      <c r="M231"/>
      <c r="N231"/>
      <c r="O231"/>
      <c r="P231"/>
      <c r="Q231"/>
      <c r="R231"/>
      <c r="S231"/>
      <c r="T231"/>
      <c r="U231"/>
      <c r="V231"/>
      <c r="W231"/>
    </row>
    <row r="232" spans="2:23" outlineLevel="1">
      <c r="B232" s="148"/>
      <c r="C232" s="149"/>
      <c r="D232" s="150"/>
      <c r="E232" s="151"/>
      <c r="F232" s="152"/>
      <c r="G232"/>
      <c r="H232"/>
      <c r="I232"/>
      <c r="J232"/>
      <c r="K232"/>
      <c r="L232"/>
      <c r="M232"/>
      <c r="N232"/>
      <c r="O232"/>
      <c r="P232"/>
      <c r="Q232"/>
      <c r="R232"/>
      <c r="S232"/>
      <c r="T232"/>
      <c r="U232"/>
      <c r="V232"/>
      <c r="W232"/>
    </row>
    <row r="233" spans="2:23" outlineLevel="1">
      <c r="B233" s="160"/>
      <c r="C233" s="161"/>
      <c r="D233" s="150"/>
      <c r="E233" s="162"/>
      <c r="F233" s="152"/>
      <c r="G233"/>
      <c r="H233"/>
      <c r="I233"/>
      <c r="J233"/>
      <c r="K233"/>
      <c r="L233"/>
      <c r="M233"/>
      <c r="N233"/>
      <c r="O233"/>
      <c r="P233"/>
      <c r="Q233"/>
      <c r="R233"/>
      <c r="S233"/>
      <c r="T233"/>
      <c r="U233"/>
      <c r="V233"/>
      <c r="W233"/>
    </row>
    <row r="234" spans="2:23" outlineLevel="1">
      <c r="B234" s="148"/>
      <c r="C234" s="149"/>
      <c r="D234" s="150"/>
      <c r="E234" s="151"/>
      <c r="F234" s="152"/>
      <c r="G234"/>
      <c r="H234"/>
      <c r="I234"/>
      <c r="J234"/>
      <c r="K234"/>
      <c r="L234"/>
      <c r="M234"/>
      <c r="N234"/>
      <c r="O234"/>
      <c r="P234"/>
      <c r="Q234"/>
      <c r="R234"/>
      <c r="S234"/>
      <c r="T234"/>
      <c r="U234"/>
      <c r="V234"/>
      <c r="W234"/>
    </row>
    <row r="235" spans="2:23" outlineLevel="1">
      <c r="B235" s="160"/>
      <c r="C235" s="161"/>
      <c r="D235" s="150"/>
      <c r="E235" s="162"/>
      <c r="F235" s="152"/>
      <c r="G235"/>
      <c r="H235"/>
      <c r="I235"/>
      <c r="J235"/>
      <c r="K235"/>
      <c r="L235"/>
      <c r="M235"/>
      <c r="N235"/>
      <c r="O235"/>
      <c r="P235"/>
      <c r="Q235"/>
      <c r="R235"/>
      <c r="S235"/>
      <c r="T235"/>
      <c r="U235"/>
      <c r="V235"/>
      <c r="W235"/>
    </row>
    <row r="236" spans="2:23" outlineLevel="1">
      <c r="B236" s="148"/>
      <c r="C236" s="149"/>
      <c r="D236" s="150"/>
      <c r="E236" s="151"/>
      <c r="F236" s="152"/>
      <c r="G236"/>
      <c r="H236"/>
      <c r="I236"/>
      <c r="J236"/>
      <c r="K236"/>
      <c r="L236"/>
      <c r="M236"/>
      <c r="N236"/>
      <c r="O236"/>
      <c r="P236"/>
      <c r="Q236"/>
      <c r="R236"/>
      <c r="S236"/>
      <c r="T236"/>
      <c r="U236"/>
      <c r="V236"/>
      <c r="W236"/>
    </row>
    <row r="237" spans="2:23" outlineLevel="1">
      <c r="B237" s="160"/>
      <c r="C237" s="161"/>
      <c r="D237" s="150"/>
      <c r="E237" s="162"/>
      <c r="F237" s="152"/>
      <c r="G237"/>
      <c r="H237"/>
      <c r="I237"/>
      <c r="J237"/>
      <c r="K237"/>
      <c r="L237"/>
      <c r="M237"/>
      <c r="N237"/>
      <c r="O237"/>
      <c r="P237"/>
      <c r="Q237"/>
      <c r="R237"/>
      <c r="S237"/>
      <c r="T237"/>
      <c r="U237"/>
      <c r="V237"/>
      <c r="W237"/>
    </row>
    <row r="238" spans="2:23" outlineLevel="1">
      <c r="B238" s="148"/>
      <c r="C238" s="149"/>
      <c r="D238" s="150"/>
      <c r="E238" s="151"/>
      <c r="F238" s="152"/>
      <c r="G238"/>
      <c r="H238"/>
      <c r="I238"/>
      <c r="J238"/>
      <c r="K238"/>
      <c r="L238"/>
      <c r="M238"/>
      <c r="N238"/>
      <c r="O238"/>
      <c r="P238"/>
      <c r="Q238"/>
      <c r="R238"/>
      <c r="S238"/>
      <c r="T238"/>
      <c r="U238"/>
      <c r="V238"/>
      <c r="W238"/>
    </row>
    <row r="239" spans="2:23" outlineLevel="1">
      <c r="B239" s="160"/>
      <c r="C239" s="161"/>
      <c r="D239" s="150"/>
      <c r="E239" s="162"/>
      <c r="F239" s="152"/>
      <c r="G239"/>
      <c r="H239"/>
      <c r="I239"/>
      <c r="J239"/>
      <c r="K239"/>
      <c r="L239"/>
      <c r="M239"/>
      <c r="N239"/>
      <c r="O239"/>
      <c r="P239"/>
      <c r="Q239"/>
      <c r="R239"/>
      <c r="S239"/>
      <c r="T239"/>
      <c r="U239"/>
      <c r="V239"/>
      <c r="W239"/>
    </row>
    <row r="240" spans="2:23" outlineLevel="1">
      <c r="B240" s="148"/>
      <c r="C240" s="149"/>
      <c r="D240" s="150"/>
      <c r="E240" s="151"/>
      <c r="F240" s="152"/>
      <c r="G240"/>
      <c r="H240"/>
      <c r="I240"/>
      <c r="J240"/>
      <c r="K240"/>
      <c r="L240"/>
      <c r="M240"/>
      <c r="N240"/>
      <c r="O240"/>
      <c r="P240"/>
      <c r="Q240"/>
      <c r="R240"/>
      <c r="S240"/>
      <c r="T240"/>
      <c r="U240"/>
      <c r="V240"/>
      <c r="W240"/>
    </row>
    <row r="241" spans="2:23" outlineLevel="1">
      <c r="B241" s="160"/>
      <c r="C241" s="161"/>
      <c r="D241" s="150"/>
      <c r="E241" s="162"/>
      <c r="F241" s="152"/>
      <c r="G241"/>
      <c r="H241"/>
      <c r="I241"/>
      <c r="J241"/>
      <c r="K241"/>
      <c r="L241"/>
      <c r="M241"/>
      <c r="N241"/>
      <c r="O241"/>
      <c r="P241"/>
      <c r="Q241"/>
      <c r="R241"/>
      <c r="S241"/>
      <c r="T241"/>
      <c r="U241"/>
      <c r="V241"/>
      <c r="W241"/>
    </row>
    <row r="242" spans="2:23" outlineLevel="1">
      <c r="B242" s="148"/>
      <c r="C242" s="149"/>
      <c r="D242" s="150"/>
      <c r="E242" s="151"/>
      <c r="F242" s="152"/>
      <c r="G242"/>
      <c r="H242"/>
      <c r="I242"/>
      <c r="J242"/>
      <c r="K242"/>
      <c r="L242"/>
      <c r="M242"/>
      <c r="N242"/>
      <c r="O242"/>
      <c r="P242"/>
      <c r="Q242"/>
      <c r="R242"/>
      <c r="S242"/>
      <c r="T242"/>
      <c r="U242"/>
      <c r="V242"/>
      <c r="W242"/>
    </row>
    <row r="243" spans="2:23" outlineLevel="1">
      <c r="B243" s="160"/>
      <c r="C243" s="161"/>
      <c r="D243" s="150"/>
      <c r="E243" s="162"/>
      <c r="F243" s="152"/>
      <c r="G243"/>
      <c r="H243"/>
      <c r="I243"/>
      <c r="J243"/>
      <c r="K243"/>
      <c r="L243"/>
      <c r="M243"/>
      <c r="N243"/>
      <c r="O243"/>
      <c r="P243"/>
      <c r="Q243"/>
      <c r="R243"/>
      <c r="S243"/>
      <c r="T243"/>
      <c r="U243"/>
      <c r="V243"/>
      <c r="W243"/>
    </row>
    <row r="244" spans="2:23" outlineLevel="1">
      <c r="B244" s="148"/>
      <c r="C244" s="149"/>
      <c r="D244" s="150"/>
      <c r="E244" s="151"/>
      <c r="F244" s="152"/>
      <c r="G244"/>
      <c r="H244"/>
      <c r="I244"/>
      <c r="J244"/>
      <c r="K244"/>
      <c r="L244"/>
      <c r="M244"/>
      <c r="N244"/>
      <c r="O244"/>
      <c r="P244"/>
      <c r="Q244"/>
      <c r="R244"/>
      <c r="S244"/>
      <c r="T244"/>
      <c r="U244"/>
      <c r="V244"/>
      <c r="W244"/>
    </row>
    <row r="245" spans="2:23" outlineLevel="1">
      <c r="B245" s="160"/>
      <c r="C245" s="161"/>
      <c r="D245" s="150"/>
      <c r="E245" s="162"/>
      <c r="F245" s="152"/>
      <c r="G245"/>
      <c r="H245"/>
      <c r="I245"/>
      <c r="J245"/>
      <c r="K245"/>
      <c r="L245"/>
      <c r="M245"/>
      <c r="N245"/>
      <c r="O245"/>
      <c r="P245"/>
      <c r="Q245"/>
      <c r="R245"/>
      <c r="S245"/>
      <c r="T245"/>
      <c r="U245"/>
      <c r="V245"/>
      <c r="W245"/>
    </row>
    <row r="246" spans="2:23" outlineLevel="1">
      <c r="B246" s="148"/>
      <c r="C246" s="149"/>
      <c r="D246" s="150"/>
      <c r="E246" s="151"/>
      <c r="F246" s="152"/>
      <c r="G246"/>
      <c r="H246"/>
      <c r="I246"/>
      <c r="J246"/>
      <c r="K246"/>
      <c r="L246"/>
      <c r="M246"/>
      <c r="N246"/>
      <c r="O246"/>
      <c r="P246"/>
      <c r="Q246"/>
      <c r="R246"/>
      <c r="S246"/>
      <c r="T246"/>
      <c r="U246"/>
      <c r="V246"/>
      <c r="W246"/>
    </row>
    <row r="247" spans="2:23" outlineLevel="1">
      <c r="B247" s="160"/>
      <c r="C247" s="161"/>
      <c r="D247" s="150"/>
      <c r="E247" s="162"/>
      <c r="F247" s="152"/>
      <c r="G247"/>
      <c r="H247"/>
      <c r="I247"/>
      <c r="J247"/>
      <c r="K247"/>
      <c r="L247"/>
      <c r="M247"/>
      <c r="N247"/>
      <c r="O247"/>
      <c r="P247"/>
      <c r="Q247"/>
      <c r="R247"/>
      <c r="S247"/>
      <c r="T247"/>
      <c r="U247"/>
      <c r="V247"/>
      <c r="W247"/>
    </row>
    <row r="248" spans="2:23" outlineLevel="1">
      <c r="B248" s="148"/>
      <c r="C248" s="149"/>
      <c r="D248" s="150"/>
      <c r="E248" s="151"/>
      <c r="F248" s="152"/>
      <c r="G248"/>
      <c r="H248"/>
      <c r="I248"/>
      <c r="J248"/>
      <c r="K248"/>
      <c r="L248"/>
      <c r="M248"/>
      <c r="N248"/>
      <c r="O248"/>
      <c r="P248"/>
      <c r="Q248"/>
      <c r="R248"/>
      <c r="S248"/>
      <c r="T248"/>
      <c r="U248"/>
      <c r="V248"/>
      <c r="W248"/>
    </row>
    <row r="249" spans="2:23" outlineLevel="1">
      <c r="B249" s="160"/>
      <c r="C249" s="161"/>
      <c r="D249" s="150"/>
      <c r="E249" s="162"/>
      <c r="F249" s="152"/>
      <c r="G249"/>
      <c r="H249"/>
      <c r="I249"/>
      <c r="J249"/>
      <c r="K249"/>
      <c r="L249"/>
      <c r="M249"/>
      <c r="N249"/>
      <c r="O249"/>
      <c r="P249"/>
      <c r="Q249"/>
      <c r="R249"/>
      <c r="S249"/>
      <c r="T249"/>
      <c r="U249"/>
      <c r="V249"/>
      <c r="W249"/>
    </row>
    <row r="250" spans="2:23" outlineLevel="1">
      <c r="B250" s="148"/>
      <c r="C250" s="149"/>
      <c r="D250" s="150"/>
      <c r="E250" s="151"/>
      <c r="F250" s="152"/>
      <c r="G250"/>
      <c r="H250"/>
      <c r="I250"/>
      <c r="J250"/>
      <c r="K250"/>
      <c r="L250"/>
      <c r="M250"/>
      <c r="N250"/>
      <c r="O250"/>
      <c r="P250"/>
      <c r="Q250"/>
      <c r="R250"/>
      <c r="S250"/>
      <c r="T250"/>
      <c r="U250"/>
      <c r="V250"/>
      <c r="W250"/>
    </row>
    <row r="251" spans="2:23" outlineLevel="1">
      <c r="B251" s="160"/>
      <c r="C251" s="161"/>
      <c r="D251" s="150"/>
      <c r="E251" s="162"/>
      <c r="F251" s="152"/>
      <c r="G251"/>
      <c r="H251"/>
      <c r="I251"/>
      <c r="J251"/>
      <c r="K251"/>
      <c r="L251"/>
      <c r="M251"/>
      <c r="N251"/>
      <c r="O251"/>
      <c r="P251"/>
      <c r="Q251"/>
      <c r="R251"/>
      <c r="S251"/>
      <c r="T251"/>
      <c r="U251"/>
      <c r="V251"/>
      <c r="W251"/>
    </row>
    <row r="252" spans="2:23" outlineLevel="1">
      <c r="B252" s="148"/>
      <c r="C252" s="149"/>
      <c r="D252" s="150"/>
      <c r="E252" s="151"/>
      <c r="F252" s="152"/>
      <c r="G252"/>
      <c r="H252"/>
      <c r="I252"/>
      <c r="J252"/>
      <c r="K252"/>
      <c r="L252"/>
      <c r="M252"/>
      <c r="N252"/>
      <c r="O252"/>
      <c r="P252"/>
      <c r="Q252"/>
      <c r="R252"/>
      <c r="S252"/>
      <c r="T252"/>
      <c r="U252"/>
      <c r="V252"/>
      <c r="W252"/>
    </row>
    <row r="253" spans="2:23" outlineLevel="1">
      <c r="B253" s="160"/>
      <c r="C253" s="161"/>
      <c r="D253" s="150"/>
      <c r="E253" s="162"/>
      <c r="F253" s="152"/>
      <c r="G253"/>
      <c r="H253"/>
      <c r="I253"/>
      <c r="J253"/>
      <c r="K253"/>
      <c r="L253"/>
      <c r="M253"/>
      <c r="N253"/>
      <c r="O253"/>
      <c r="P253"/>
      <c r="Q253"/>
      <c r="R253"/>
      <c r="S253"/>
      <c r="T253"/>
      <c r="U253"/>
      <c r="V253"/>
      <c r="W253"/>
    </row>
    <row r="254" spans="2:23" outlineLevel="1">
      <c r="B254" s="148"/>
      <c r="C254" s="149"/>
      <c r="D254" s="150"/>
      <c r="E254" s="151"/>
      <c r="F254" s="152"/>
      <c r="G254"/>
      <c r="H254"/>
      <c r="I254"/>
      <c r="J254"/>
      <c r="K254"/>
      <c r="L254"/>
      <c r="M254"/>
      <c r="N254"/>
      <c r="O254"/>
      <c r="P254"/>
      <c r="Q254"/>
      <c r="R254"/>
      <c r="S254"/>
      <c r="T254"/>
      <c r="U254"/>
      <c r="V254"/>
      <c r="W254"/>
    </row>
    <row r="255" spans="2:23" outlineLevel="1">
      <c r="B255" s="160"/>
      <c r="C255" s="161"/>
      <c r="D255" s="150"/>
      <c r="E255" s="162"/>
      <c r="F255" s="152"/>
      <c r="G255"/>
      <c r="H255"/>
      <c r="I255"/>
      <c r="J255"/>
      <c r="K255"/>
      <c r="L255"/>
      <c r="M255"/>
      <c r="N255"/>
      <c r="O255"/>
      <c r="P255"/>
      <c r="Q255"/>
      <c r="R255"/>
      <c r="S255"/>
      <c r="T255"/>
      <c r="U255"/>
      <c r="V255"/>
      <c r="W255"/>
    </row>
    <row r="256" spans="2:23" outlineLevel="1">
      <c r="B256" s="148"/>
      <c r="C256" s="149"/>
      <c r="D256" s="150"/>
      <c r="E256" s="151"/>
      <c r="F256" s="152"/>
      <c r="G256"/>
      <c r="H256"/>
      <c r="I256"/>
      <c r="J256"/>
      <c r="K256"/>
      <c r="L256"/>
      <c r="M256"/>
      <c r="N256"/>
      <c r="O256"/>
      <c r="P256"/>
      <c r="Q256"/>
      <c r="R256"/>
      <c r="S256"/>
      <c r="T256"/>
      <c r="U256"/>
      <c r="V256"/>
      <c r="W256"/>
    </row>
    <row r="257" spans="2:23" outlineLevel="1">
      <c r="B257" s="160"/>
      <c r="C257" s="161"/>
      <c r="D257" s="150"/>
      <c r="E257" s="162"/>
      <c r="F257" s="152"/>
      <c r="G257"/>
      <c r="H257"/>
      <c r="I257"/>
      <c r="J257"/>
      <c r="K257"/>
      <c r="L257"/>
      <c r="M257"/>
      <c r="N257"/>
      <c r="O257"/>
      <c r="P257"/>
      <c r="Q257"/>
      <c r="R257"/>
      <c r="S257"/>
      <c r="T257"/>
      <c r="U257"/>
      <c r="V257"/>
      <c r="W257"/>
    </row>
    <row r="258" spans="2:23" outlineLevel="1">
      <c r="B258" s="148"/>
      <c r="C258" s="149"/>
      <c r="D258" s="150"/>
      <c r="E258" s="151"/>
      <c r="F258" s="152"/>
      <c r="G258"/>
      <c r="H258"/>
      <c r="I258"/>
      <c r="J258"/>
      <c r="K258"/>
      <c r="L258"/>
      <c r="M258"/>
      <c r="N258"/>
      <c r="O258"/>
      <c r="P258"/>
      <c r="Q258"/>
      <c r="R258"/>
      <c r="S258"/>
      <c r="T258"/>
      <c r="U258"/>
      <c r="V258"/>
      <c r="W258"/>
    </row>
    <row r="259" spans="2:23" outlineLevel="1">
      <c r="B259" s="160"/>
      <c r="C259" s="161"/>
      <c r="D259" s="150"/>
      <c r="E259" s="162"/>
      <c r="F259" s="152"/>
      <c r="G259"/>
      <c r="H259"/>
      <c r="I259"/>
      <c r="J259"/>
      <c r="K259"/>
      <c r="L259"/>
      <c r="M259"/>
      <c r="N259"/>
      <c r="O259"/>
      <c r="P259"/>
      <c r="Q259"/>
      <c r="R259"/>
      <c r="S259"/>
      <c r="T259"/>
      <c r="U259"/>
      <c r="V259"/>
      <c r="W259"/>
    </row>
    <row r="260" spans="2:23" outlineLevel="1">
      <c r="B260" s="148"/>
      <c r="C260" s="149"/>
      <c r="D260" s="150"/>
      <c r="E260" s="151"/>
      <c r="F260" s="152"/>
      <c r="G260"/>
      <c r="H260"/>
      <c r="I260"/>
      <c r="J260"/>
      <c r="K260"/>
      <c r="L260"/>
      <c r="M260"/>
      <c r="N260"/>
      <c r="O260"/>
      <c r="P260"/>
      <c r="Q260"/>
      <c r="R260"/>
      <c r="S260"/>
      <c r="T260"/>
      <c r="U260"/>
      <c r="V260"/>
      <c r="W260"/>
    </row>
    <row r="261" spans="2:23" outlineLevel="1">
      <c r="B261" s="160"/>
      <c r="C261" s="161"/>
      <c r="D261" s="150"/>
      <c r="E261" s="162"/>
      <c r="F261" s="152"/>
      <c r="G261"/>
      <c r="H261"/>
      <c r="I261"/>
      <c r="J261"/>
      <c r="K261"/>
      <c r="L261"/>
      <c r="M261"/>
      <c r="N261"/>
      <c r="O261"/>
      <c r="P261"/>
      <c r="Q261"/>
      <c r="R261"/>
      <c r="S261"/>
      <c r="T261"/>
      <c r="U261"/>
      <c r="V261"/>
      <c r="W261"/>
    </row>
    <row r="262" spans="2:23" outlineLevel="1">
      <c r="B262" s="148"/>
      <c r="C262" s="149"/>
      <c r="D262" s="150"/>
      <c r="E262" s="151"/>
      <c r="F262" s="152"/>
      <c r="G262"/>
      <c r="H262"/>
      <c r="I262"/>
      <c r="J262"/>
      <c r="K262"/>
      <c r="L262"/>
      <c r="M262"/>
      <c r="N262"/>
      <c r="O262"/>
      <c r="P262"/>
      <c r="Q262"/>
      <c r="R262"/>
      <c r="S262"/>
      <c r="T262"/>
      <c r="U262"/>
      <c r="V262"/>
      <c r="W262"/>
    </row>
    <row r="263" spans="2:23" outlineLevel="1">
      <c r="B263" s="160"/>
      <c r="C263" s="161"/>
      <c r="D263" s="150"/>
      <c r="E263" s="162"/>
      <c r="F263" s="152"/>
      <c r="G263"/>
      <c r="H263"/>
      <c r="I263"/>
      <c r="J263"/>
      <c r="K263"/>
      <c r="L263"/>
      <c r="M263"/>
      <c r="N263"/>
      <c r="O263"/>
      <c r="P263"/>
      <c r="Q263"/>
      <c r="R263"/>
      <c r="S263"/>
      <c r="T263"/>
      <c r="U263"/>
      <c r="V263"/>
      <c r="W263"/>
    </row>
    <row r="264" spans="2:23" outlineLevel="1">
      <c r="B264" s="148"/>
      <c r="C264" s="149"/>
      <c r="D264" s="150"/>
      <c r="E264" s="151"/>
      <c r="F264" s="152"/>
      <c r="G264"/>
      <c r="H264"/>
      <c r="I264"/>
      <c r="J264"/>
      <c r="K264"/>
      <c r="L264"/>
      <c r="M264"/>
      <c r="N264"/>
      <c r="O264"/>
      <c r="P264"/>
      <c r="Q264"/>
      <c r="R264"/>
      <c r="S264"/>
      <c r="T264"/>
      <c r="U264"/>
      <c r="V264"/>
      <c r="W264"/>
    </row>
    <row r="265" spans="2:23" outlineLevel="1">
      <c r="B265" s="160"/>
      <c r="C265" s="161"/>
      <c r="D265" s="150"/>
      <c r="E265" s="162"/>
      <c r="F265" s="152"/>
      <c r="G265"/>
      <c r="H265"/>
      <c r="I265"/>
      <c r="J265"/>
      <c r="K265"/>
      <c r="L265"/>
      <c r="M265"/>
      <c r="N265"/>
      <c r="O265"/>
      <c r="P265"/>
      <c r="Q265"/>
      <c r="R265"/>
      <c r="S265"/>
      <c r="T265"/>
      <c r="U265"/>
      <c r="V265"/>
      <c r="W265"/>
    </row>
    <row r="266" spans="2:23" outlineLevel="1">
      <c r="B266" s="148"/>
      <c r="C266" s="149"/>
      <c r="D266" s="150"/>
      <c r="E266" s="151"/>
      <c r="F266" s="152"/>
      <c r="G266"/>
      <c r="H266"/>
      <c r="I266"/>
      <c r="J266"/>
      <c r="K266"/>
      <c r="L266"/>
      <c r="M266"/>
      <c r="N266"/>
      <c r="O266"/>
      <c r="P266"/>
      <c r="Q266"/>
      <c r="R266"/>
      <c r="S266"/>
      <c r="T266"/>
      <c r="U266"/>
      <c r="V266"/>
      <c r="W266"/>
    </row>
    <row r="267" spans="2:23" outlineLevel="1">
      <c r="B267" s="160"/>
      <c r="C267" s="161"/>
      <c r="D267" s="150"/>
      <c r="E267" s="162"/>
      <c r="F267" s="152"/>
      <c r="G267"/>
      <c r="H267"/>
      <c r="I267"/>
      <c r="J267"/>
      <c r="K267"/>
      <c r="L267"/>
      <c r="M267"/>
      <c r="N267"/>
      <c r="O267"/>
      <c r="P267"/>
      <c r="Q267"/>
      <c r="R267"/>
      <c r="S267"/>
      <c r="T267"/>
      <c r="U267"/>
      <c r="V267"/>
      <c r="W267"/>
    </row>
    <row r="268" spans="2:23" outlineLevel="1">
      <c r="B268" s="148"/>
      <c r="C268" s="149"/>
      <c r="D268" s="150"/>
      <c r="E268" s="151"/>
      <c r="F268" s="152"/>
      <c r="G268"/>
      <c r="H268"/>
      <c r="I268"/>
      <c r="J268"/>
      <c r="K268"/>
      <c r="L268"/>
      <c r="M268"/>
      <c r="N268"/>
      <c r="O268"/>
      <c r="P268"/>
      <c r="Q268"/>
      <c r="R268"/>
      <c r="S268"/>
      <c r="T268"/>
      <c r="U268"/>
      <c r="V268"/>
      <c r="W268"/>
    </row>
    <row r="269" spans="2:23" outlineLevel="1">
      <c r="B269" s="160"/>
      <c r="C269" s="161"/>
      <c r="D269" s="150"/>
      <c r="E269" s="162"/>
      <c r="F269" s="152"/>
      <c r="G269"/>
      <c r="H269"/>
      <c r="I269"/>
      <c r="J269"/>
      <c r="K269"/>
      <c r="L269"/>
      <c r="M269"/>
      <c r="N269"/>
      <c r="O269"/>
      <c r="P269"/>
      <c r="Q269"/>
      <c r="R269"/>
      <c r="S269"/>
      <c r="T269"/>
      <c r="U269"/>
      <c r="V269"/>
      <c r="W269"/>
    </row>
    <row r="270" spans="2:23" outlineLevel="1">
      <c r="B270" s="148"/>
      <c r="C270" s="149"/>
      <c r="D270" s="150"/>
      <c r="E270" s="151"/>
      <c r="F270" s="152"/>
      <c r="G270"/>
      <c r="H270"/>
      <c r="I270"/>
      <c r="J270"/>
      <c r="K270"/>
      <c r="L270"/>
      <c r="M270"/>
      <c r="N270"/>
      <c r="O270"/>
      <c r="P270"/>
      <c r="Q270"/>
      <c r="R270"/>
      <c r="S270"/>
      <c r="T270"/>
      <c r="U270"/>
      <c r="V270"/>
      <c r="W270"/>
    </row>
    <row r="271" spans="2:23" outlineLevel="1">
      <c r="B271" s="160"/>
      <c r="C271" s="161"/>
      <c r="D271" s="150"/>
      <c r="E271" s="162"/>
      <c r="F271" s="152"/>
      <c r="G271"/>
      <c r="H271"/>
      <c r="I271"/>
      <c r="J271"/>
      <c r="K271"/>
      <c r="L271"/>
      <c r="M271"/>
      <c r="N271"/>
      <c r="O271"/>
      <c r="P271"/>
      <c r="Q271"/>
      <c r="R271"/>
      <c r="S271"/>
      <c r="T271"/>
      <c r="U271"/>
      <c r="V271"/>
      <c r="W271"/>
    </row>
    <row r="272" spans="2:23" outlineLevel="1">
      <c r="B272" s="148"/>
      <c r="C272" s="149"/>
      <c r="D272" s="150"/>
      <c r="E272" s="151"/>
      <c r="F272" s="152"/>
      <c r="G272"/>
      <c r="H272"/>
      <c r="I272"/>
      <c r="J272"/>
      <c r="K272"/>
      <c r="L272"/>
      <c r="M272"/>
      <c r="N272"/>
      <c r="O272"/>
      <c r="P272"/>
      <c r="Q272"/>
      <c r="R272"/>
      <c r="S272"/>
      <c r="T272"/>
      <c r="U272"/>
      <c r="V272"/>
      <c r="W272"/>
    </row>
    <row r="273" spans="2:23" outlineLevel="1">
      <c r="B273" s="160"/>
      <c r="C273" s="161"/>
      <c r="D273" s="150"/>
      <c r="E273" s="162"/>
      <c r="F273" s="152"/>
      <c r="G273"/>
      <c r="H273"/>
      <c r="I273"/>
      <c r="J273"/>
      <c r="K273"/>
      <c r="L273"/>
      <c r="M273"/>
      <c r="N273"/>
      <c r="O273"/>
      <c r="P273"/>
      <c r="Q273"/>
      <c r="R273"/>
      <c r="S273"/>
      <c r="T273"/>
      <c r="U273"/>
      <c r="V273"/>
      <c r="W273"/>
    </row>
    <row r="274" spans="2:23" outlineLevel="1">
      <c r="B274" s="148"/>
      <c r="C274" s="149"/>
      <c r="D274" s="150"/>
      <c r="E274" s="151"/>
      <c r="F274" s="152"/>
      <c r="G274"/>
      <c r="H274"/>
      <c r="I274"/>
      <c r="J274"/>
      <c r="K274"/>
      <c r="L274"/>
      <c r="M274"/>
      <c r="N274"/>
      <c r="O274"/>
      <c r="P274"/>
      <c r="Q274"/>
      <c r="R274"/>
      <c r="S274"/>
      <c r="T274"/>
      <c r="U274"/>
      <c r="V274"/>
      <c r="W274"/>
    </row>
    <row r="275" spans="2:23" outlineLevel="1">
      <c r="B275" s="160"/>
      <c r="C275" s="161"/>
      <c r="D275" s="150"/>
      <c r="E275" s="162"/>
      <c r="F275" s="152"/>
      <c r="G275"/>
      <c r="H275"/>
      <c r="I275"/>
      <c r="J275"/>
      <c r="K275"/>
      <c r="L275"/>
      <c r="M275"/>
      <c r="N275"/>
      <c r="O275"/>
      <c r="P275"/>
      <c r="Q275"/>
      <c r="R275"/>
      <c r="S275"/>
      <c r="T275"/>
      <c r="U275"/>
      <c r="V275"/>
      <c r="W275"/>
    </row>
    <row r="276" spans="2:23" outlineLevel="1">
      <c r="B276" s="148"/>
      <c r="C276" s="149"/>
      <c r="D276" s="150"/>
      <c r="E276" s="151"/>
      <c r="F276" s="152"/>
      <c r="G276"/>
      <c r="H276"/>
      <c r="I276"/>
      <c r="J276"/>
      <c r="K276"/>
      <c r="L276"/>
      <c r="M276"/>
      <c r="N276"/>
      <c r="O276"/>
      <c r="P276"/>
      <c r="Q276"/>
      <c r="R276"/>
      <c r="S276"/>
      <c r="T276"/>
      <c r="U276"/>
      <c r="V276"/>
      <c r="W276"/>
    </row>
    <row r="277" spans="2:23" outlineLevel="1">
      <c r="B277" s="160"/>
      <c r="C277" s="161"/>
      <c r="D277" s="150"/>
      <c r="E277" s="162"/>
      <c r="F277" s="152"/>
      <c r="G277"/>
      <c r="H277"/>
      <c r="I277"/>
      <c r="J277"/>
      <c r="K277"/>
      <c r="L277"/>
      <c r="M277"/>
      <c r="N277"/>
      <c r="O277"/>
      <c r="P277"/>
      <c r="Q277"/>
      <c r="R277"/>
      <c r="S277"/>
      <c r="T277"/>
      <c r="U277"/>
      <c r="V277"/>
      <c r="W277"/>
    </row>
    <row r="278" spans="2:23" outlineLevel="1">
      <c r="B278" s="148"/>
      <c r="C278" s="149"/>
      <c r="D278" s="150"/>
      <c r="E278" s="151"/>
      <c r="F278" s="152"/>
      <c r="G278"/>
      <c r="H278"/>
      <c r="I278"/>
      <c r="J278"/>
      <c r="K278"/>
      <c r="L278"/>
      <c r="M278"/>
      <c r="N278"/>
      <c r="O278"/>
      <c r="P278"/>
      <c r="Q278"/>
      <c r="R278"/>
      <c r="S278"/>
      <c r="T278"/>
      <c r="U278"/>
      <c r="V278"/>
      <c r="W278"/>
    </row>
    <row r="279" spans="2:23" outlineLevel="1">
      <c r="B279" s="160"/>
      <c r="C279" s="161"/>
      <c r="D279" s="150"/>
      <c r="E279" s="162"/>
      <c r="F279" s="152"/>
      <c r="G279"/>
      <c r="H279"/>
      <c r="I279"/>
      <c r="J279"/>
      <c r="K279"/>
      <c r="L279"/>
      <c r="M279"/>
      <c r="N279"/>
      <c r="O279"/>
      <c r="P279"/>
      <c r="Q279"/>
      <c r="R279"/>
      <c r="S279"/>
      <c r="T279"/>
      <c r="U279"/>
      <c r="V279"/>
      <c r="W279"/>
    </row>
    <row r="280" spans="2:23" outlineLevel="1">
      <c r="B280" s="148"/>
      <c r="C280" s="149"/>
      <c r="D280" s="150"/>
      <c r="E280" s="151"/>
      <c r="F280" s="152"/>
      <c r="G280"/>
      <c r="H280"/>
      <c r="I280"/>
      <c r="J280"/>
      <c r="K280"/>
      <c r="L280"/>
      <c r="M280"/>
      <c r="N280"/>
      <c r="O280"/>
      <c r="P280"/>
      <c r="Q280"/>
      <c r="R280"/>
      <c r="S280"/>
      <c r="T280"/>
      <c r="U280"/>
      <c r="V280"/>
      <c r="W280"/>
    </row>
    <row r="281" spans="2:23" outlineLevel="1">
      <c r="B281" s="160"/>
      <c r="C281" s="161"/>
      <c r="D281" s="150"/>
      <c r="E281" s="162"/>
      <c r="F281" s="152"/>
      <c r="G281"/>
      <c r="H281"/>
      <c r="I281"/>
      <c r="J281"/>
      <c r="K281"/>
      <c r="L281"/>
      <c r="M281"/>
      <c r="N281"/>
      <c r="O281"/>
      <c r="P281"/>
      <c r="Q281"/>
      <c r="R281"/>
      <c r="S281"/>
      <c r="T281"/>
      <c r="U281"/>
      <c r="V281"/>
      <c r="W281"/>
    </row>
    <row r="282" spans="2:23" outlineLevel="1">
      <c r="B282" s="148"/>
      <c r="C282" s="149"/>
      <c r="D282" s="150"/>
      <c r="E282" s="151"/>
      <c r="F282" s="152"/>
      <c r="G282"/>
      <c r="H282"/>
      <c r="I282"/>
      <c r="J282"/>
      <c r="K282"/>
      <c r="L282"/>
      <c r="M282"/>
      <c r="N282"/>
      <c r="O282"/>
      <c r="P282"/>
      <c r="Q282"/>
      <c r="R282"/>
      <c r="S282"/>
      <c r="T282"/>
      <c r="U282"/>
      <c r="V282"/>
      <c r="W282"/>
    </row>
    <row r="283" spans="2:23" outlineLevel="1">
      <c r="B283" s="160"/>
      <c r="C283" s="161"/>
      <c r="D283" s="150"/>
      <c r="E283" s="162"/>
      <c r="F283" s="152"/>
      <c r="G283"/>
      <c r="H283"/>
      <c r="I283"/>
      <c r="J283"/>
      <c r="K283"/>
      <c r="L283"/>
      <c r="M283"/>
      <c r="N283"/>
      <c r="O283"/>
      <c r="P283"/>
      <c r="Q283"/>
      <c r="R283"/>
      <c r="S283"/>
      <c r="T283"/>
      <c r="U283"/>
      <c r="V283"/>
      <c r="W283"/>
    </row>
    <row r="284" spans="2:23" outlineLevel="1">
      <c r="B284" s="148"/>
      <c r="C284" s="149"/>
      <c r="D284" s="150"/>
      <c r="E284" s="151"/>
      <c r="F284" s="152"/>
      <c r="G284"/>
      <c r="H284"/>
      <c r="I284"/>
      <c r="J284"/>
      <c r="K284"/>
      <c r="L284"/>
      <c r="M284"/>
      <c r="N284"/>
      <c r="O284"/>
      <c r="P284"/>
      <c r="Q284"/>
      <c r="R284"/>
      <c r="S284"/>
      <c r="T284"/>
      <c r="U284"/>
      <c r="V284"/>
      <c r="W284"/>
    </row>
    <row r="285" spans="2:23" outlineLevel="1">
      <c r="B285" s="160"/>
      <c r="C285" s="161"/>
      <c r="D285" s="150"/>
      <c r="E285" s="162"/>
      <c r="F285" s="152"/>
      <c r="G285"/>
      <c r="H285"/>
      <c r="I285"/>
      <c r="J285"/>
      <c r="K285"/>
      <c r="L285"/>
      <c r="M285"/>
      <c r="N285"/>
      <c r="O285"/>
      <c r="P285"/>
      <c r="Q285"/>
      <c r="R285"/>
      <c r="S285"/>
      <c r="T285"/>
      <c r="U285"/>
      <c r="V285"/>
      <c r="W285"/>
    </row>
    <row r="286" spans="2:23" outlineLevel="1">
      <c r="B286" s="148"/>
      <c r="C286" s="149"/>
      <c r="D286" s="150"/>
      <c r="E286" s="151"/>
      <c r="F286" s="152"/>
      <c r="G286"/>
      <c r="H286"/>
      <c r="I286"/>
      <c r="J286"/>
      <c r="K286"/>
      <c r="L286"/>
      <c r="M286"/>
      <c r="N286"/>
      <c r="O286"/>
      <c r="P286"/>
      <c r="Q286"/>
      <c r="R286"/>
      <c r="S286"/>
      <c r="T286"/>
      <c r="U286"/>
      <c r="V286"/>
      <c r="W286"/>
    </row>
    <row r="287" spans="2:23" outlineLevel="1">
      <c r="B287" s="160"/>
      <c r="C287" s="161"/>
      <c r="D287" s="150"/>
      <c r="E287" s="162"/>
      <c r="F287" s="152"/>
      <c r="G287"/>
      <c r="H287"/>
      <c r="I287"/>
      <c r="J287"/>
      <c r="K287"/>
      <c r="L287"/>
      <c r="M287"/>
      <c r="N287"/>
      <c r="O287"/>
      <c r="P287"/>
      <c r="Q287"/>
      <c r="R287"/>
      <c r="S287"/>
      <c r="T287"/>
      <c r="U287"/>
      <c r="V287"/>
      <c r="W287"/>
    </row>
    <row r="288" spans="2:23" outlineLevel="1">
      <c r="B288" s="148"/>
      <c r="C288" s="149"/>
      <c r="D288" s="150"/>
      <c r="E288" s="151"/>
      <c r="F288" s="152"/>
      <c r="G288"/>
      <c r="H288"/>
      <c r="I288"/>
      <c r="J288"/>
      <c r="K288"/>
      <c r="L288"/>
      <c r="M288"/>
      <c r="N288"/>
      <c r="O288"/>
      <c r="P288"/>
      <c r="Q288"/>
      <c r="R288"/>
      <c r="S288"/>
      <c r="T288"/>
      <c r="U288"/>
      <c r="V288"/>
      <c r="W288"/>
    </row>
    <row r="289" spans="2:23" outlineLevel="1">
      <c r="B289" s="160"/>
      <c r="C289" s="161"/>
      <c r="D289" s="150"/>
      <c r="E289" s="162"/>
      <c r="F289" s="152"/>
      <c r="G289"/>
      <c r="H289"/>
      <c r="I289"/>
      <c r="J289"/>
      <c r="K289"/>
      <c r="L289"/>
      <c r="M289"/>
      <c r="N289"/>
      <c r="O289"/>
      <c r="P289"/>
      <c r="Q289"/>
      <c r="R289"/>
      <c r="S289"/>
      <c r="T289"/>
      <c r="U289"/>
      <c r="V289"/>
      <c r="W289"/>
    </row>
    <row r="290" spans="2:23" outlineLevel="1">
      <c r="B290" s="148"/>
      <c r="C290" s="149"/>
      <c r="D290" s="150"/>
      <c r="E290" s="151"/>
      <c r="F290" s="152"/>
      <c r="G290"/>
      <c r="H290"/>
      <c r="I290"/>
      <c r="J290"/>
      <c r="K290"/>
      <c r="L290"/>
      <c r="M290"/>
      <c r="N290"/>
      <c r="O290"/>
      <c r="P290"/>
      <c r="Q290"/>
      <c r="R290"/>
      <c r="S290"/>
      <c r="T290"/>
      <c r="U290"/>
      <c r="V290"/>
      <c r="W290"/>
    </row>
    <row r="291" spans="2:23" outlineLevel="1">
      <c r="B291" s="160"/>
      <c r="C291" s="161"/>
      <c r="D291" s="150"/>
      <c r="E291" s="162"/>
      <c r="F291" s="152"/>
      <c r="G291"/>
      <c r="H291"/>
      <c r="I291"/>
      <c r="J291"/>
      <c r="K291"/>
      <c r="L291"/>
      <c r="M291"/>
      <c r="N291"/>
      <c r="O291"/>
      <c r="P291"/>
      <c r="Q291"/>
      <c r="R291"/>
      <c r="S291"/>
      <c r="T291"/>
      <c r="U291"/>
      <c r="V291"/>
      <c r="W291"/>
    </row>
    <row r="292" spans="2:23" outlineLevel="1">
      <c r="B292" s="148"/>
      <c r="C292" s="149"/>
      <c r="D292" s="150"/>
      <c r="E292" s="151"/>
      <c r="F292" s="152"/>
      <c r="G292"/>
      <c r="H292"/>
      <c r="I292"/>
      <c r="J292"/>
      <c r="K292"/>
      <c r="L292"/>
      <c r="M292"/>
      <c r="N292"/>
      <c r="O292"/>
      <c r="P292"/>
      <c r="Q292"/>
      <c r="R292"/>
      <c r="S292"/>
      <c r="T292"/>
      <c r="U292"/>
      <c r="V292"/>
      <c r="W292"/>
    </row>
    <row r="293" spans="2:23" outlineLevel="1">
      <c r="B293" s="160"/>
      <c r="C293" s="161"/>
      <c r="D293" s="150"/>
      <c r="E293" s="162"/>
      <c r="F293" s="152"/>
      <c r="G293"/>
      <c r="H293"/>
      <c r="I293"/>
      <c r="J293"/>
      <c r="K293"/>
      <c r="L293"/>
      <c r="M293"/>
      <c r="N293"/>
      <c r="O293"/>
      <c r="P293"/>
      <c r="Q293"/>
      <c r="R293"/>
      <c r="S293"/>
      <c r="T293"/>
      <c r="U293"/>
      <c r="V293"/>
      <c r="W293"/>
    </row>
    <row r="294" spans="2:23" outlineLevel="1">
      <c r="B294" s="148"/>
      <c r="C294" s="149"/>
      <c r="D294" s="150"/>
      <c r="E294" s="151"/>
      <c r="F294" s="152"/>
      <c r="G294"/>
      <c r="H294"/>
      <c r="I294"/>
      <c r="J294"/>
      <c r="K294"/>
      <c r="L294"/>
      <c r="M294"/>
      <c r="N294"/>
      <c r="O294"/>
      <c r="P294"/>
      <c r="Q294"/>
      <c r="R294"/>
      <c r="S294"/>
      <c r="T294"/>
      <c r="U294"/>
      <c r="V294"/>
      <c r="W294"/>
    </row>
    <row r="295" spans="2:23" outlineLevel="1">
      <c r="B295" s="160"/>
      <c r="C295" s="161"/>
      <c r="D295" s="150"/>
      <c r="E295" s="162"/>
      <c r="F295" s="152"/>
      <c r="G295"/>
      <c r="H295"/>
      <c r="I295"/>
      <c r="J295"/>
      <c r="K295"/>
      <c r="L295"/>
      <c r="M295"/>
      <c r="N295"/>
      <c r="O295"/>
      <c r="P295"/>
      <c r="Q295"/>
      <c r="R295"/>
      <c r="S295"/>
      <c r="T295"/>
      <c r="U295"/>
      <c r="V295"/>
      <c r="W295"/>
    </row>
    <row r="296" spans="2:23" outlineLevel="1">
      <c r="B296" s="148"/>
      <c r="C296" s="149"/>
      <c r="D296" s="150"/>
      <c r="E296" s="151"/>
      <c r="F296" s="152"/>
      <c r="G296"/>
      <c r="H296"/>
      <c r="I296"/>
      <c r="J296"/>
      <c r="K296"/>
      <c r="L296"/>
      <c r="M296"/>
      <c r="N296"/>
      <c r="O296"/>
      <c r="P296"/>
      <c r="Q296"/>
      <c r="R296"/>
      <c r="S296"/>
      <c r="T296"/>
      <c r="U296"/>
      <c r="V296"/>
      <c r="W296"/>
    </row>
    <row r="297" spans="2:23" outlineLevel="1">
      <c r="B297" s="160"/>
      <c r="C297" s="161"/>
      <c r="D297" s="150"/>
      <c r="E297" s="162"/>
      <c r="F297" s="152"/>
      <c r="G297"/>
      <c r="H297"/>
      <c r="I297"/>
      <c r="J297"/>
      <c r="K297"/>
      <c r="L297"/>
      <c r="M297"/>
      <c r="N297"/>
      <c r="O297"/>
      <c r="P297"/>
      <c r="Q297"/>
      <c r="R297"/>
      <c r="S297"/>
      <c r="T297"/>
      <c r="U297"/>
      <c r="V297"/>
      <c r="W297"/>
    </row>
    <row r="298" spans="2:23" outlineLevel="1">
      <c r="B298" s="148"/>
      <c r="C298" s="149"/>
      <c r="D298" s="150"/>
      <c r="E298" s="151"/>
      <c r="F298" s="152"/>
      <c r="G298"/>
      <c r="H298"/>
      <c r="I298"/>
      <c r="J298"/>
      <c r="K298"/>
      <c r="L298"/>
      <c r="M298"/>
      <c r="N298"/>
      <c r="O298"/>
      <c r="P298"/>
      <c r="Q298"/>
      <c r="R298"/>
      <c r="S298"/>
      <c r="T298"/>
      <c r="U298"/>
      <c r="V298"/>
      <c r="W298"/>
    </row>
    <row r="299" spans="2:23" outlineLevel="1">
      <c r="B299" s="160"/>
      <c r="C299" s="161"/>
      <c r="D299" s="150"/>
      <c r="E299" s="162"/>
      <c r="F299" s="152"/>
      <c r="G299"/>
      <c r="H299"/>
      <c r="I299"/>
      <c r="J299"/>
      <c r="K299"/>
      <c r="L299"/>
      <c r="M299"/>
      <c r="N299"/>
      <c r="O299"/>
      <c r="P299"/>
      <c r="Q299"/>
      <c r="R299"/>
      <c r="S299"/>
      <c r="T299"/>
      <c r="U299"/>
      <c r="V299"/>
      <c r="W299"/>
    </row>
    <row r="300" spans="2:23" outlineLevel="1">
      <c r="B300" s="148"/>
      <c r="C300" s="149"/>
      <c r="D300" s="150"/>
      <c r="E300" s="151"/>
      <c r="F300" s="152"/>
      <c r="G300"/>
      <c r="H300"/>
      <c r="I300"/>
      <c r="J300"/>
      <c r="K300"/>
      <c r="L300"/>
      <c r="M300"/>
      <c r="N300"/>
      <c r="O300"/>
      <c r="P300"/>
      <c r="Q300"/>
      <c r="R300"/>
      <c r="S300"/>
      <c r="T300"/>
      <c r="U300"/>
      <c r="V300"/>
      <c r="W300"/>
    </row>
    <row r="301" spans="2:23" outlineLevel="1">
      <c r="B301" s="160"/>
      <c r="C301" s="161"/>
      <c r="D301" s="150"/>
      <c r="E301" s="162"/>
      <c r="F301" s="152"/>
      <c r="G301"/>
      <c r="H301"/>
      <c r="I301"/>
      <c r="J301"/>
      <c r="K301"/>
      <c r="L301"/>
      <c r="M301"/>
      <c r="N301"/>
      <c r="O301"/>
      <c r="P301"/>
      <c r="Q301"/>
      <c r="R301"/>
      <c r="S301"/>
      <c r="T301"/>
      <c r="U301"/>
      <c r="V301"/>
      <c r="W301"/>
    </row>
    <row r="302" spans="2:23" outlineLevel="1">
      <c r="B302" s="148"/>
      <c r="C302" s="149"/>
      <c r="D302" s="150"/>
      <c r="E302" s="151"/>
      <c r="F302" s="152"/>
      <c r="G302"/>
      <c r="H302"/>
      <c r="I302"/>
      <c r="J302"/>
      <c r="K302"/>
      <c r="L302"/>
      <c r="M302"/>
      <c r="N302"/>
      <c r="O302"/>
      <c r="P302"/>
      <c r="Q302"/>
      <c r="R302"/>
      <c r="S302"/>
      <c r="T302"/>
      <c r="U302"/>
      <c r="V302"/>
      <c r="W302"/>
    </row>
    <row r="303" spans="2:23" outlineLevel="1">
      <c r="B303" s="160"/>
      <c r="C303" s="161"/>
      <c r="D303" s="150"/>
      <c r="E303" s="162"/>
      <c r="F303" s="152"/>
      <c r="G303"/>
      <c r="H303"/>
      <c r="I303"/>
      <c r="J303"/>
      <c r="K303"/>
      <c r="L303"/>
      <c r="M303"/>
      <c r="N303"/>
      <c r="O303"/>
      <c r="P303"/>
      <c r="Q303"/>
      <c r="R303"/>
      <c r="S303"/>
      <c r="T303"/>
      <c r="U303"/>
      <c r="V303"/>
      <c r="W303"/>
    </row>
    <row r="304" spans="2:23" outlineLevel="1">
      <c r="B304" s="148"/>
      <c r="C304" s="149"/>
      <c r="D304" s="150"/>
      <c r="E304" s="151"/>
      <c r="F304" s="152"/>
      <c r="G304"/>
      <c r="H304"/>
      <c r="I304"/>
      <c r="J304"/>
      <c r="K304"/>
      <c r="L304"/>
      <c r="M304"/>
      <c r="N304"/>
      <c r="O304"/>
      <c r="P304"/>
      <c r="Q304"/>
      <c r="R304"/>
      <c r="S304"/>
      <c r="T304"/>
      <c r="U304"/>
      <c r="V304"/>
      <c r="W304"/>
    </row>
    <row r="305" spans="2:23" outlineLevel="1">
      <c r="B305" s="160"/>
      <c r="C305" s="161"/>
      <c r="D305" s="150"/>
      <c r="E305" s="162"/>
      <c r="F305" s="152"/>
      <c r="G305"/>
      <c r="H305"/>
      <c r="I305"/>
      <c r="J305"/>
      <c r="K305"/>
      <c r="L305"/>
      <c r="M305"/>
      <c r="N305"/>
      <c r="O305"/>
      <c r="P305"/>
      <c r="Q305"/>
      <c r="R305"/>
      <c r="S305"/>
      <c r="T305"/>
      <c r="U305"/>
      <c r="V305"/>
      <c r="W305"/>
    </row>
    <row r="306" spans="2:23" outlineLevel="1">
      <c r="B306" s="148"/>
      <c r="C306" s="149"/>
      <c r="D306" s="150"/>
      <c r="E306" s="151"/>
      <c r="F306" s="152"/>
      <c r="G306"/>
      <c r="H306"/>
      <c r="I306"/>
      <c r="J306"/>
      <c r="K306"/>
      <c r="L306"/>
      <c r="M306"/>
      <c r="N306"/>
      <c r="O306"/>
      <c r="P306"/>
      <c r="Q306"/>
      <c r="R306"/>
      <c r="S306"/>
      <c r="T306"/>
      <c r="U306"/>
      <c r="V306"/>
      <c r="W306"/>
    </row>
    <row r="307" spans="2:23" outlineLevel="1">
      <c r="B307" s="160"/>
      <c r="C307" s="161"/>
      <c r="D307" s="150"/>
      <c r="E307" s="162"/>
      <c r="F307" s="152"/>
      <c r="G307"/>
      <c r="H307"/>
      <c r="I307"/>
      <c r="J307"/>
      <c r="K307"/>
      <c r="L307"/>
      <c r="M307"/>
      <c r="N307"/>
      <c r="O307"/>
      <c r="P307"/>
      <c r="Q307"/>
      <c r="R307"/>
      <c r="S307"/>
      <c r="T307"/>
      <c r="U307"/>
      <c r="V307"/>
      <c r="W307"/>
    </row>
    <row r="308" spans="2:23" outlineLevel="1">
      <c r="B308" s="148"/>
      <c r="C308" s="149"/>
      <c r="D308" s="150"/>
      <c r="E308" s="151"/>
      <c r="F308" s="152"/>
      <c r="G308"/>
      <c r="H308"/>
      <c r="I308"/>
      <c r="J308"/>
      <c r="K308"/>
      <c r="L308"/>
      <c r="M308"/>
      <c r="N308"/>
      <c r="O308"/>
      <c r="P308"/>
      <c r="Q308"/>
      <c r="R308"/>
      <c r="S308"/>
      <c r="T308"/>
      <c r="U308"/>
      <c r="V308"/>
      <c r="W308"/>
    </row>
    <row r="309" spans="2:23" outlineLevel="1">
      <c r="B309" s="160"/>
      <c r="C309" s="161"/>
      <c r="D309" s="150"/>
      <c r="E309" s="162"/>
      <c r="F309" s="152"/>
      <c r="G309"/>
      <c r="H309"/>
      <c r="I309"/>
      <c r="J309"/>
      <c r="K309"/>
      <c r="L309"/>
      <c r="M309"/>
      <c r="N309"/>
      <c r="O309"/>
      <c r="P309"/>
      <c r="Q309"/>
      <c r="R309"/>
      <c r="S309"/>
      <c r="T309"/>
      <c r="U309"/>
      <c r="V309"/>
      <c r="W309"/>
    </row>
    <row r="310" spans="2:23" outlineLevel="1">
      <c r="B310" s="148"/>
      <c r="C310" s="149"/>
      <c r="D310" s="150"/>
      <c r="E310" s="151"/>
      <c r="F310" s="152"/>
      <c r="G310"/>
      <c r="H310"/>
      <c r="I310"/>
      <c r="J310"/>
      <c r="K310"/>
      <c r="L310"/>
      <c r="M310"/>
      <c r="N310"/>
      <c r="O310"/>
      <c r="P310"/>
      <c r="Q310"/>
      <c r="R310"/>
      <c r="S310"/>
      <c r="T310"/>
      <c r="U310"/>
      <c r="V310"/>
      <c r="W310"/>
    </row>
    <row r="311" spans="2:23" outlineLevel="1">
      <c r="B311" s="160"/>
      <c r="C311" s="161"/>
      <c r="D311" s="150"/>
      <c r="E311" s="162"/>
      <c r="F311" s="152"/>
      <c r="G311"/>
      <c r="H311"/>
      <c r="I311"/>
      <c r="J311"/>
      <c r="K311"/>
      <c r="L311"/>
      <c r="M311"/>
      <c r="N311"/>
      <c r="O311"/>
      <c r="P311"/>
      <c r="Q311"/>
      <c r="R311"/>
      <c r="S311"/>
      <c r="T311"/>
      <c r="U311"/>
      <c r="V311"/>
      <c r="W311"/>
    </row>
    <row r="312" spans="2:23" outlineLevel="1">
      <c r="B312" s="148"/>
      <c r="C312" s="149"/>
      <c r="D312" s="150"/>
      <c r="E312" s="151"/>
      <c r="F312" s="152"/>
      <c r="G312"/>
      <c r="H312"/>
      <c r="I312"/>
      <c r="J312"/>
      <c r="K312"/>
      <c r="L312"/>
      <c r="M312"/>
      <c r="N312"/>
      <c r="O312"/>
      <c r="P312"/>
      <c r="Q312"/>
      <c r="R312"/>
      <c r="S312"/>
      <c r="T312"/>
      <c r="U312"/>
      <c r="V312"/>
      <c r="W312"/>
    </row>
    <row r="313" spans="2:23" outlineLevel="1">
      <c r="B313" s="160"/>
      <c r="C313" s="161"/>
      <c r="D313" s="150"/>
      <c r="E313" s="162"/>
      <c r="F313" s="152"/>
      <c r="G313"/>
      <c r="H313"/>
      <c r="I313"/>
      <c r="J313"/>
      <c r="K313"/>
      <c r="L313"/>
      <c r="M313"/>
      <c r="N313"/>
      <c r="O313"/>
      <c r="P313"/>
      <c r="Q313"/>
      <c r="R313"/>
      <c r="S313"/>
      <c r="T313"/>
      <c r="U313"/>
      <c r="V313"/>
      <c r="W313"/>
    </row>
    <row r="314" spans="2:23" outlineLevel="1">
      <c r="B314" s="148"/>
      <c r="C314" s="149"/>
      <c r="D314" s="150"/>
      <c r="E314" s="151"/>
      <c r="F314" s="152"/>
      <c r="G314"/>
      <c r="H314"/>
      <c r="I314"/>
      <c r="J314"/>
      <c r="K314"/>
      <c r="L314"/>
      <c r="M314"/>
      <c r="N314"/>
      <c r="O314"/>
      <c r="P314"/>
      <c r="Q314"/>
      <c r="R314"/>
      <c r="S314"/>
      <c r="T314"/>
      <c r="U314"/>
      <c r="V314"/>
      <c r="W314"/>
    </row>
    <row r="315" spans="2:23" outlineLevel="1">
      <c r="B315" s="160"/>
      <c r="C315" s="161"/>
      <c r="D315" s="150"/>
      <c r="E315" s="162"/>
      <c r="F315" s="152"/>
      <c r="G315"/>
      <c r="H315"/>
      <c r="I315"/>
      <c r="J315"/>
      <c r="K315"/>
      <c r="L315"/>
      <c r="M315"/>
      <c r="N315"/>
      <c r="O315"/>
      <c r="P315"/>
      <c r="Q315"/>
      <c r="R315"/>
      <c r="S315"/>
      <c r="T315"/>
      <c r="U315"/>
      <c r="V315"/>
      <c r="W315"/>
    </row>
    <row r="316" spans="2:23" outlineLevel="1">
      <c r="B316" s="148"/>
      <c r="C316" s="149"/>
      <c r="D316" s="150"/>
      <c r="E316" s="151"/>
      <c r="F316" s="152"/>
      <c r="G316"/>
      <c r="H316"/>
      <c r="I316"/>
      <c r="J316"/>
      <c r="K316"/>
      <c r="L316"/>
      <c r="M316"/>
      <c r="N316"/>
      <c r="O316"/>
      <c r="P316"/>
      <c r="Q316"/>
      <c r="R316"/>
      <c r="S316"/>
      <c r="T316"/>
      <c r="U316"/>
      <c r="V316"/>
      <c r="W316"/>
    </row>
    <row r="317" spans="2:23" outlineLevel="1">
      <c r="B317" s="160"/>
      <c r="C317" s="161"/>
      <c r="D317" s="150"/>
      <c r="E317" s="162"/>
      <c r="F317" s="152"/>
      <c r="G317"/>
      <c r="H317"/>
      <c r="I317"/>
      <c r="J317"/>
      <c r="K317"/>
      <c r="L317"/>
      <c r="M317"/>
      <c r="N317"/>
      <c r="O317"/>
      <c r="P317"/>
      <c r="Q317"/>
      <c r="R317"/>
      <c r="S317"/>
      <c r="T317"/>
      <c r="U317"/>
      <c r="V317"/>
      <c r="W317"/>
    </row>
    <row r="318" spans="2:23" outlineLevel="1">
      <c r="B318" s="148"/>
      <c r="C318" s="149"/>
      <c r="D318" s="150"/>
      <c r="E318" s="151"/>
      <c r="F318" s="152"/>
      <c r="G318"/>
      <c r="H318"/>
      <c r="I318"/>
      <c r="J318"/>
      <c r="K318"/>
      <c r="L318"/>
      <c r="M318"/>
      <c r="N318"/>
      <c r="O318"/>
      <c r="P318"/>
      <c r="Q318"/>
      <c r="R318"/>
      <c r="S318"/>
      <c r="T318"/>
      <c r="U318"/>
      <c r="V318"/>
      <c r="W318"/>
    </row>
    <row r="319" spans="2:23" outlineLevel="1">
      <c r="B319" s="160"/>
      <c r="C319" s="161"/>
      <c r="D319" s="150"/>
      <c r="E319" s="162"/>
      <c r="F319" s="152"/>
      <c r="G319"/>
      <c r="H319"/>
      <c r="I319"/>
      <c r="J319"/>
      <c r="K319"/>
      <c r="L319"/>
      <c r="M319"/>
      <c r="N319"/>
      <c r="O319"/>
      <c r="P319"/>
      <c r="Q319"/>
      <c r="R319"/>
      <c r="S319"/>
      <c r="T319"/>
      <c r="U319"/>
      <c r="V319"/>
      <c r="W319"/>
    </row>
    <row r="320" spans="2:23" outlineLevel="1">
      <c r="B320" s="148"/>
      <c r="C320" s="149"/>
      <c r="D320" s="150"/>
      <c r="E320" s="151"/>
      <c r="F320" s="152"/>
      <c r="G320"/>
      <c r="H320"/>
      <c r="I320"/>
      <c r="J320"/>
      <c r="K320"/>
      <c r="L320"/>
      <c r="M320"/>
      <c r="N320"/>
      <c r="O320"/>
      <c r="P320"/>
      <c r="Q320"/>
      <c r="R320"/>
      <c r="S320"/>
      <c r="T320"/>
      <c r="U320"/>
      <c r="V320"/>
      <c r="W320"/>
    </row>
    <row r="321" spans="2:23" outlineLevel="1">
      <c r="B321" s="160"/>
      <c r="C321" s="161"/>
      <c r="D321" s="150"/>
      <c r="E321" s="162"/>
      <c r="F321" s="152"/>
      <c r="G321"/>
      <c r="H321"/>
      <c r="I321"/>
      <c r="J321"/>
      <c r="K321"/>
      <c r="L321"/>
      <c r="M321"/>
      <c r="N321"/>
      <c r="O321"/>
      <c r="P321"/>
      <c r="Q321"/>
      <c r="R321"/>
      <c r="S321"/>
      <c r="T321"/>
      <c r="U321"/>
      <c r="V321"/>
      <c r="W321"/>
    </row>
    <row r="322" spans="2:23" outlineLevel="1">
      <c r="B322" s="148"/>
      <c r="C322" s="149"/>
      <c r="D322" s="150"/>
      <c r="E322" s="151"/>
      <c r="F322" s="152"/>
      <c r="G322"/>
      <c r="H322"/>
      <c r="I322"/>
      <c r="J322"/>
      <c r="K322"/>
      <c r="L322"/>
      <c r="M322"/>
      <c r="N322"/>
      <c r="O322"/>
      <c r="P322"/>
      <c r="Q322"/>
      <c r="R322"/>
      <c r="S322"/>
      <c r="T322"/>
      <c r="U322"/>
      <c r="V322"/>
      <c r="W322"/>
    </row>
    <row r="323" spans="2:23" outlineLevel="1">
      <c r="B323" s="160"/>
      <c r="C323" s="161"/>
      <c r="D323" s="150"/>
      <c r="E323" s="162"/>
      <c r="F323" s="152"/>
      <c r="G323"/>
      <c r="H323"/>
      <c r="I323"/>
      <c r="J323"/>
      <c r="K323"/>
      <c r="L323"/>
      <c r="M323"/>
      <c r="N323"/>
      <c r="O323"/>
      <c r="P323"/>
      <c r="Q323"/>
      <c r="R323"/>
      <c r="S323"/>
      <c r="T323"/>
      <c r="U323"/>
      <c r="V323"/>
      <c r="W323"/>
    </row>
    <row r="324" spans="2:23" outlineLevel="1">
      <c r="B324" s="148"/>
      <c r="C324" s="149"/>
      <c r="D324" s="150"/>
      <c r="E324" s="151"/>
      <c r="F324" s="152"/>
      <c r="G324"/>
      <c r="H324"/>
      <c r="I324"/>
      <c r="J324"/>
      <c r="K324"/>
      <c r="L324"/>
      <c r="M324"/>
      <c r="N324"/>
      <c r="O324"/>
      <c r="P324"/>
      <c r="Q324"/>
      <c r="R324"/>
      <c r="S324"/>
      <c r="T324"/>
      <c r="U324"/>
      <c r="V324"/>
      <c r="W324"/>
    </row>
    <row r="325" spans="2:23" outlineLevel="1">
      <c r="B325" s="160"/>
      <c r="C325" s="161"/>
      <c r="D325" s="150"/>
      <c r="E325" s="162"/>
      <c r="F325" s="152"/>
      <c r="G325"/>
      <c r="H325"/>
      <c r="I325"/>
      <c r="J325"/>
      <c r="K325"/>
      <c r="L325"/>
      <c r="M325"/>
      <c r="N325"/>
      <c r="O325"/>
      <c r="P325"/>
      <c r="Q325"/>
      <c r="R325"/>
      <c r="S325"/>
      <c r="T325"/>
      <c r="U325"/>
      <c r="V325"/>
      <c r="W325"/>
    </row>
    <row r="326" spans="2:23" outlineLevel="1">
      <c r="B326" s="148"/>
      <c r="C326" s="149"/>
      <c r="D326" s="150"/>
      <c r="E326" s="151"/>
      <c r="F326" s="152"/>
      <c r="G326"/>
      <c r="H326"/>
      <c r="I326"/>
      <c r="J326"/>
      <c r="K326"/>
      <c r="L326"/>
      <c r="M326"/>
      <c r="N326"/>
      <c r="O326"/>
      <c r="P326"/>
      <c r="Q326"/>
      <c r="R326"/>
      <c r="S326"/>
      <c r="T326"/>
      <c r="U326"/>
      <c r="V326"/>
      <c r="W326"/>
    </row>
    <row r="327" spans="2:23" outlineLevel="1">
      <c r="B327" s="160"/>
      <c r="C327" s="161"/>
      <c r="D327" s="150"/>
      <c r="E327" s="162"/>
      <c r="F327" s="152"/>
      <c r="G327"/>
      <c r="H327"/>
      <c r="I327"/>
      <c r="J327"/>
      <c r="K327"/>
      <c r="L327"/>
      <c r="M327"/>
      <c r="N327"/>
      <c r="O327"/>
      <c r="P327"/>
      <c r="Q327"/>
      <c r="R327"/>
      <c r="S327"/>
      <c r="T327"/>
      <c r="U327"/>
      <c r="V327"/>
      <c r="W327"/>
    </row>
    <row r="328" spans="2:23" outlineLevel="1">
      <c r="B328" s="148"/>
      <c r="C328" s="149"/>
      <c r="D328" s="150"/>
      <c r="E328" s="151"/>
      <c r="F328" s="152"/>
      <c r="G328"/>
      <c r="H328"/>
      <c r="I328"/>
      <c r="J328"/>
      <c r="K328"/>
      <c r="L328"/>
      <c r="M328"/>
      <c r="N328"/>
      <c r="O328"/>
      <c r="P328"/>
      <c r="Q328"/>
      <c r="R328"/>
      <c r="S328"/>
      <c r="T328"/>
      <c r="U328"/>
      <c r="V328"/>
      <c r="W328"/>
    </row>
    <row r="329" spans="2:23" outlineLevel="1">
      <c r="B329" s="160"/>
      <c r="C329" s="161"/>
      <c r="D329" s="150"/>
      <c r="E329" s="162"/>
      <c r="F329" s="152"/>
      <c r="G329"/>
      <c r="H329"/>
      <c r="I329"/>
      <c r="J329"/>
      <c r="K329"/>
      <c r="L329"/>
      <c r="M329"/>
      <c r="N329"/>
      <c r="O329"/>
      <c r="P329"/>
      <c r="Q329"/>
      <c r="R329"/>
      <c r="S329"/>
      <c r="T329"/>
      <c r="U329"/>
      <c r="V329"/>
      <c r="W329"/>
    </row>
    <row r="330" spans="2:23" outlineLevel="1">
      <c r="B330" s="148"/>
      <c r="C330" s="149"/>
      <c r="D330" s="150"/>
      <c r="E330" s="151"/>
      <c r="F330" s="152"/>
      <c r="G330"/>
      <c r="H330"/>
      <c r="I330"/>
      <c r="J330"/>
      <c r="K330"/>
      <c r="L330"/>
      <c r="M330"/>
      <c r="N330"/>
      <c r="O330"/>
      <c r="P330"/>
      <c r="Q330"/>
      <c r="R330"/>
      <c r="S330"/>
      <c r="T330"/>
      <c r="U330"/>
      <c r="V330"/>
      <c r="W330"/>
    </row>
    <row r="331" spans="2:23" outlineLevel="1">
      <c r="B331" s="160"/>
      <c r="C331" s="161"/>
      <c r="D331" s="150"/>
      <c r="E331" s="162"/>
      <c r="F331" s="152"/>
      <c r="G331"/>
      <c r="H331"/>
      <c r="I331"/>
      <c r="J331"/>
      <c r="K331"/>
      <c r="L331"/>
      <c r="M331"/>
      <c r="N331"/>
      <c r="O331"/>
      <c r="P331"/>
      <c r="Q331"/>
      <c r="R331"/>
      <c r="S331"/>
      <c r="T331"/>
      <c r="U331"/>
      <c r="V331"/>
      <c r="W331"/>
    </row>
    <row r="332" spans="2:23" outlineLevel="1">
      <c r="B332" s="148"/>
      <c r="C332" s="149"/>
      <c r="D332" s="150"/>
      <c r="E332" s="151"/>
      <c r="F332" s="152"/>
      <c r="G332"/>
      <c r="H332"/>
      <c r="I332"/>
      <c r="J332"/>
      <c r="K332"/>
      <c r="L332"/>
      <c r="M332"/>
      <c r="N332"/>
      <c r="O332"/>
      <c r="P332"/>
      <c r="Q332"/>
      <c r="R332"/>
      <c r="S332"/>
      <c r="T332"/>
      <c r="U332"/>
      <c r="V332"/>
      <c r="W332"/>
    </row>
    <row r="333" spans="2:23" outlineLevel="1">
      <c r="B333" s="160"/>
      <c r="C333" s="161"/>
      <c r="D333" s="150"/>
      <c r="E333" s="162"/>
      <c r="F333" s="152"/>
      <c r="G333"/>
      <c r="H333"/>
      <c r="I333"/>
      <c r="J333"/>
      <c r="K333"/>
      <c r="L333"/>
      <c r="M333"/>
      <c r="N333"/>
      <c r="O333"/>
      <c r="P333"/>
      <c r="Q333"/>
      <c r="R333"/>
      <c r="S333"/>
      <c r="T333"/>
      <c r="U333"/>
      <c r="V333"/>
      <c r="W333"/>
    </row>
    <row r="334" spans="2:23" outlineLevel="1">
      <c r="B334" s="148"/>
      <c r="C334" s="149"/>
      <c r="D334" s="150"/>
      <c r="E334" s="151"/>
      <c r="F334" s="152"/>
      <c r="G334"/>
      <c r="H334"/>
      <c r="I334"/>
      <c r="J334"/>
      <c r="K334"/>
      <c r="L334"/>
      <c r="M334"/>
      <c r="N334"/>
      <c r="O334"/>
      <c r="P334"/>
      <c r="Q334"/>
      <c r="R334"/>
      <c r="S334"/>
      <c r="T334"/>
      <c r="U334"/>
      <c r="V334"/>
      <c r="W334"/>
    </row>
    <row r="335" spans="2:23" outlineLevel="1">
      <c r="B335" s="160"/>
      <c r="C335" s="161"/>
      <c r="D335" s="150"/>
      <c r="E335" s="162"/>
      <c r="F335" s="152"/>
      <c r="G335"/>
      <c r="H335"/>
      <c r="I335"/>
      <c r="J335"/>
      <c r="K335"/>
      <c r="L335"/>
      <c r="M335"/>
      <c r="N335"/>
      <c r="O335"/>
      <c r="P335"/>
      <c r="Q335"/>
      <c r="R335"/>
      <c r="S335"/>
      <c r="T335"/>
      <c r="U335"/>
      <c r="V335"/>
      <c r="W335"/>
    </row>
    <row r="336" spans="2:23" outlineLevel="1">
      <c r="B336" s="148"/>
      <c r="C336" s="149"/>
      <c r="D336" s="150"/>
      <c r="E336" s="151"/>
      <c r="F336" s="152"/>
      <c r="G336"/>
      <c r="H336"/>
      <c r="I336"/>
      <c r="J336"/>
      <c r="K336"/>
      <c r="L336"/>
      <c r="M336"/>
      <c r="N336"/>
      <c r="O336"/>
      <c r="P336"/>
      <c r="Q336"/>
      <c r="R336"/>
      <c r="S336"/>
      <c r="T336"/>
      <c r="U336"/>
      <c r="V336"/>
      <c r="W336"/>
    </row>
    <row r="337" spans="2:23" outlineLevel="1">
      <c r="B337" s="160"/>
      <c r="C337" s="161"/>
      <c r="D337" s="150"/>
      <c r="E337" s="162"/>
      <c r="F337" s="152"/>
      <c r="G337"/>
      <c r="H337"/>
      <c r="I337"/>
      <c r="J337"/>
      <c r="K337"/>
      <c r="L337"/>
      <c r="M337"/>
      <c r="N337"/>
      <c r="O337"/>
      <c r="P337"/>
      <c r="Q337"/>
      <c r="R337"/>
      <c r="S337"/>
      <c r="T337"/>
      <c r="U337"/>
      <c r="V337"/>
      <c r="W337"/>
    </row>
    <row r="338" spans="2:23" outlineLevel="1">
      <c r="B338" s="148"/>
      <c r="C338" s="149"/>
      <c r="D338" s="150"/>
      <c r="E338" s="151"/>
      <c r="F338" s="152"/>
      <c r="G338"/>
      <c r="H338"/>
      <c r="I338"/>
      <c r="J338"/>
      <c r="K338"/>
      <c r="L338"/>
      <c r="M338"/>
      <c r="N338"/>
      <c r="O338"/>
      <c r="P338"/>
      <c r="Q338"/>
      <c r="R338"/>
      <c r="S338"/>
      <c r="T338"/>
      <c r="U338"/>
      <c r="V338"/>
      <c r="W338"/>
    </row>
    <row r="339" spans="2:23" outlineLevel="1">
      <c r="B339" s="160"/>
      <c r="C339" s="161"/>
      <c r="D339" s="150"/>
      <c r="E339" s="162"/>
      <c r="F339" s="152"/>
      <c r="G339"/>
      <c r="H339"/>
      <c r="I339"/>
      <c r="J339"/>
      <c r="K339"/>
      <c r="L339"/>
      <c r="M339"/>
      <c r="N339"/>
      <c r="O339"/>
      <c r="P339"/>
      <c r="Q339"/>
      <c r="R339"/>
      <c r="S339"/>
      <c r="T339"/>
      <c r="U339"/>
      <c r="V339"/>
      <c r="W339"/>
    </row>
    <row r="340" spans="2:23" outlineLevel="1">
      <c r="B340" s="148"/>
      <c r="C340" s="149"/>
      <c r="D340" s="150"/>
      <c r="E340" s="151"/>
      <c r="F340" s="152"/>
      <c r="G340"/>
      <c r="H340"/>
      <c r="I340"/>
      <c r="J340"/>
      <c r="K340"/>
      <c r="L340"/>
      <c r="M340"/>
      <c r="N340"/>
      <c r="O340"/>
      <c r="P340"/>
      <c r="Q340"/>
      <c r="R340"/>
      <c r="S340"/>
      <c r="T340"/>
      <c r="U340"/>
      <c r="V340"/>
      <c r="W340"/>
    </row>
    <row r="341" spans="2:23" outlineLevel="1">
      <c r="B341" s="160"/>
      <c r="C341" s="161"/>
      <c r="D341" s="150"/>
      <c r="E341" s="162"/>
      <c r="F341" s="152"/>
      <c r="G341"/>
      <c r="H341"/>
      <c r="I341"/>
      <c r="J341"/>
      <c r="K341"/>
      <c r="L341"/>
      <c r="M341"/>
      <c r="N341"/>
      <c r="O341"/>
      <c r="P341"/>
      <c r="Q341"/>
      <c r="R341"/>
      <c r="S341"/>
      <c r="T341"/>
      <c r="U341"/>
      <c r="V341"/>
      <c r="W341"/>
    </row>
    <row r="342" spans="2:23" outlineLevel="1">
      <c r="B342" s="148"/>
      <c r="C342" s="149"/>
      <c r="D342" s="150"/>
      <c r="E342" s="151"/>
      <c r="F342" s="152"/>
      <c r="G342"/>
      <c r="H342"/>
      <c r="I342"/>
      <c r="J342"/>
      <c r="K342"/>
      <c r="L342"/>
      <c r="M342"/>
      <c r="N342"/>
      <c r="O342"/>
      <c r="P342"/>
      <c r="Q342"/>
      <c r="R342"/>
      <c r="S342"/>
      <c r="T342"/>
      <c r="U342"/>
      <c r="V342"/>
      <c r="W342"/>
    </row>
    <row r="343" spans="2:23" outlineLevel="1">
      <c r="B343" s="160"/>
      <c r="C343" s="161"/>
      <c r="D343" s="150"/>
      <c r="E343" s="162"/>
      <c r="F343" s="152"/>
      <c r="G343"/>
      <c r="H343"/>
      <c r="I343"/>
      <c r="J343"/>
      <c r="K343"/>
      <c r="L343"/>
      <c r="M343"/>
      <c r="N343"/>
      <c r="O343"/>
      <c r="P343"/>
      <c r="Q343"/>
      <c r="R343"/>
      <c r="S343"/>
      <c r="T343"/>
      <c r="U343"/>
      <c r="V343"/>
      <c r="W343"/>
    </row>
    <row r="344" spans="2:23" outlineLevel="1">
      <c r="B344" s="148"/>
      <c r="C344" s="149"/>
      <c r="D344" s="150"/>
      <c r="E344" s="151"/>
      <c r="F344" s="152"/>
      <c r="G344"/>
      <c r="H344"/>
      <c r="I344"/>
      <c r="J344"/>
      <c r="K344"/>
      <c r="L344"/>
      <c r="M344"/>
      <c r="N344"/>
      <c r="O344"/>
      <c r="P344"/>
      <c r="Q344"/>
      <c r="R344"/>
      <c r="S344"/>
      <c r="T344"/>
      <c r="U344"/>
      <c r="V344"/>
      <c r="W344"/>
    </row>
    <row r="345" spans="2:23" outlineLevel="1">
      <c r="B345" s="160"/>
      <c r="C345" s="161"/>
      <c r="D345" s="150"/>
      <c r="E345" s="162"/>
      <c r="F345" s="152"/>
      <c r="G345"/>
      <c r="H345"/>
      <c r="I345"/>
      <c r="J345"/>
      <c r="K345"/>
      <c r="L345"/>
      <c r="M345"/>
      <c r="N345"/>
      <c r="O345"/>
      <c r="P345"/>
      <c r="Q345"/>
      <c r="R345"/>
      <c r="S345"/>
      <c r="T345"/>
      <c r="U345"/>
      <c r="V345"/>
      <c r="W345"/>
    </row>
    <row r="346" spans="2:23" outlineLevel="1">
      <c r="B346" s="148"/>
      <c r="C346" s="149"/>
      <c r="D346" s="150"/>
      <c r="E346" s="151"/>
      <c r="F346" s="152"/>
      <c r="G346"/>
      <c r="H346"/>
      <c r="I346"/>
      <c r="J346"/>
      <c r="K346"/>
      <c r="L346"/>
      <c r="M346"/>
      <c r="N346"/>
      <c r="O346"/>
      <c r="P346"/>
      <c r="Q346"/>
      <c r="R346"/>
      <c r="S346"/>
      <c r="T346"/>
      <c r="U346"/>
      <c r="V346"/>
      <c r="W346"/>
    </row>
    <row r="347" spans="2:23" outlineLevel="1">
      <c r="B347" s="160"/>
      <c r="C347" s="161"/>
      <c r="D347" s="150"/>
      <c r="E347" s="162"/>
      <c r="F347" s="152"/>
      <c r="G347"/>
      <c r="H347"/>
      <c r="I347"/>
      <c r="J347"/>
      <c r="K347"/>
      <c r="L347"/>
      <c r="M347"/>
      <c r="N347"/>
      <c r="O347"/>
      <c r="P347"/>
      <c r="Q347"/>
      <c r="R347"/>
      <c r="S347"/>
      <c r="T347"/>
      <c r="U347"/>
      <c r="V347"/>
      <c r="W347"/>
    </row>
    <row r="348" spans="2:23" outlineLevel="1">
      <c r="B348" s="148"/>
      <c r="C348" s="149"/>
      <c r="D348" s="150"/>
      <c r="E348" s="151"/>
      <c r="F348" s="152"/>
      <c r="G348"/>
      <c r="H348"/>
      <c r="I348"/>
      <c r="J348"/>
      <c r="K348"/>
      <c r="L348"/>
      <c r="M348"/>
      <c r="N348"/>
      <c r="O348"/>
      <c r="P348"/>
      <c r="Q348"/>
      <c r="R348"/>
      <c r="S348"/>
      <c r="T348"/>
      <c r="U348"/>
      <c r="V348"/>
      <c r="W348"/>
    </row>
    <row r="349" spans="2:23" outlineLevel="1">
      <c r="B349" s="160"/>
      <c r="C349" s="161"/>
      <c r="D349" s="150"/>
      <c r="E349" s="162"/>
      <c r="F349" s="152"/>
      <c r="G349"/>
      <c r="H349"/>
      <c r="I349"/>
      <c r="J349"/>
      <c r="K349"/>
      <c r="L349"/>
      <c r="M349"/>
      <c r="N349"/>
      <c r="O349"/>
      <c r="P349"/>
      <c r="Q349"/>
      <c r="R349"/>
      <c r="S349"/>
      <c r="T349"/>
      <c r="U349"/>
      <c r="V349"/>
      <c r="W349"/>
    </row>
    <row r="350" spans="2:23" outlineLevel="1">
      <c r="B350" s="148"/>
      <c r="C350" s="149"/>
      <c r="D350" s="150"/>
      <c r="E350" s="151"/>
      <c r="F350" s="152"/>
      <c r="G350"/>
      <c r="H350"/>
      <c r="I350"/>
      <c r="J350"/>
      <c r="K350"/>
      <c r="L350"/>
      <c r="M350"/>
      <c r="N350"/>
      <c r="O350"/>
      <c r="P350"/>
      <c r="Q350"/>
      <c r="R350"/>
      <c r="S350"/>
      <c r="T350"/>
      <c r="U350"/>
      <c r="V350"/>
      <c r="W350"/>
    </row>
    <row r="351" spans="2:23" outlineLevel="1">
      <c r="B351" s="160"/>
      <c r="C351" s="161"/>
      <c r="D351" s="150"/>
      <c r="E351" s="162"/>
      <c r="F351" s="152"/>
      <c r="G351"/>
      <c r="H351"/>
      <c r="I351"/>
      <c r="J351"/>
      <c r="K351"/>
      <c r="L351"/>
      <c r="M351"/>
      <c r="N351"/>
      <c r="O351"/>
      <c r="P351"/>
      <c r="Q351"/>
      <c r="R351"/>
      <c r="S351"/>
      <c r="T351"/>
      <c r="U351"/>
      <c r="V351"/>
      <c r="W351"/>
    </row>
    <row r="352" spans="2:23" outlineLevel="1">
      <c r="B352" s="148"/>
      <c r="C352" s="149"/>
      <c r="D352" s="150"/>
      <c r="E352" s="151"/>
      <c r="F352" s="152"/>
      <c r="G352"/>
      <c r="H352"/>
      <c r="I352"/>
      <c r="J352"/>
      <c r="K352"/>
      <c r="L352"/>
      <c r="M352"/>
      <c r="N352"/>
      <c r="O352"/>
      <c r="P352"/>
      <c r="Q352"/>
      <c r="R352"/>
      <c r="S352"/>
      <c r="T352"/>
      <c r="U352"/>
      <c r="V352"/>
      <c r="W352"/>
    </row>
    <row r="353" spans="2:23" outlineLevel="1">
      <c r="B353" s="160"/>
      <c r="C353" s="161"/>
      <c r="D353" s="150"/>
      <c r="E353" s="162"/>
      <c r="F353" s="152"/>
      <c r="G353"/>
      <c r="H353"/>
      <c r="I353"/>
      <c r="J353"/>
      <c r="K353"/>
      <c r="L353"/>
      <c r="M353"/>
      <c r="N353"/>
      <c r="O353"/>
      <c r="P353"/>
      <c r="Q353"/>
      <c r="R353"/>
      <c r="S353"/>
      <c r="T353"/>
      <c r="U353"/>
      <c r="V353"/>
      <c r="W353"/>
    </row>
    <row r="354" spans="2:23" outlineLevel="1">
      <c r="B354" s="148"/>
      <c r="C354" s="149"/>
      <c r="D354" s="150"/>
      <c r="E354" s="151"/>
      <c r="F354" s="152"/>
      <c r="G354"/>
      <c r="H354"/>
      <c r="I354"/>
      <c r="J354"/>
      <c r="K354"/>
      <c r="L354"/>
      <c r="M354"/>
      <c r="N354"/>
      <c r="O354"/>
      <c r="P354"/>
      <c r="Q354"/>
      <c r="R354"/>
      <c r="S354"/>
      <c r="T354"/>
      <c r="U354"/>
      <c r="V354"/>
      <c r="W354"/>
    </row>
    <row r="355" spans="2:23" outlineLevel="1">
      <c r="B355" s="160"/>
      <c r="C355" s="161"/>
      <c r="D355" s="150"/>
      <c r="E355" s="162"/>
      <c r="F355" s="152"/>
      <c r="G355"/>
      <c r="H355"/>
      <c r="I355"/>
      <c r="J355"/>
      <c r="K355"/>
      <c r="L355"/>
      <c r="M355"/>
      <c r="N355"/>
      <c r="O355"/>
      <c r="P355"/>
      <c r="Q355"/>
      <c r="R355"/>
      <c r="S355"/>
      <c r="T355"/>
      <c r="U355"/>
      <c r="V355"/>
      <c r="W355"/>
    </row>
    <row r="356" spans="2:23" outlineLevel="1">
      <c r="B356" s="148"/>
      <c r="C356" s="149"/>
      <c r="D356" s="150"/>
      <c r="E356" s="151"/>
      <c r="F356" s="152"/>
      <c r="G356"/>
      <c r="H356"/>
      <c r="I356"/>
      <c r="J356"/>
      <c r="K356"/>
      <c r="L356"/>
      <c r="M356"/>
      <c r="N356"/>
      <c r="O356"/>
      <c r="P356"/>
      <c r="Q356"/>
      <c r="R356"/>
      <c r="S356"/>
      <c r="T356"/>
      <c r="U356"/>
      <c r="V356"/>
      <c r="W356"/>
    </row>
    <row r="357" spans="2:23" outlineLevel="1">
      <c r="B357" s="160"/>
      <c r="C357" s="161"/>
      <c r="D357" s="150"/>
      <c r="E357" s="162"/>
      <c r="F357" s="152"/>
      <c r="G357"/>
      <c r="H357"/>
      <c r="I357"/>
      <c r="J357"/>
      <c r="K357"/>
      <c r="L357"/>
      <c r="M357"/>
      <c r="N357"/>
      <c r="O357"/>
      <c r="P357"/>
      <c r="Q357"/>
      <c r="R357"/>
      <c r="S357"/>
      <c r="T357"/>
      <c r="U357"/>
      <c r="V357"/>
      <c r="W357"/>
    </row>
    <row r="358" spans="2:23" outlineLevel="1">
      <c r="B358" s="148"/>
      <c r="C358" s="149"/>
      <c r="D358" s="150"/>
      <c r="E358" s="151"/>
      <c r="F358" s="152"/>
      <c r="G358"/>
      <c r="H358"/>
      <c r="I358"/>
      <c r="J358"/>
      <c r="K358"/>
      <c r="L358"/>
      <c r="M358"/>
      <c r="N358"/>
      <c r="O358"/>
      <c r="P358"/>
      <c r="Q358"/>
      <c r="R358"/>
      <c r="S358"/>
      <c r="T358"/>
      <c r="U358"/>
      <c r="V358"/>
      <c r="W358"/>
    </row>
    <row r="359" spans="2:23" outlineLevel="1">
      <c r="B359" s="160"/>
      <c r="C359" s="161"/>
      <c r="D359" s="150"/>
      <c r="E359" s="162"/>
      <c r="F359" s="152"/>
      <c r="G359"/>
      <c r="H359"/>
      <c r="I359"/>
      <c r="J359"/>
      <c r="K359"/>
      <c r="L359"/>
      <c r="M359"/>
      <c r="N359"/>
      <c r="O359"/>
      <c r="P359"/>
      <c r="Q359"/>
      <c r="R359"/>
      <c r="S359"/>
      <c r="T359"/>
      <c r="U359"/>
      <c r="V359"/>
      <c r="W359"/>
    </row>
    <row r="360" spans="2:23" outlineLevel="1">
      <c r="B360" s="148"/>
      <c r="C360" s="149"/>
      <c r="D360" s="150"/>
      <c r="E360" s="151"/>
      <c r="F360" s="152"/>
      <c r="G360"/>
      <c r="H360"/>
      <c r="I360"/>
      <c r="J360"/>
      <c r="K360"/>
      <c r="L360"/>
      <c r="M360"/>
      <c r="N360"/>
      <c r="O360"/>
      <c r="P360"/>
      <c r="Q360"/>
      <c r="R360"/>
      <c r="S360"/>
      <c r="T360"/>
      <c r="U360"/>
      <c r="V360"/>
      <c r="W360"/>
    </row>
    <row r="361" spans="2:23" outlineLevel="1">
      <c r="B361" s="160"/>
      <c r="C361" s="161"/>
      <c r="D361" s="150"/>
      <c r="E361" s="162"/>
      <c r="F361" s="152"/>
      <c r="G361"/>
      <c r="H361"/>
      <c r="I361"/>
      <c r="J361"/>
      <c r="K361"/>
      <c r="L361"/>
      <c r="M361"/>
      <c r="N361"/>
      <c r="O361"/>
      <c r="P361"/>
      <c r="Q361"/>
      <c r="R361"/>
      <c r="S361"/>
      <c r="T361"/>
      <c r="U361"/>
      <c r="V361"/>
      <c r="W361"/>
    </row>
    <row r="362" spans="2:23" outlineLevel="1">
      <c r="B362" s="148"/>
      <c r="C362" s="149"/>
      <c r="D362" s="150"/>
      <c r="E362" s="151"/>
      <c r="F362" s="152"/>
      <c r="G362"/>
      <c r="H362"/>
      <c r="I362"/>
      <c r="J362"/>
      <c r="K362"/>
      <c r="L362"/>
      <c r="M362"/>
      <c r="N362"/>
      <c r="O362"/>
      <c r="P362"/>
      <c r="Q362"/>
      <c r="R362"/>
      <c r="S362"/>
      <c r="T362"/>
      <c r="U362"/>
      <c r="V362"/>
      <c r="W362"/>
    </row>
    <row r="363" spans="2:23" outlineLevel="1">
      <c r="B363" s="160"/>
      <c r="C363" s="161"/>
      <c r="D363" s="150"/>
      <c r="E363" s="162"/>
      <c r="F363" s="152"/>
      <c r="G363"/>
      <c r="H363"/>
      <c r="I363"/>
      <c r="J363"/>
      <c r="K363"/>
      <c r="L363"/>
      <c r="M363"/>
      <c r="N363"/>
      <c r="O363"/>
      <c r="P363"/>
      <c r="Q363"/>
      <c r="R363"/>
      <c r="S363"/>
      <c r="T363"/>
      <c r="U363"/>
      <c r="V363"/>
      <c r="W363"/>
    </row>
    <row r="364" spans="2:23" outlineLevel="1">
      <c r="B364" s="148"/>
      <c r="C364" s="149"/>
      <c r="D364" s="150"/>
      <c r="E364" s="151"/>
      <c r="F364" s="152"/>
      <c r="G364"/>
      <c r="H364"/>
      <c r="I364"/>
      <c r="J364"/>
      <c r="K364"/>
      <c r="L364"/>
      <c r="M364"/>
      <c r="N364"/>
      <c r="O364"/>
      <c r="P364"/>
      <c r="Q364"/>
      <c r="R364"/>
      <c r="S364"/>
      <c r="T364"/>
      <c r="U364"/>
      <c r="V364"/>
      <c r="W364"/>
    </row>
    <row r="365" spans="2:23" outlineLevel="1">
      <c r="B365" s="160"/>
      <c r="C365" s="161"/>
      <c r="D365" s="150"/>
      <c r="E365" s="162"/>
      <c r="F365" s="152"/>
      <c r="G365"/>
      <c r="H365"/>
      <c r="I365"/>
      <c r="J365"/>
      <c r="K365"/>
      <c r="L365"/>
      <c r="M365"/>
      <c r="N365"/>
      <c r="O365"/>
      <c r="P365"/>
      <c r="Q365"/>
      <c r="R365"/>
      <c r="S365"/>
      <c r="T365"/>
      <c r="U365"/>
      <c r="V365"/>
      <c r="W365"/>
    </row>
    <row r="366" spans="2:23" outlineLevel="1">
      <c r="B366" s="148"/>
      <c r="C366" s="149"/>
      <c r="D366" s="150"/>
      <c r="E366" s="151"/>
      <c r="F366" s="152"/>
      <c r="G366"/>
      <c r="H366"/>
      <c r="I366"/>
      <c r="J366"/>
      <c r="K366"/>
      <c r="L366"/>
      <c r="M366"/>
      <c r="N366"/>
      <c r="O366"/>
      <c r="P366"/>
      <c r="Q366"/>
      <c r="R366"/>
      <c r="S366"/>
      <c r="T366"/>
      <c r="U366"/>
      <c r="V366"/>
      <c r="W366"/>
    </row>
    <row r="367" spans="2:23" outlineLevel="1">
      <c r="B367" s="160"/>
      <c r="C367" s="161"/>
      <c r="D367" s="150"/>
      <c r="E367" s="162"/>
      <c r="F367" s="152"/>
      <c r="G367"/>
      <c r="H367"/>
      <c r="I367"/>
      <c r="J367"/>
      <c r="K367"/>
      <c r="L367"/>
      <c r="M367"/>
      <c r="N367"/>
      <c r="O367"/>
      <c r="P367"/>
      <c r="Q367"/>
      <c r="R367"/>
      <c r="S367"/>
      <c r="T367"/>
      <c r="U367"/>
      <c r="V367"/>
      <c r="W367"/>
    </row>
    <row r="368" spans="2:23" outlineLevel="1">
      <c r="B368" s="148"/>
      <c r="C368" s="149"/>
      <c r="D368" s="150"/>
      <c r="E368" s="151"/>
      <c r="F368" s="152"/>
      <c r="G368"/>
      <c r="H368"/>
      <c r="I368"/>
      <c r="J368"/>
      <c r="K368"/>
      <c r="L368"/>
      <c r="M368"/>
      <c r="N368"/>
      <c r="O368"/>
      <c r="P368"/>
      <c r="Q368"/>
      <c r="R368"/>
      <c r="S368"/>
      <c r="T368"/>
      <c r="U368"/>
      <c r="V368"/>
      <c r="W368"/>
    </row>
    <row r="369" spans="2:23" outlineLevel="1">
      <c r="B369" s="160"/>
      <c r="C369" s="161"/>
      <c r="D369" s="150"/>
      <c r="E369" s="162"/>
      <c r="F369" s="152"/>
      <c r="G369"/>
      <c r="H369"/>
      <c r="I369"/>
      <c r="J369"/>
      <c r="K369"/>
      <c r="L369"/>
      <c r="M369"/>
      <c r="N369"/>
      <c r="O369"/>
      <c r="P369"/>
      <c r="Q369"/>
      <c r="R369"/>
      <c r="S369"/>
      <c r="T369"/>
      <c r="U369"/>
      <c r="V369"/>
      <c r="W369"/>
    </row>
    <row r="370" spans="2:23" outlineLevel="1">
      <c r="B370" s="148"/>
      <c r="C370" s="149"/>
      <c r="D370" s="150"/>
      <c r="E370" s="151"/>
      <c r="F370" s="152"/>
      <c r="G370"/>
      <c r="H370"/>
      <c r="I370"/>
      <c r="J370"/>
      <c r="K370"/>
      <c r="L370"/>
      <c r="M370"/>
      <c r="N370"/>
      <c r="O370"/>
      <c r="P370"/>
      <c r="Q370"/>
      <c r="R370"/>
      <c r="S370"/>
      <c r="T370"/>
      <c r="U370"/>
      <c r="V370"/>
      <c r="W370"/>
    </row>
    <row r="371" spans="2:23" outlineLevel="1">
      <c r="B371" s="160"/>
      <c r="C371" s="161"/>
      <c r="D371" s="150"/>
      <c r="E371" s="162"/>
      <c r="F371" s="152"/>
      <c r="G371"/>
      <c r="H371"/>
      <c r="I371"/>
      <c r="J371"/>
      <c r="K371"/>
      <c r="L371"/>
      <c r="M371"/>
      <c r="N371"/>
      <c r="O371"/>
      <c r="P371"/>
      <c r="Q371"/>
      <c r="R371"/>
      <c r="S371"/>
      <c r="T371"/>
      <c r="U371"/>
      <c r="V371"/>
      <c r="W371"/>
    </row>
    <row r="372" spans="2:23" outlineLevel="1">
      <c r="B372" s="148"/>
      <c r="C372" s="149"/>
      <c r="D372" s="150"/>
      <c r="E372" s="151"/>
      <c r="F372" s="152"/>
      <c r="G372"/>
      <c r="H372"/>
      <c r="I372"/>
      <c r="J372"/>
      <c r="K372"/>
      <c r="L372"/>
      <c r="M372"/>
      <c r="N372"/>
      <c r="O372"/>
      <c r="P372"/>
      <c r="Q372"/>
      <c r="R372"/>
      <c r="S372"/>
      <c r="T372"/>
      <c r="U372"/>
      <c r="V372"/>
      <c r="W372"/>
    </row>
    <row r="373" spans="2:23" outlineLevel="1">
      <c r="B373" s="160"/>
      <c r="C373" s="161"/>
      <c r="D373" s="150"/>
      <c r="E373" s="162"/>
      <c r="F373" s="152"/>
      <c r="G373"/>
      <c r="H373"/>
      <c r="I373"/>
      <c r="J373"/>
      <c r="K373"/>
      <c r="L373"/>
      <c r="M373"/>
      <c r="N373"/>
      <c r="O373"/>
      <c r="P373"/>
      <c r="Q373"/>
      <c r="R373"/>
      <c r="S373"/>
      <c r="T373"/>
      <c r="U373"/>
      <c r="V373"/>
      <c r="W373"/>
    </row>
    <row r="374" spans="2:23" outlineLevel="1">
      <c r="B374" s="148"/>
      <c r="C374" s="149"/>
      <c r="D374" s="150"/>
      <c r="E374" s="151"/>
      <c r="F374" s="152"/>
      <c r="G374"/>
      <c r="H374"/>
      <c r="I374"/>
      <c r="J374"/>
      <c r="K374"/>
      <c r="L374"/>
      <c r="M374"/>
      <c r="N374"/>
      <c r="O374"/>
      <c r="P374"/>
      <c r="Q374"/>
      <c r="R374"/>
      <c r="S374"/>
      <c r="T374"/>
      <c r="U374"/>
      <c r="V374"/>
      <c r="W374"/>
    </row>
    <row r="375" spans="2:23">
      <c r="B375" s="84" t="s">
        <v>1032</v>
      </c>
      <c r="C375" s="85" t="s">
        <v>2181</v>
      </c>
      <c r="D375" s="85"/>
      <c r="E375" s="86"/>
      <c r="F375" s="87"/>
      <c r="G375"/>
      <c r="H375"/>
      <c r="I375"/>
      <c r="J375"/>
      <c r="K375"/>
      <c r="L375"/>
      <c r="M375"/>
      <c r="N375"/>
      <c r="O375"/>
      <c r="P375"/>
      <c r="Q375"/>
      <c r="R375"/>
      <c r="S375"/>
      <c r="T375"/>
      <c r="U375"/>
      <c r="V375"/>
      <c r="W375"/>
    </row>
    <row r="376" spans="2:23">
      <c r="B376" s="88" t="s">
        <v>1622</v>
      </c>
      <c r="C376" s="94" t="s">
        <v>2182</v>
      </c>
      <c r="D376" s="515" t="s">
        <v>995</v>
      </c>
      <c r="E376" s="91" t="str">
        <f>Main_Parameters!$C$174</f>
        <v>0100</v>
      </c>
      <c r="F376" s="92"/>
      <c r="G376"/>
      <c r="H376"/>
      <c r="I376"/>
      <c r="J376"/>
      <c r="K376"/>
      <c r="L376"/>
      <c r="M376"/>
      <c r="N376"/>
      <c r="O376"/>
      <c r="P376"/>
      <c r="Q376"/>
      <c r="R376"/>
      <c r="S376"/>
      <c r="T376"/>
      <c r="U376"/>
      <c r="V376"/>
      <c r="W376"/>
    </row>
    <row r="377" spans="2:23">
      <c r="B377" s="88" t="s">
        <v>1622</v>
      </c>
      <c r="C377" s="94" t="s">
        <v>2185</v>
      </c>
      <c r="D377" s="515" t="s">
        <v>997</v>
      </c>
      <c r="E377" s="91" t="str">
        <f>Main_Parameters!$C$177</f>
        <v>0000</v>
      </c>
      <c r="F377" s="97"/>
      <c r="G377"/>
      <c r="H377"/>
      <c r="I377"/>
      <c r="J377"/>
      <c r="K377"/>
      <c r="L377"/>
      <c r="M377"/>
      <c r="N377"/>
      <c r="O377"/>
      <c r="P377"/>
      <c r="Q377"/>
      <c r="R377"/>
      <c r="S377"/>
      <c r="T377"/>
      <c r="U377"/>
      <c r="V377"/>
      <c r="W377"/>
    </row>
    <row r="378" spans="2:23">
      <c r="B378" s="101" t="str">
        <f>IF(Main_Parameters!$C$42&lt;&gt;"Half(Auto)","WR16","REMnd")</f>
        <v>WR16</v>
      </c>
      <c r="C378" s="94" t="s">
        <v>2186</v>
      </c>
      <c r="D378" s="515" t="s">
        <v>998</v>
      </c>
      <c r="E378" s="91" t="str">
        <f>Main_Parameters!$C$178</f>
        <v>021B</v>
      </c>
      <c r="F378" s="97"/>
      <c r="G378"/>
      <c r="H378"/>
      <c r="I378"/>
      <c r="J378"/>
      <c r="K378"/>
      <c r="L378"/>
      <c r="M378"/>
      <c r="N378"/>
      <c r="O378"/>
      <c r="P378"/>
      <c r="Q378"/>
      <c r="R378"/>
      <c r="S378"/>
      <c r="T378"/>
      <c r="U378"/>
      <c r="V378"/>
      <c r="W378"/>
    </row>
    <row r="379" spans="2:23">
      <c r="B379" s="88" t="s">
        <v>1622</v>
      </c>
      <c r="C379" s="94" t="s">
        <v>2187</v>
      </c>
      <c r="D379" s="515" t="s">
        <v>999</v>
      </c>
      <c r="E379" s="91" t="str">
        <f>Main_Parameters!$C$181</f>
        <v>0100</v>
      </c>
      <c r="F379" s="92"/>
      <c r="G379"/>
      <c r="H379"/>
      <c r="I379"/>
      <c r="J379"/>
      <c r="K379"/>
      <c r="L379"/>
      <c r="M379"/>
      <c r="N379"/>
      <c r="O379"/>
      <c r="P379"/>
      <c r="Q379"/>
      <c r="R379"/>
      <c r="S379"/>
      <c r="T379"/>
      <c r="U379"/>
      <c r="V379"/>
      <c r="W379"/>
    </row>
    <row r="380" spans="2:23">
      <c r="B380" s="101" t="str">
        <f>IF(Main_Parameters!$C$42&lt;&gt;"Half(Auto)","WR16","REMnd")</f>
        <v>WR16</v>
      </c>
      <c r="C380" s="94" t="s">
        <v>2190</v>
      </c>
      <c r="D380" s="515" t="s">
        <v>1001</v>
      </c>
      <c r="E380" s="91" t="str">
        <f>Main_Parameters!$C$184</f>
        <v>021C</v>
      </c>
      <c r="F380" s="97"/>
      <c r="G380"/>
      <c r="H380"/>
      <c r="I380"/>
      <c r="J380"/>
      <c r="K380"/>
      <c r="L380"/>
      <c r="M380"/>
      <c r="N380"/>
      <c r="O380"/>
      <c r="P380"/>
      <c r="Q380"/>
      <c r="R380"/>
      <c r="S380"/>
      <c r="T380"/>
      <c r="U380"/>
      <c r="V380"/>
      <c r="W380"/>
    </row>
    <row r="381" spans="2:23">
      <c r="B381" s="101" t="str">
        <f>IF(Main_Parameters!$C$42&lt;&gt;"Half(Auto)","WR16","REMnd")</f>
        <v>WR16</v>
      </c>
      <c r="C381" s="94" t="s">
        <v>2191</v>
      </c>
      <c r="D381" s="515" t="s">
        <v>1002</v>
      </c>
      <c r="E381" s="91" t="str">
        <f>Main_Parameters!$C$185</f>
        <v>0437</v>
      </c>
      <c r="F381" s="97"/>
      <c r="G381"/>
      <c r="H381"/>
      <c r="I381"/>
      <c r="J381"/>
      <c r="K381"/>
      <c r="L381"/>
      <c r="M381"/>
      <c r="N381"/>
      <c r="O381"/>
      <c r="P381"/>
      <c r="Q381"/>
      <c r="R381"/>
      <c r="S381"/>
      <c r="T381"/>
      <c r="U381"/>
      <c r="V381"/>
      <c r="W381"/>
    </row>
    <row r="382" spans="2:23">
      <c r="B382" s="101" t="str">
        <f>IF(AND(Main_Parameters!$F$42=0,Main_Parameters!$F$45=0),"REMnd","WR16")</f>
        <v>REMnd</v>
      </c>
      <c r="C382" s="94" t="s">
        <v>2192</v>
      </c>
      <c r="D382" s="515" t="s">
        <v>1019</v>
      </c>
      <c r="E382" s="91" t="str">
        <f>Main_Parameters!$C$207</f>
        <v>0000</v>
      </c>
      <c r="F382" s="97"/>
      <c r="G382"/>
      <c r="H382"/>
      <c r="I382"/>
      <c r="J382"/>
      <c r="K382"/>
      <c r="L382"/>
      <c r="M382"/>
      <c r="N382"/>
      <c r="O382"/>
      <c r="P382"/>
      <c r="Q382"/>
      <c r="R382"/>
      <c r="S382"/>
      <c r="T382"/>
      <c r="U382"/>
      <c r="V382"/>
      <c r="W382"/>
    </row>
    <row r="383" spans="2:23">
      <c r="B383" s="101" t="str">
        <f>IF(AND(Main_Parameters!$F$42=0,Main_Parameters!$F$45=0),"REMnd","WR16")</f>
        <v>REMnd</v>
      </c>
      <c r="C383" s="94" t="s">
        <v>2193</v>
      </c>
      <c r="D383" s="515" t="s">
        <v>1020</v>
      </c>
      <c r="E383" s="91" t="str">
        <f>Main_Parameters!$C$208</f>
        <v>FF00</v>
      </c>
      <c r="F383" s="97"/>
      <c r="G383"/>
      <c r="H383"/>
      <c r="I383"/>
      <c r="J383"/>
      <c r="K383"/>
      <c r="L383"/>
      <c r="M383"/>
      <c r="N383"/>
      <c r="O383"/>
      <c r="P383"/>
      <c r="Q383"/>
      <c r="R383"/>
      <c r="S383"/>
      <c r="T383"/>
      <c r="U383"/>
      <c r="V383"/>
      <c r="W383"/>
    </row>
    <row r="384" spans="2:23">
      <c r="B384" s="101" t="str">
        <f>IF(AND(Main_Parameters!$F$42=0,Main_Parameters!$F$45=0),"REMnd","WR16")</f>
        <v>REMnd</v>
      </c>
      <c r="C384" s="94" t="s">
        <v>2194</v>
      </c>
      <c r="D384" s="515" t="s">
        <v>1021</v>
      </c>
      <c r="E384" s="91" t="str">
        <f>Main_Parameters!$C$209</f>
        <v>0000</v>
      </c>
      <c r="F384" s="97"/>
      <c r="G384"/>
      <c r="H384"/>
      <c r="I384"/>
      <c r="J384"/>
      <c r="K384"/>
      <c r="L384"/>
      <c r="M384"/>
      <c r="N384"/>
      <c r="O384"/>
      <c r="P384"/>
      <c r="Q384"/>
      <c r="R384"/>
      <c r="S384"/>
      <c r="T384"/>
      <c r="U384"/>
      <c r="V384"/>
      <c r="W384"/>
    </row>
    <row r="385" spans="1:23">
      <c r="B385" s="101" t="str">
        <f>IF(AND(Main_Parameters!$F$42=0,Main_Parameters!$F$45=0),"REMnd","WR16")</f>
        <v>REMnd</v>
      </c>
      <c r="C385" s="94" t="s">
        <v>2195</v>
      </c>
      <c r="D385" s="515" t="s">
        <v>1022</v>
      </c>
      <c r="E385" s="91" t="str">
        <f>Main_Parameters!$C$210</f>
        <v>0000</v>
      </c>
      <c r="F385" s="97"/>
      <c r="G385"/>
      <c r="H385"/>
      <c r="I385"/>
      <c r="J385"/>
      <c r="K385"/>
      <c r="L385"/>
      <c r="M385"/>
      <c r="N385"/>
      <c r="O385"/>
      <c r="P385"/>
      <c r="Q385"/>
      <c r="R385"/>
      <c r="S385"/>
      <c r="T385"/>
      <c r="U385"/>
      <c r="V385"/>
      <c r="W385"/>
    </row>
    <row r="386" spans="1:23">
      <c r="B386" s="101" t="str">
        <f>IF(AND(Main_Parameters!$H$42=0,Main_Parameters!$H$45=0),"REMnd","WR16")</f>
        <v>REMnd</v>
      </c>
      <c r="C386" s="94" t="s">
        <v>2196</v>
      </c>
      <c r="D386" s="515" t="s">
        <v>1023</v>
      </c>
      <c r="E386" s="91" t="str">
        <f>Main_Parameters!$C$211</f>
        <v>0000</v>
      </c>
      <c r="F386" s="97"/>
      <c r="G386"/>
      <c r="H386"/>
      <c r="I386"/>
      <c r="J386"/>
      <c r="K386"/>
      <c r="L386"/>
      <c r="M386"/>
      <c r="N386"/>
      <c r="O386"/>
      <c r="P386"/>
      <c r="Q386"/>
      <c r="R386"/>
      <c r="S386"/>
      <c r="T386"/>
      <c r="U386"/>
      <c r="V386"/>
      <c r="W386"/>
    </row>
    <row r="387" spans="1:23">
      <c r="B387" s="101" t="str">
        <f>IF(AND(Main_Parameters!$H$42=0,Main_Parameters!$H$45=0),"REMnd","WR16")</f>
        <v>REMnd</v>
      </c>
      <c r="C387" s="94" t="s">
        <v>2197</v>
      </c>
      <c r="D387" s="515" t="s">
        <v>1024</v>
      </c>
      <c r="E387" s="91" t="str">
        <f>Main_Parameters!$C$212</f>
        <v>0000</v>
      </c>
      <c r="F387" s="97"/>
      <c r="G387"/>
      <c r="H387"/>
      <c r="I387"/>
      <c r="J387"/>
      <c r="K387"/>
      <c r="L387"/>
      <c r="M387"/>
      <c r="N387"/>
      <c r="O387"/>
      <c r="P387"/>
      <c r="Q387"/>
      <c r="R387"/>
      <c r="S387"/>
      <c r="T387"/>
      <c r="U387"/>
      <c r="V387"/>
      <c r="W387"/>
    </row>
    <row r="388" spans="1:23">
      <c r="B388" s="101" t="str">
        <f>IF(AND(Main_Parameters!$H$42=0,Main_Parameters!$H$45=0),"REMnd","WR16")</f>
        <v>REMnd</v>
      </c>
      <c r="C388" s="94" t="s">
        <v>2198</v>
      </c>
      <c r="D388" s="515" t="s">
        <v>1025</v>
      </c>
      <c r="E388" s="91" t="str">
        <f>Main_Parameters!$C$213</f>
        <v>0000</v>
      </c>
      <c r="F388" s="97"/>
      <c r="G388"/>
      <c r="H388"/>
      <c r="I388"/>
      <c r="J388"/>
      <c r="K388"/>
      <c r="L388"/>
      <c r="M388"/>
      <c r="N388"/>
      <c r="O388"/>
      <c r="P388"/>
      <c r="Q388"/>
      <c r="R388"/>
      <c r="S388"/>
      <c r="T388"/>
      <c r="U388"/>
      <c r="V388"/>
      <c r="W388"/>
    </row>
    <row r="389" spans="1:23">
      <c r="B389" s="101" t="str">
        <f>IF(AND(Main_Parameters!$H$42=0,Main_Parameters!$H$45=0),"REMnd","WR16")</f>
        <v>REMnd</v>
      </c>
      <c r="C389" s="94" t="s">
        <v>2199</v>
      </c>
      <c r="D389" s="515" t="s">
        <v>1026</v>
      </c>
      <c r="E389" s="91" t="str">
        <f>Main_Parameters!$C$214</f>
        <v>FF00</v>
      </c>
      <c r="F389" s="97"/>
      <c r="G389"/>
      <c r="H389"/>
      <c r="I389"/>
      <c r="J389"/>
      <c r="K389"/>
      <c r="L389"/>
      <c r="M389"/>
      <c r="N389"/>
      <c r="O389"/>
      <c r="P389"/>
      <c r="Q389"/>
      <c r="R389"/>
      <c r="S389"/>
      <c r="T389"/>
      <c r="U389"/>
      <c r="V389"/>
      <c r="W389"/>
    </row>
    <row r="390" spans="1:23">
      <c r="B390" s="84" t="s">
        <v>1032</v>
      </c>
      <c r="C390" s="163" t="s">
        <v>2222</v>
      </c>
      <c r="D390" s="164"/>
      <c r="E390" s="165"/>
      <c r="F390" s="87"/>
      <c r="G390"/>
      <c r="H390"/>
      <c r="I390"/>
      <c r="J390"/>
      <c r="K390"/>
      <c r="L390"/>
      <c r="M390"/>
      <c r="N390"/>
      <c r="O390"/>
      <c r="P390"/>
      <c r="Q390"/>
      <c r="R390"/>
      <c r="S390"/>
      <c r="T390"/>
      <c r="U390"/>
      <c r="V390"/>
      <c r="W390"/>
    </row>
    <row r="391" spans="1:23" s="64" customFormat="1">
      <c r="A391" s="65"/>
      <c r="B391" s="101" t="str">
        <f>IF(Main_Parameters!$D$29="Solid Color","WR16","REMnd")</f>
        <v>REMnd</v>
      </c>
      <c r="C391" s="98" t="s">
        <v>2223</v>
      </c>
      <c r="D391" s="513" t="s">
        <v>1008</v>
      </c>
      <c r="E391" s="91" t="str">
        <f>Main_Parameters!$C$195</f>
        <v>FF00</v>
      </c>
      <c r="F391" s="92"/>
      <c r="G391"/>
      <c r="H391"/>
      <c r="I391"/>
      <c r="J391"/>
      <c r="K391"/>
      <c r="L391"/>
      <c r="M391"/>
      <c r="N391"/>
      <c r="O391"/>
      <c r="P391"/>
      <c r="Q391"/>
      <c r="R391"/>
      <c r="S391"/>
      <c r="T391"/>
      <c r="U391"/>
      <c r="V391"/>
      <c r="W391"/>
    </row>
    <row r="392" spans="1:23" s="64" customFormat="1">
      <c r="A392" s="65"/>
      <c r="B392" s="101" t="str">
        <f>IF(Main_Parameters!$D$29="Solid Color","WR16","REMnd")</f>
        <v>REMnd</v>
      </c>
      <c r="C392" s="98" t="s">
        <v>2224</v>
      </c>
      <c r="D392" s="513" t="s">
        <v>1009</v>
      </c>
      <c r="E392" s="91" t="str">
        <f>Main_Parameters!$C$196</f>
        <v>0000</v>
      </c>
      <c r="F392" s="92"/>
      <c r="G392"/>
      <c r="H392"/>
      <c r="I392"/>
      <c r="J392"/>
      <c r="K392"/>
      <c r="L392"/>
      <c r="M392"/>
      <c r="N392"/>
      <c r="O392"/>
      <c r="P392"/>
      <c r="Q392"/>
      <c r="R392"/>
      <c r="S392"/>
      <c r="T392"/>
      <c r="U392"/>
      <c r="V392"/>
      <c r="W392"/>
    </row>
    <row r="393" spans="1:23" s="64" customFormat="1">
      <c r="A393" s="65"/>
      <c r="B393" s="101" t="str">
        <f>IF(Main_Parameters!$D$29="Solid Color","WR16","REMnd")</f>
        <v>REMnd</v>
      </c>
      <c r="C393" s="98" t="s">
        <v>2224</v>
      </c>
      <c r="D393" s="513" t="s">
        <v>1010</v>
      </c>
      <c r="E393" s="91" t="str">
        <f>Main_Parameters!$C$197</f>
        <v>0000</v>
      </c>
      <c r="F393" s="92"/>
      <c r="G393"/>
      <c r="H393"/>
      <c r="I393"/>
      <c r="J393"/>
      <c r="K393"/>
      <c r="L393"/>
      <c r="M393"/>
      <c r="N393"/>
      <c r="O393"/>
      <c r="P393"/>
      <c r="Q393"/>
      <c r="R393"/>
      <c r="S393"/>
      <c r="T393"/>
      <c r="U393"/>
      <c r="V393"/>
      <c r="W393"/>
    </row>
    <row r="394" spans="1:23">
      <c r="B394" s="88" t="s">
        <v>1622</v>
      </c>
      <c r="C394" s="98" t="s">
        <v>2225</v>
      </c>
      <c r="D394" s="513" t="s">
        <v>1011</v>
      </c>
      <c r="E394" s="91" t="str">
        <f>Main_Parameters!$C$198</f>
        <v>0032</v>
      </c>
      <c r="F394" s="92"/>
      <c r="G394"/>
      <c r="H394"/>
      <c r="I394"/>
      <c r="J394"/>
      <c r="K394"/>
      <c r="L394"/>
      <c r="M394"/>
      <c r="N394"/>
      <c r="O394"/>
      <c r="P394"/>
      <c r="Q394"/>
      <c r="R394"/>
      <c r="S394"/>
      <c r="T394"/>
      <c r="U394"/>
      <c r="V394"/>
      <c r="W394"/>
    </row>
    <row r="395" spans="1:23">
      <c r="B395" s="88" t="s">
        <v>1622</v>
      </c>
      <c r="C395" s="98" t="s">
        <v>2226</v>
      </c>
      <c r="D395" s="513" t="s">
        <v>1012</v>
      </c>
      <c r="E395" s="91" t="str">
        <f>Main_Parameters!$C$199</f>
        <v>0004</v>
      </c>
      <c r="F395" s="92"/>
      <c r="G395"/>
      <c r="H395"/>
      <c r="I395"/>
      <c r="J395"/>
      <c r="K395"/>
      <c r="L395"/>
      <c r="M395"/>
      <c r="N395"/>
      <c r="O395"/>
      <c r="P395"/>
      <c r="Q395"/>
      <c r="R395"/>
      <c r="S395"/>
      <c r="T395"/>
      <c r="U395"/>
      <c r="V395"/>
      <c r="W395"/>
    </row>
    <row r="396" spans="1:23">
      <c r="B396" s="88" t="s">
        <v>1622</v>
      </c>
      <c r="C396" s="98" t="s">
        <v>2227</v>
      </c>
      <c r="D396" s="513" t="s">
        <v>1013</v>
      </c>
      <c r="E396" s="91" t="str">
        <f>Main_Parameters!$C$200</f>
        <v>0532</v>
      </c>
      <c r="F396" s="92"/>
      <c r="G396"/>
      <c r="H396"/>
      <c r="I396"/>
      <c r="J396"/>
      <c r="K396"/>
      <c r="L396"/>
      <c r="M396"/>
      <c r="N396"/>
      <c r="O396"/>
      <c r="P396"/>
      <c r="Q396"/>
      <c r="R396"/>
      <c r="S396"/>
      <c r="T396"/>
      <c r="U396"/>
      <c r="V396"/>
      <c r="W396"/>
    </row>
    <row r="397" spans="1:23">
      <c r="B397" s="88" t="s">
        <v>1622</v>
      </c>
      <c r="C397" s="98" t="s">
        <v>2228</v>
      </c>
      <c r="D397" s="513" t="s">
        <v>1014</v>
      </c>
      <c r="E397" s="91" t="str">
        <f>Main_Parameters!$C$201</f>
        <v>078C</v>
      </c>
      <c r="F397" s="92"/>
      <c r="G397"/>
      <c r="H397"/>
      <c r="I397"/>
      <c r="J397"/>
      <c r="K397"/>
      <c r="L397"/>
      <c r="M397"/>
      <c r="N397"/>
      <c r="O397"/>
      <c r="P397"/>
      <c r="Q397"/>
      <c r="R397"/>
      <c r="S397"/>
      <c r="T397"/>
      <c r="U397"/>
      <c r="V397"/>
      <c r="W397"/>
    </row>
    <row r="398" spans="1:23">
      <c r="B398" s="88" t="s">
        <v>1622</v>
      </c>
      <c r="C398" s="98" t="s">
        <v>2229</v>
      </c>
      <c r="D398" s="513" t="s">
        <v>1015</v>
      </c>
      <c r="E398" s="91" t="str">
        <f>Main_Parameters!$C$202</f>
        <v>0438</v>
      </c>
      <c r="F398" s="92"/>
      <c r="G398"/>
      <c r="H398"/>
      <c r="I398"/>
      <c r="J398"/>
      <c r="K398"/>
      <c r="L398"/>
      <c r="M398"/>
      <c r="N398"/>
      <c r="O398"/>
      <c r="P398"/>
      <c r="Q398"/>
      <c r="R398"/>
      <c r="S398"/>
      <c r="T398"/>
      <c r="U398"/>
      <c r="V398"/>
      <c r="W398"/>
    </row>
    <row r="399" spans="1:23">
      <c r="B399" s="88" t="s">
        <v>1622</v>
      </c>
      <c r="C399" s="98" t="s">
        <v>2230</v>
      </c>
      <c r="D399" s="513" t="s">
        <v>1016</v>
      </c>
      <c r="E399" s="91" t="str">
        <f>Main_Parameters!$C$203</f>
        <v>0780</v>
      </c>
      <c r="F399" s="92"/>
      <c r="G399"/>
      <c r="H399"/>
      <c r="I399"/>
      <c r="J399"/>
      <c r="K399"/>
      <c r="L399"/>
      <c r="M399"/>
      <c r="N399"/>
      <c r="O399"/>
      <c r="P399"/>
      <c r="Q399"/>
      <c r="R399"/>
      <c r="S399"/>
      <c r="T399"/>
      <c r="U399"/>
      <c r="V399"/>
      <c r="W399"/>
    </row>
    <row r="400" spans="1:23">
      <c r="B400" s="88" t="s">
        <v>1622</v>
      </c>
      <c r="C400" s="98" t="s">
        <v>2231</v>
      </c>
      <c r="D400" s="513" t="s">
        <v>1017</v>
      </c>
      <c r="E400" s="91" t="str">
        <f>Main_Parameters!$C$204</f>
        <v>0096</v>
      </c>
      <c r="F400" s="92"/>
      <c r="G400"/>
      <c r="H400"/>
      <c r="I400"/>
      <c r="J400"/>
      <c r="K400"/>
      <c r="L400"/>
      <c r="M400"/>
      <c r="N400"/>
      <c r="O400"/>
      <c r="P400"/>
      <c r="Q400"/>
      <c r="R400"/>
      <c r="S400"/>
      <c r="T400"/>
      <c r="U400"/>
      <c r="V400"/>
      <c r="W400"/>
    </row>
    <row r="401" spans="2:57">
      <c r="B401" s="88" t="s">
        <v>1622</v>
      </c>
      <c r="C401" s="98" t="s">
        <v>2232</v>
      </c>
      <c r="D401" s="513" t="s">
        <v>1018</v>
      </c>
      <c r="E401" s="91" t="str">
        <f>Main_Parameters!$C$205</f>
        <v>0008</v>
      </c>
      <c r="F401" s="92"/>
      <c r="G401"/>
      <c r="H401"/>
      <c r="I401"/>
      <c r="J401"/>
      <c r="K401"/>
      <c r="L401"/>
      <c r="M401"/>
      <c r="N401"/>
      <c r="O401"/>
      <c r="P401"/>
      <c r="Q401"/>
      <c r="R401"/>
      <c r="S401"/>
      <c r="T401"/>
      <c r="U401"/>
      <c r="V401"/>
      <c r="W401"/>
    </row>
    <row r="402" spans="2:57">
      <c r="B402" s="88" t="s">
        <v>1622</v>
      </c>
      <c r="C402" s="98" t="s">
        <v>2220</v>
      </c>
      <c r="D402" s="513" t="s">
        <v>1007</v>
      </c>
      <c r="E402" s="91" t="str">
        <f>Main_Parameters!$C$194</f>
        <v>000D</v>
      </c>
      <c r="F402" s="92"/>
      <c r="G402"/>
      <c r="H402"/>
      <c r="I402"/>
      <c r="J402"/>
      <c r="K402"/>
      <c r="L402"/>
      <c r="M402"/>
      <c r="N402"/>
      <c r="O402"/>
      <c r="P402"/>
      <c r="Q402"/>
      <c r="R402"/>
      <c r="S402"/>
      <c r="T402"/>
      <c r="U402"/>
      <c r="V402"/>
      <c r="W402"/>
    </row>
    <row r="403" spans="2:57">
      <c r="B403" s="84" t="s">
        <v>1032</v>
      </c>
      <c r="C403" s="163" t="s">
        <v>2205</v>
      </c>
      <c r="D403" s="164"/>
      <c r="E403" s="165"/>
      <c r="F403" s="87"/>
      <c r="G403"/>
      <c r="H403"/>
      <c r="I403"/>
      <c r="J403"/>
      <c r="K403"/>
      <c r="L403"/>
      <c r="M403"/>
      <c r="N403"/>
      <c r="O403"/>
      <c r="P403"/>
      <c r="Q403"/>
      <c r="R403"/>
      <c r="S403"/>
      <c r="T403"/>
      <c r="U403"/>
      <c r="V403"/>
      <c r="W403"/>
    </row>
    <row r="404" spans="2:57">
      <c r="B404" s="93" t="s">
        <v>1622</v>
      </c>
      <c r="C404" s="89" t="s">
        <v>1623</v>
      </c>
      <c r="D404" s="510" t="s">
        <v>954</v>
      </c>
      <c r="E404" s="91" t="str">
        <f>Main_Parameters!$C$119</f>
        <v>0C37</v>
      </c>
      <c r="F404" s="97"/>
      <c r="G404"/>
      <c r="H404"/>
      <c r="I404"/>
      <c r="J404"/>
      <c r="K404"/>
      <c r="L404"/>
      <c r="M404"/>
      <c r="N404"/>
      <c r="O404"/>
      <c r="P404"/>
      <c r="Q404"/>
      <c r="R404"/>
      <c r="S404"/>
      <c r="T404"/>
      <c r="U404"/>
      <c r="V404"/>
      <c r="W404"/>
    </row>
    <row r="405" spans="2:57">
      <c r="B405" s="141" t="s">
        <v>1032</v>
      </c>
      <c r="C405" s="142" t="s">
        <v>2233</v>
      </c>
      <c r="D405" s="143"/>
      <c r="E405" s="144"/>
      <c r="F405" s="145"/>
      <c r="G405"/>
      <c r="H405"/>
      <c r="I405"/>
      <c r="J405"/>
      <c r="K405"/>
      <c r="L405"/>
      <c r="M405"/>
      <c r="N405"/>
      <c r="O405"/>
      <c r="P405"/>
      <c r="Q405"/>
      <c r="R405"/>
      <c r="S405"/>
      <c r="T405"/>
      <c r="U405"/>
    </row>
    <row r="406" spans="2:57" ht="15">
      <c r="B406" s="93" t="s">
        <v>2207</v>
      </c>
      <c r="C406" s="102" t="s">
        <v>2134</v>
      </c>
      <c r="D406" s="515" t="s">
        <v>958</v>
      </c>
      <c r="E406" s="91" t="str">
        <f>DEC2HEX(Y406*2^31+Z406*2^30+AA406*2^29+AB406*2^28+AC406*2^27+AD406*2^26+AE406*2^25+AF406*2^24+AG406*2^23+AH406*2^22+AI406*2^21+AJ406*2^20+AK406*2^19+AL406*2^18+AM406*2^17+AN406*2^16+AO406*2^15+AP406*2^14+AQ406*2^13+AR406*2^12+AS406*2^11+AT406*2^10+AU406*2^9+AV406*2^8+AW406*2^7+AX406*2^6+AY406*2^5+AZ406*2^4+BA406*2^3+BB406*2^2+BC406*2^1+BD406*2^0,8)</f>
        <v>00000006</v>
      </c>
      <c r="F406" s="92"/>
      <c r="G406"/>
      <c r="H406" s="103"/>
      <c r="I406" s="110"/>
      <c r="J406" s="110"/>
      <c r="K406" s="110"/>
      <c r="L406" s="110"/>
      <c r="M406" s="111"/>
      <c r="N406" s="106" t="s">
        <v>2135</v>
      </c>
      <c r="O406" s="54" t="s">
        <v>828</v>
      </c>
      <c r="P406" s="106"/>
      <c r="Q406" s="153"/>
      <c r="R406" s="112" t="s">
        <v>2137</v>
      </c>
      <c r="S406" s="159" t="s">
        <v>1305</v>
      </c>
      <c r="T406" s="112" t="s">
        <v>2138</v>
      </c>
      <c r="U406" s="159" t="s">
        <v>1305</v>
      </c>
      <c r="V406" s="107"/>
      <c r="W406" s="112"/>
      <c r="X406" s="131"/>
      <c r="Y406" s="64">
        <v>0</v>
      </c>
      <c r="Z406" s="64">
        <v>0</v>
      </c>
      <c r="AA406" s="64">
        <v>0</v>
      </c>
      <c r="AB406" s="64">
        <v>0</v>
      </c>
      <c r="AC406" s="64">
        <v>0</v>
      </c>
      <c r="AD406" s="64">
        <v>0</v>
      </c>
      <c r="AE406" s="64">
        <v>0</v>
      </c>
      <c r="AF406" s="64">
        <v>0</v>
      </c>
      <c r="AG406" s="64">
        <v>0</v>
      </c>
      <c r="AH406" s="64">
        <v>0</v>
      </c>
      <c r="AI406" s="64">
        <v>0</v>
      </c>
      <c r="AJ406" s="64">
        <v>0</v>
      </c>
      <c r="AK406" s="64">
        <v>0</v>
      </c>
      <c r="AL406" s="64">
        <v>0</v>
      </c>
      <c r="AM406" s="64">
        <v>0</v>
      </c>
      <c r="AN406" s="64">
        <v>0</v>
      </c>
      <c r="AO406" s="64">
        <v>0</v>
      </c>
      <c r="AP406" s="64">
        <v>0</v>
      </c>
      <c r="AQ406" s="64">
        <v>0</v>
      </c>
      <c r="AR406" s="64">
        <v>0</v>
      </c>
      <c r="AS406" s="64">
        <v>0</v>
      </c>
      <c r="AT406" s="64">
        <v>0</v>
      </c>
      <c r="AU406" s="64">
        <v>0</v>
      </c>
      <c r="AV406" s="64">
        <v>0</v>
      </c>
      <c r="AW406" s="64">
        <v>0</v>
      </c>
      <c r="AX406" s="64">
        <v>0</v>
      </c>
      <c r="AY406" s="64">
        <v>0</v>
      </c>
      <c r="AZ406" s="64">
        <f>IF(O406="LP",1,0)</f>
        <v>0</v>
      </c>
      <c r="BA406" s="64">
        <v>0</v>
      </c>
      <c r="BB406" s="64">
        <f>IF(S406="H Active",0,1)</f>
        <v>1</v>
      </c>
      <c r="BC406" s="64">
        <f>IF(U406="H Active",0,1)</f>
        <v>1</v>
      </c>
      <c r="BD406" s="64">
        <v>0</v>
      </c>
      <c r="BE406" s="131"/>
    </row>
    <row r="407" spans="2:57" ht="15">
      <c r="B407" s="93" t="s">
        <v>2207</v>
      </c>
      <c r="C407" s="102" t="s">
        <v>2134</v>
      </c>
      <c r="D407" s="515" t="s">
        <v>977</v>
      </c>
      <c r="E407" s="91" t="str">
        <f>DEC2HEX(Y407*2^31+Z407*2^30+AA407*2^29+AB407*2^28+AC407*2^27+AD407*2^26+AE407*2^25+AF407*2^24+AG407*2^23+AH407*2^22+AI407*2^21+AJ407*2^20+AK407*2^19+AL407*2^18+AM407*2^17+AN407*2^16+AO407*2^15+AP407*2^14+AQ407*2^13+AR407*2^12+AS407*2^11+AT407*2^10+AU407*2^9+AV407*2^8+AW407*2^7+AX407*2^6+AY407*2^5+AZ407*2^4+BA407*2^3+BB407*2^2+BC407*2^1+BD407*2^0,8)</f>
        <v>00000006</v>
      </c>
      <c r="F407" s="92"/>
      <c r="G407"/>
      <c r="H407" s="103"/>
      <c r="I407" s="110"/>
      <c r="J407" s="110"/>
      <c r="K407" s="110"/>
      <c r="L407" s="110"/>
      <c r="M407" s="111"/>
      <c r="N407" s="112" t="s">
        <v>2135</v>
      </c>
      <c r="O407" s="154" t="s">
        <v>828</v>
      </c>
      <c r="P407" s="106"/>
      <c r="Q407" s="114"/>
      <c r="R407" s="112" t="s">
        <v>2137</v>
      </c>
      <c r="S407" s="159" t="s">
        <v>1305</v>
      </c>
      <c r="T407" s="112" t="s">
        <v>2138</v>
      </c>
      <c r="U407" s="159" t="s">
        <v>1305</v>
      </c>
      <c r="V407" s="107"/>
      <c r="W407" s="112"/>
      <c r="X407" s="131"/>
      <c r="Y407" s="64">
        <v>0</v>
      </c>
      <c r="Z407" s="64">
        <v>0</v>
      </c>
      <c r="AA407" s="64">
        <v>0</v>
      </c>
      <c r="AB407" s="64">
        <v>0</v>
      </c>
      <c r="AC407" s="64">
        <v>0</v>
      </c>
      <c r="AD407" s="64">
        <v>0</v>
      </c>
      <c r="AE407" s="64">
        <v>0</v>
      </c>
      <c r="AF407" s="64">
        <v>0</v>
      </c>
      <c r="AG407" s="64">
        <v>0</v>
      </c>
      <c r="AH407" s="64">
        <v>0</v>
      </c>
      <c r="AI407" s="64">
        <v>0</v>
      </c>
      <c r="AJ407" s="64">
        <v>0</v>
      </c>
      <c r="AK407" s="64">
        <v>0</v>
      </c>
      <c r="AL407" s="64">
        <v>0</v>
      </c>
      <c r="AM407" s="64">
        <v>0</v>
      </c>
      <c r="AN407" s="64">
        <v>0</v>
      </c>
      <c r="AO407" s="64">
        <v>0</v>
      </c>
      <c r="AP407" s="64">
        <v>0</v>
      </c>
      <c r="AQ407" s="64">
        <v>0</v>
      </c>
      <c r="AR407" s="64">
        <v>0</v>
      </c>
      <c r="AS407" s="64">
        <v>0</v>
      </c>
      <c r="AT407" s="64">
        <v>0</v>
      </c>
      <c r="AU407" s="64">
        <v>0</v>
      </c>
      <c r="AV407" s="64">
        <v>0</v>
      </c>
      <c r="AW407" s="64">
        <v>0</v>
      </c>
      <c r="AX407" s="64">
        <v>0</v>
      </c>
      <c r="AY407" s="64">
        <v>0</v>
      </c>
      <c r="AZ407" s="64">
        <f>IF(O407="LP",1,0)</f>
        <v>0</v>
      </c>
      <c r="BA407" s="64">
        <v>0</v>
      </c>
      <c r="BB407" s="64">
        <f>IF(S407="H Active",0,1)</f>
        <v>1</v>
      </c>
      <c r="BC407" s="64">
        <f>IF(U407="H Active",0,1)</f>
        <v>1</v>
      </c>
      <c r="BD407" s="64">
        <v>0</v>
      </c>
      <c r="BE407" s="131"/>
    </row>
    <row r="408" spans="2:57" outlineLevel="1">
      <c r="B408" s="148" t="s">
        <v>1872</v>
      </c>
      <c r="C408" s="149"/>
      <c r="D408" s="151">
        <v>32000</v>
      </c>
      <c r="E408" s="151"/>
      <c r="F408" s="152"/>
      <c r="G408"/>
      <c r="H408"/>
      <c r="I408"/>
      <c r="J408"/>
      <c r="K408"/>
      <c r="L408"/>
      <c r="M408"/>
      <c r="N408"/>
      <c r="O408"/>
      <c r="P408"/>
      <c r="Q408"/>
      <c r="R408"/>
      <c r="S408"/>
      <c r="T408"/>
      <c r="U408"/>
      <c r="V408"/>
      <c r="W408"/>
    </row>
    <row r="409" spans="2:57" outlineLevel="1">
      <c r="B409" s="148" t="s">
        <v>1032</v>
      </c>
      <c r="C409" s="149" t="s">
        <v>2167</v>
      </c>
      <c r="D409" s="150"/>
      <c r="E409" s="151"/>
      <c r="F409" s="152"/>
      <c r="G409"/>
      <c r="H409"/>
      <c r="I409"/>
      <c r="J409"/>
      <c r="K409"/>
      <c r="L409"/>
      <c r="M409"/>
      <c r="N409"/>
      <c r="O409"/>
      <c r="P409"/>
      <c r="Q409"/>
      <c r="R409"/>
      <c r="S409"/>
      <c r="T409"/>
      <c r="U409"/>
      <c r="V409"/>
      <c r="W409"/>
    </row>
    <row r="410" spans="2:57" outlineLevel="1">
      <c r="B410" s="148" t="s">
        <v>1622</v>
      </c>
      <c r="C410" s="149" t="s">
        <v>2141</v>
      </c>
      <c r="D410" s="517" t="s">
        <v>2142</v>
      </c>
      <c r="E410" s="518" t="s">
        <v>2168</v>
      </c>
      <c r="F410" s="152"/>
      <c r="G410"/>
      <c r="H410"/>
      <c r="I410"/>
      <c r="J410"/>
      <c r="K410"/>
      <c r="L410"/>
      <c r="M410"/>
      <c r="N410"/>
      <c r="O410"/>
      <c r="P410"/>
      <c r="Q410"/>
      <c r="R410"/>
      <c r="S410"/>
      <c r="T410"/>
      <c r="U410"/>
      <c r="V410"/>
      <c r="W410"/>
    </row>
    <row r="411" spans="2:57" outlineLevel="1">
      <c r="B411" s="148" t="s">
        <v>1622</v>
      </c>
      <c r="C411" s="149" t="s">
        <v>2141</v>
      </c>
      <c r="D411" s="517" t="s">
        <v>2142</v>
      </c>
      <c r="E411" s="518" t="s">
        <v>2169</v>
      </c>
      <c r="F411" s="152"/>
      <c r="G411"/>
      <c r="H411"/>
      <c r="I411"/>
      <c r="J411"/>
      <c r="K411"/>
      <c r="L411"/>
      <c r="M411"/>
      <c r="N411"/>
      <c r="O411"/>
      <c r="P411"/>
      <c r="Q411"/>
      <c r="R411"/>
      <c r="S411"/>
      <c r="T411"/>
      <c r="U411"/>
      <c r="V411"/>
      <c r="W411"/>
    </row>
    <row r="412" spans="2:57" outlineLevel="1">
      <c r="B412" s="148" t="s">
        <v>1872</v>
      </c>
      <c r="C412" s="149"/>
      <c r="D412" s="151">
        <v>32000</v>
      </c>
      <c r="E412" s="151"/>
      <c r="F412" s="152"/>
      <c r="G412"/>
      <c r="H412"/>
      <c r="I412"/>
      <c r="J412"/>
      <c r="K412"/>
      <c r="L412"/>
      <c r="M412"/>
      <c r="N412"/>
      <c r="O412"/>
      <c r="P412"/>
      <c r="Q412"/>
      <c r="R412"/>
      <c r="S412"/>
      <c r="T412"/>
      <c r="U412"/>
      <c r="V412"/>
      <c r="W412"/>
    </row>
    <row r="413" spans="2:57" outlineLevel="1">
      <c r="B413" s="148" t="s">
        <v>1032</v>
      </c>
      <c r="C413" s="149" t="s">
        <v>2208</v>
      </c>
      <c r="D413" s="150"/>
      <c r="E413" s="151"/>
      <c r="F413" s="152"/>
      <c r="G413"/>
      <c r="H413"/>
      <c r="I413"/>
      <c r="J413"/>
      <c r="K413"/>
      <c r="L413"/>
      <c r="M413"/>
      <c r="N413"/>
      <c r="O413"/>
      <c r="P413"/>
      <c r="Q413"/>
      <c r="R413"/>
      <c r="S413"/>
      <c r="T413"/>
      <c r="U413"/>
      <c r="V413"/>
      <c r="W413"/>
    </row>
    <row r="414" spans="2:57" outlineLevel="1">
      <c r="B414" s="148" t="s">
        <v>1622</v>
      </c>
      <c r="C414" s="149" t="s">
        <v>2141</v>
      </c>
      <c r="D414" s="517" t="s">
        <v>2142</v>
      </c>
      <c r="E414" s="518" t="s">
        <v>2168</v>
      </c>
      <c r="F414" s="152"/>
      <c r="G414"/>
      <c r="H414"/>
      <c r="I414"/>
      <c r="J414"/>
      <c r="K414"/>
      <c r="L414"/>
      <c r="M414"/>
      <c r="N414"/>
      <c r="O414"/>
      <c r="P414"/>
      <c r="Q414"/>
      <c r="R414"/>
      <c r="S414"/>
      <c r="T414"/>
      <c r="U414"/>
      <c r="V414"/>
      <c r="W414"/>
    </row>
    <row r="415" spans="2:57" outlineLevel="1">
      <c r="B415" s="148" t="s">
        <v>1622</v>
      </c>
      <c r="C415" s="149" t="s">
        <v>2141</v>
      </c>
      <c r="D415" s="517" t="s">
        <v>2142</v>
      </c>
      <c r="E415" s="518" t="s">
        <v>2209</v>
      </c>
      <c r="F415" s="152"/>
      <c r="G415"/>
      <c r="H415"/>
      <c r="I415"/>
      <c r="J415"/>
      <c r="K415"/>
      <c r="L415"/>
      <c r="M415"/>
      <c r="N415"/>
      <c r="O415"/>
      <c r="P415"/>
      <c r="Q415"/>
      <c r="R415"/>
      <c r="S415"/>
      <c r="T415"/>
      <c r="U415"/>
      <c r="V415"/>
      <c r="W415"/>
    </row>
    <row r="416" spans="2:57" outlineLevel="1">
      <c r="B416" s="148" t="s">
        <v>1872</v>
      </c>
      <c r="C416" s="149"/>
      <c r="D416" s="151">
        <v>32000</v>
      </c>
      <c r="E416" s="151"/>
      <c r="F416" s="152"/>
      <c r="G416"/>
      <c r="H416"/>
      <c r="I416"/>
      <c r="J416"/>
      <c r="K416"/>
      <c r="L416"/>
      <c r="M416"/>
      <c r="N416"/>
      <c r="O416"/>
      <c r="P416"/>
      <c r="Q416"/>
      <c r="R416"/>
      <c r="S416"/>
      <c r="T416"/>
      <c r="U416"/>
      <c r="V416"/>
      <c r="W416"/>
    </row>
    <row r="417" spans="2:23" outlineLevel="1">
      <c r="B417" s="148" t="s">
        <v>1032</v>
      </c>
      <c r="C417" s="149" t="s">
        <v>2167</v>
      </c>
      <c r="D417" s="150"/>
      <c r="E417" s="151"/>
      <c r="F417" s="152"/>
      <c r="G417"/>
      <c r="H417"/>
      <c r="I417"/>
      <c r="J417"/>
      <c r="K417"/>
      <c r="L417"/>
      <c r="M417"/>
      <c r="N417"/>
      <c r="O417"/>
      <c r="P417"/>
      <c r="Q417"/>
      <c r="R417"/>
      <c r="S417"/>
      <c r="T417"/>
      <c r="U417"/>
      <c r="V417"/>
      <c r="W417"/>
    </row>
    <row r="418" spans="2:23" outlineLevel="1">
      <c r="B418" s="148" t="s">
        <v>1622</v>
      </c>
      <c r="C418" s="149" t="s">
        <v>2141</v>
      </c>
      <c r="D418" s="517" t="s">
        <v>2142</v>
      </c>
      <c r="E418" s="518" t="s">
        <v>2168</v>
      </c>
      <c r="F418" s="152"/>
      <c r="G418"/>
      <c r="H418"/>
      <c r="I418"/>
      <c r="J418"/>
      <c r="K418"/>
      <c r="L418"/>
      <c r="M418"/>
      <c r="N418"/>
      <c r="O418"/>
      <c r="P418"/>
      <c r="Q418"/>
      <c r="R418"/>
      <c r="S418"/>
      <c r="T418"/>
      <c r="U418"/>
      <c r="V418"/>
      <c r="W418"/>
    </row>
    <row r="419" spans="2:23" outlineLevel="1">
      <c r="B419" s="148" t="s">
        <v>1622</v>
      </c>
      <c r="C419" s="149" t="s">
        <v>2141</v>
      </c>
      <c r="D419" s="517" t="s">
        <v>2142</v>
      </c>
      <c r="E419" s="518" t="s">
        <v>2210</v>
      </c>
      <c r="F419" s="152"/>
      <c r="G419"/>
      <c r="H419"/>
      <c r="I419"/>
      <c r="J419"/>
      <c r="K419"/>
      <c r="L419"/>
      <c r="M419"/>
      <c r="N419"/>
      <c r="O419"/>
      <c r="P419"/>
      <c r="Q419"/>
      <c r="R419"/>
      <c r="S419"/>
      <c r="T419"/>
      <c r="U419"/>
      <c r="V419"/>
      <c r="W419"/>
    </row>
    <row r="420" spans="2:23" outlineLevel="1">
      <c r="B420" s="148" t="s">
        <v>1872</v>
      </c>
      <c r="C420" s="149"/>
      <c r="D420" s="151">
        <v>32000</v>
      </c>
      <c r="E420" s="151"/>
      <c r="F420" s="152"/>
      <c r="G420"/>
      <c r="H420"/>
      <c r="I420"/>
      <c r="J420"/>
      <c r="K420"/>
      <c r="L420"/>
      <c r="M420"/>
      <c r="N420"/>
      <c r="O420"/>
      <c r="P420"/>
      <c r="Q420"/>
      <c r="R420"/>
      <c r="S420"/>
      <c r="T420"/>
      <c r="U420"/>
      <c r="V420"/>
      <c r="W420"/>
    </row>
    <row r="421" spans="2:23" outlineLevel="1">
      <c r="B421" s="148" t="s">
        <v>1032</v>
      </c>
      <c r="C421" s="149" t="s">
        <v>2211</v>
      </c>
      <c r="D421" s="150"/>
      <c r="E421" s="151"/>
      <c r="F421" s="152"/>
      <c r="G421"/>
      <c r="H421"/>
      <c r="I421"/>
      <c r="J421"/>
      <c r="K421"/>
      <c r="L421"/>
      <c r="M421"/>
      <c r="N421"/>
      <c r="O421"/>
      <c r="P421"/>
      <c r="Q421"/>
      <c r="R421"/>
      <c r="S421"/>
      <c r="T421"/>
      <c r="U421"/>
      <c r="V421"/>
      <c r="W421"/>
    </row>
    <row r="422" spans="2:23" outlineLevel="1">
      <c r="B422" s="148" t="s">
        <v>1622</v>
      </c>
      <c r="C422" s="149" t="s">
        <v>2141</v>
      </c>
      <c r="D422" s="517" t="s">
        <v>2142</v>
      </c>
      <c r="E422" s="518" t="s">
        <v>2143</v>
      </c>
      <c r="F422" s="152"/>
      <c r="G422"/>
      <c r="H422"/>
      <c r="I422"/>
      <c r="J422"/>
      <c r="K422"/>
      <c r="L422"/>
      <c r="M422"/>
      <c r="N422"/>
      <c r="O422"/>
      <c r="P422"/>
      <c r="Q422"/>
      <c r="R422"/>
      <c r="S422"/>
      <c r="T422"/>
      <c r="U422"/>
      <c r="V422"/>
      <c r="W422"/>
    </row>
    <row r="423" spans="2:23" outlineLevel="1">
      <c r="B423" s="148" t="s">
        <v>1622</v>
      </c>
      <c r="C423" s="149" t="s">
        <v>2141</v>
      </c>
      <c r="D423" s="517" t="s">
        <v>2142</v>
      </c>
      <c r="E423" s="518" t="s">
        <v>2212</v>
      </c>
      <c r="F423" s="152"/>
      <c r="G423"/>
      <c r="H423"/>
      <c r="I423"/>
      <c r="J423"/>
      <c r="K423"/>
      <c r="L423"/>
      <c r="M423"/>
      <c r="N423"/>
      <c r="O423"/>
      <c r="P423"/>
      <c r="Q423"/>
      <c r="R423"/>
      <c r="S423"/>
      <c r="T423"/>
      <c r="U423"/>
      <c r="V423"/>
      <c r="W423"/>
    </row>
    <row r="424" spans="2:23" outlineLevel="1">
      <c r="B424" s="148" t="s">
        <v>1872</v>
      </c>
      <c r="C424" s="149"/>
      <c r="D424" s="151">
        <v>32000</v>
      </c>
      <c r="E424" s="151"/>
      <c r="F424" s="152"/>
      <c r="G424"/>
      <c r="H424"/>
      <c r="I424"/>
      <c r="J424"/>
      <c r="K424"/>
      <c r="L424"/>
      <c r="M424"/>
      <c r="N424"/>
      <c r="O424"/>
      <c r="P424"/>
      <c r="Q424"/>
      <c r="R424"/>
      <c r="S424"/>
      <c r="T424"/>
      <c r="U424"/>
      <c r="V424"/>
      <c r="W424"/>
    </row>
    <row r="425" spans="2:23" outlineLevel="1">
      <c r="B425" s="148"/>
      <c r="C425" s="149"/>
      <c r="D425" s="150"/>
      <c r="E425" s="151"/>
      <c r="F425" s="152"/>
      <c r="G425"/>
      <c r="H425"/>
      <c r="I425"/>
      <c r="J425"/>
      <c r="K425"/>
      <c r="L425"/>
      <c r="M425"/>
      <c r="N425"/>
      <c r="O425"/>
      <c r="P425"/>
      <c r="Q425"/>
      <c r="R425"/>
      <c r="S425"/>
      <c r="T425"/>
      <c r="U425"/>
      <c r="V425"/>
      <c r="W425"/>
    </row>
    <row r="426" spans="2:23" outlineLevel="1">
      <c r="B426" s="160"/>
      <c r="C426" s="161"/>
      <c r="D426" s="150"/>
      <c r="E426" s="162"/>
      <c r="F426" s="152"/>
      <c r="G426"/>
      <c r="H426"/>
      <c r="I426"/>
      <c r="J426"/>
      <c r="K426"/>
      <c r="L426"/>
      <c r="M426"/>
      <c r="N426"/>
      <c r="O426"/>
      <c r="P426"/>
      <c r="Q426"/>
      <c r="R426"/>
      <c r="S426"/>
      <c r="T426"/>
      <c r="U426"/>
      <c r="V426"/>
      <c r="W426"/>
    </row>
    <row r="427" spans="2:23" outlineLevel="1">
      <c r="B427" s="148"/>
      <c r="C427" s="149"/>
      <c r="D427" s="150"/>
      <c r="E427" s="151"/>
      <c r="F427" s="152"/>
      <c r="G427"/>
      <c r="H427"/>
      <c r="I427"/>
      <c r="J427"/>
      <c r="K427"/>
      <c r="L427"/>
      <c r="M427"/>
      <c r="N427"/>
      <c r="O427"/>
      <c r="P427"/>
      <c r="Q427"/>
      <c r="R427"/>
      <c r="S427"/>
      <c r="T427"/>
      <c r="U427"/>
      <c r="V427"/>
      <c r="W427"/>
    </row>
    <row r="428" spans="2:23" outlineLevel="1">
      <c r="B428" s="160"/>
      <c r="C428" s="161"/>
      <c r="D428" s="150"/>
      <c r="E428" s="162"/>
      <c r="F428" s="152"/>
      <c r="G428"/>
      <c r="H428"/>
      <c r="I428"/>
      <c r="J428"/>
      <c r="K428"/>
      <c r="L428"/>
      <c r="M428"/>
      <c r="N428"/>
      <c r="O428"/>
      <c r="P428"/>
      <c r="Q428"/>
      <c r="R428"/>
      <c r="S428"/>
      <c r="T428"/>
      <c r="U428"/>
      <c r="V428"/>
      <c r="W428"/>
    </row>
    <row r="429" spans="2:23" outlineLevel="1">
      <c r="B429" s="148"/>
      <c r="C429" s="149"/>
      <c r="D429" s="150"/>
      <c r="E429" s="151"/>
      <c r="F429" s="152"/>
      <c r="G429"/>
      <c r="H429"/>
      <c r="I429"/>
      <c r="J429"/>
      <c r="K429"/>
      <c r="L429"/>
      <c r="M429"/>
      <c r="N429"/>
      <c r="O429"/>
      <c r="P429"/>
      <c r="Q429"/>
      <c r="R429"/>
      <c r="S429"/>
      <c r="T429"/>
      <c r="U429"/>
      <c r="V429"/>
      <c r="W429"/>
    </row>
    <row r="430" spans="2:23" outlineLevel="1">
      <c r="B430" s="160"/>
      <c r="C430" s="161"/>
      <c r="D430" s="150"/>
      <c r="E430" s="162"/>
      <c r="F430" s="152"/>
      <c r="G430"/>
      <c r="H430"/>
      <c r="I430"/>
      <c r="J430"/>
      <c r="K430"/>
      <c r="L430"/>
      <c r="M430"/>
      <c r="N430"/>
      <c r="O430"/>
      <c r="P430"/>
      <c r="Q430"/>
      <c r="R430"/>
      <c r="S430"/>
      <c r="T430"/>
      <c r="U430"/>
      <c r="V430"/>
      <c r="W430"/>
    </row>
    <row r="431" spans="2:23" outlineLevel="1">
      <c r="B431" s="148"/>
      <c r="C431" s="149"/>
      <c r="D431" s="150"/>
      <c r="E431" s="151"/>
      <c r="F431" s="152"/>
      <c r="G431"/>
      <c r="H431"/>
      <c r="I431"/>
      <c r="J431"/>
      <c r="K431"/>
      <c r="L431"/>
      <c r="M431"/>
      <c r="N431"/>
      <c r="O431"/>
      <c r="P431"/>
      <c r="Q431"/>
      <c r="R431"/>
      <c r="S431"/>
      <c r="T431"/>
      <c r="U431"/>
      <c r="V431"/>
      <c r="W431"/>
    </row>
    <row r="432" spans="2:23" outlineLevel="1">
      <c r="B432" s="160"/>
      <c r="C432" s="161"/>
      <c r="D432" s="150"/>
      <c r="E432" s="162"/>
      <c r="F432" s="152"/>
      <c r="G432"/>
      <c r="H432"/>
      <c r="I432"/>
      <c r="J432"/>
      <c r="K432"/>
      <c r="L432"/>
      <c r="M432"/>
      <c r="N432"/>
      <c r="O432"/>
      <c r="P432"/>
      <c r="Q432"/>
      <c r="R432"/>
      <c r="S432"/>
      <c r="T432"/>
      <c r="U432"/>
      <c r="V432"/>
      <c r="W432"/>
    </row>
    <row r="433" spans="2:23" outlineLevel="1">
      <c r="B433" s="148"/>
      <c r="C433" s="149"/>
      <c r="D433" s="150"/>
      <c r="E433" s="151"/>
      <c r="F433" s="152"/>
      <c r="G433"/>
      <c r="H433"/>
      <c r="I433"/>
      <c r="J433"/>
      <c r="K433"/>
      <c r="L433"/>
      <c r="M433"/>
      <c r="N433"/>
      <c r="O433"/>
      <c r="P433"/>
      <c r="Q433"/>
      <c r="R433"/>
      <c r="S433"/>
      <c r="T433"/>
      <c r="U433"/>
      <c r="V433"/>
      <c r="W433"/>
    </row>
    <row r="434" spans="2:23" outlineLevel="1">
      <c r="B434" s="160"/>
      <c r="C434" s="161"/>
      <c r="D434" s="150"/>
      <c r="E434" s="162"/>
      <c r="F434" s="152"/>
      <c r="G434"/>
      <c r="H434"/>
      <c r="I434"/>
      <c r="J434"/>
      <c r="K434"/>
      <c r="L434"/>
      <c r="M434"/>
      <c r="N434"/>
      <c r="O434"/>
      <c r="P434"/>
      <c r="Q434"/>
      <c r="R434"/>
      <c r="S434"/>
      <c r="T434"/>
      <c r="U434"/>
      <c r="V434"/>
      <c r="W434"/>
    </row>
    <row r="435" spans="2:23" outlineLevel="1">
      <c r="B435" s="148"/>
      <c r="C435" s="149"/>
      <c r="D435" s="150"/>
      <c r="E435" s="151"/>
      <c r="F435" s="152"/>
      <c r="G435"/>
      <c r="H435"/>
      <c r="I435"/>
      <c r="J435"/>
      <c r="K435"/>
      <c r="L435"/>
      <c r="M435"/>
      <c r="N435"/>
      <c r="O435"/>
      <c r="P435"/>
      <c r="Q435"/>
      <c r="R435"/>
      <c r="S435"/>
      <c r="T435"/>
      <c r="U435"/>
      <c r="V435"/>
      <c r="W435"/>
    </row>
    <row r="436" spans="2:23" outlineLevel="1">
      <c r="B436" s="160"/>
      <c r="C436" s="161"/>
      <c r="D436" s="150"/>
      <c r="E436" s="162"/>
      <c r="F436" s="152"/>
      <c r="G436"/>
      <c r="H436"/>
      <c r="I436"/>
      <c r="J436"/>
      <c r="K436"/>
      <c r="L436"/>
      <c r="M436"/>
      <c r="N436"/>
      <c r="O436"/>
      <c r="P436"/>
      <c r="Q436"/>
      <c r="R436"/>
      <c r="S436"/>
      <c r="T436"/>
      <c r="U436"/>
      <c r="V436"/>
      <c r="W436"/>
    </row>
    <row r="437" spans="2:23" outlineLevel="1">
      <c r="B437" s="148"/>
      <c r="C437" s="149"/>
      <c r="D437" s="150"/>
      <c r="E437" s="151"/>
      <c r="F437" s="152"/>
      <c r="G437"/>
      <c r="H437"/>
      <c r="I437"/>
      <c r="J437"/>
      <c r="K437"/>
      <c r="L437"/>
      <c r="M437"/>
      <c r="N437"/>
      <c r="O437"/>
      <c r="P437"/>
      <c r="Q437"/>
      <c r="R437"/>
      <c r="S437"/>
      <c r="T437"/>
      <c r="U437"/>
      <c r="V437"/>
      <c r="W437"/>
    </row>
    <row r="438" spans="2:23" outlineLevel="1">
      <c r="B438" s="160"/>
      <c r="C438" s="161"/>
      <c r="D438" s="150"/>
      <c r="E438" s="162"/>
      <c r="F438" s="152"/>
      <c r="G438"/>
      <c r="H438"/>
      <c r="I438"/>
      <c r="J438"/>
      <c r="K438"/>
      <c r="L438"/>
      <c r="M438"/>
      <c r="N438"/>
      <c r="O438"/>
      <c r="P438"/>
      <c r="Q438"/>
      <c r="R438"/>
      <c r="S438"/>
      <c r="T438"/>
      <c r="U438"/>
      <c r="V438"/>
      <c r="W438"/>
    </row>
    <row r="439" spans="2:23" outlineLevel="1">
      <c r="B439" s="148"/>
      <c r="C439" s="149"/>
      <c r="D439" s="150"/>
      <c r="E439" s="151"/>
      <c r="F439" s="152"/>
      <c r="G439"/>
      <c r="H439"/>
      <c r="I439"/>
      <c r="J439"/>
      <c r="K439"/>
      <c r="L439"/>
      <c r="M439"/>
      <c r="N439"/>
      <c r="O439"/>
      <c r="P439"/>
      <c r="Q439"/>
      <c r="R439"/>
      <c r="S439"/>
      <c r="T439"/>
      <c r="U439"/>
      <c r="V439"/>
      <c r="W439"/>
    </row>
    <row r="440" spans="2:23" outlineLevel="1">
      <c r="B440" s="160"/>
      <c r="C440" s="161"/>
      <c r="D440" s="150"/>
      <c r="E440" s="162"/>
      <c r="F440" s="152"/>
      <c r="G440"/>
      <c r="H440"/>
      <c r="I440"/>
      <c r="J440"/>
      <c r="K440"/>
      <c r="L440"/>
      <c r="M440"/>
      <c r="N440"/>
      <c r="O440"/>
      <c r="P440"/>
      <c r="Q440"/>
      <c r="R440"/>
      <c r="S440"/>
      <c r="T440"/>
      <c r="U440"/>
      <c r="V440"/>
      <c r="W440"/>
    </row>
    <row r="441" spans="2:23" outlineLevel="1">
      <c r="B441" s="148"/>
      <c r="C441" s="149"/>
      <c r="D441" s="150"/>
      <c r="E441" s="151"/>
      <c r="F441" s="152"/>
      <c r="G441"/>
      <c r="H441"/>
      <c r="I441"/>
      <c r="J441"/>
      <c r="K441"/>
      <c r="L441"/>
      <c r="M441"/>
      <c r="N441"/>
      <c r="O441"/>
      <c r="P441"/>
      <c r="Q441"/>
      <c r="R441"/>
      <c r="S441"/>
      <c r="T441"/>
      <c r="U441"/>
      <c r="V441"/>
      <c r="W441"/>
    </row>
    <row r="442" spans="2:23" outlineLevel="1">
      <c r="B442" s="160"/>
      <c r="C442" s="161"/>
      <c r="D442" s="150"/>
      <c r="E442" s="162"/>
      <c r="F442" s="152"/>
      <c r="G442"/>
      <c r="H442"/>
      <c r="I442"/>
      <c r="J442"/>
      <c r="K442"/>
      <c r="L442"/>
      <c r="M442"/>
      <c r="N442"/>
      <c r="O442"/>
      <c r="P442"/>
      <c r="Q442"/>
      <c r="R442"/>
      <c r="S442"/>
      <c r="T442"/>
      <c r="U442"/>
      <c r="V442"/>
      <c r="W442"/>
    </row>
    <row r="443" spans="2:23" outlineLevel="1">
      <c r="B443" s="148"/>
      <c r="C443" s="149"/>
      <c r="D443" s="150"/>
      <c r="E443" s="151"/>
      <c r="F443" s="152"/>
      <c r="G443"/>
      <c r="H443"/>
      <c r="I443"/>
      <c r="J443"/>
      <c r="K443"/>
      <c r="L443"/>
      <c r="M443"/>
      <c r="N443"/>
      <c r="O443"/>
      <c r="P443"/>
      <c r="Q443"/>
      <c r="R443"/>
      <c r="S443"/>
      <c r="T443"/>
      <c r="U443"/>
      <c r="V443"/>
      <c r="W443"/>
    </row>
    <row r="444" spans="2:23" outlineLevel="1">
      <c r="B444" s="160"/>
      <c r="C444" s="161"/>
      <c r="D444" s="150"/>
      <c r="E444" s="162"/>
      <c r="F444" s="152"/>
      <c r="G444"/>
      <c r="H444"/>
      <c r="I444"/>
      <c r="J444"/>
      <c r="K444"/>
      <c r="L444"/>
      <c r="M444"/>
      <c r="N444"/>
      <c r="O444"/>
      <c r="P444"/>
      <c r="Q444"/>
      <c r="R444"/>
      <c r="S444"/>
      <c r="T444"/>
      <c r="U444"/>
      <c r="V444"/>
      <c r="W444"/>
    </row>
    <row r="445" spans="2:23" outlineLevel="1">
      <c r="B445" s="148"/>
      <c r="C445" s="149"/>
      <c r="D445" s="150"/>
      <c r="E445" s="151"/>
      <c r="F445" s="152"/>
      <c r="G445"/>
      <c r="H445"/>
      <c r="I445"/>
      <c r="J445"/>
      <c r="K445"/>
      <c r="L445"/>
      <c r="M445"/>
      <c r="N445"/>
      <c r="O445"/>
      <c r="P445"/>
      <c r="Q445"/>
      <c r="R445"/>
      <c r="S445"/>
      <c r="T445"/>
      <c r="U445"/>
      <c r="V445"/>
      <c r="W445"/>
    </row>
    <row r="446" spans="2:23" outlineLevel="1">
      <c r="B446" s="160"/>
      <c r="C446" s="161"/>
      <c r="D446" s="150"/>
      <c r="E446" s="162"/>
      <c r="F446" s="152"/>
      <c r="G446"/>
      <c r="H446"/>
      <c r="I446"/>
      <c r="J446"/>
      <c r="K446"/>
      <c r="L446"/>
      <c r="M446"/>
      <c r="N446"/>
      <c r="O446"/>
      <c r="P446"/>
      <c r="Q446"/>
      <c r="R446"/>
      <c r="S446"/>
      <c r="T446"/>
      <c r="U446"/>
      <c r="V446"/>
      <c r="W446"/>
    </row>
    <row r="447" spans="2:23" outlineLevel="1">
      <c r="B447" s="148"/>
      <c r="C447" s="149"/>
      <c r="D447" s="150"/>
      <c r="E447" s="151"/>
      <c r="F447" s="152"/>
      <c r="G447"/>
      <c r="H447"/>
      <c r="I447"/>
      <c r="J447"/>
      <c r="K447"/>
      <c r="L447"/>
      <c r="M447"/>
      <c r="N447"/>
      <c r="O447"/>
      <c r="P447"/>
      <c r="Q447"/>
      <c r="R447"/>
      <c r="S447"/>
      <c r="T447"/>
      <c r="U447"/>
      <c r="V447"/>
      <c r="W447"/>
    </row>
    <row r="448" spans="2:23" outlineLevel="1">
      <c r="B448" s="160"/>
      <c r="C448" s="161"/>
      <c r="D448" s="150"/>
      <c r="E448" s="162"/>
      <c r="F448" s="152"/>
      <c r="G448"/>
      <c r="H448"/>
      <c r="I448"/>
      <c r="J448"/>
      <c r="K448"/>
      <c r="L448"/>
      <c r="M448"/>
      <c r="N448"/>
      <c r="O448"/>
      <c r="P448"/>
      <c r="Q448"/>
      <c r="R448"/>
      <c r="S448"/>
      <c r="T448"/>
      <c r="U448"/>
      <c r="V448"/>
      <c r="W448"/>
    </row>
    <row r="449" spans="2:23" outlineLevel="1">
      <c r="B449" s="148"/>
      <c r="C449" s="149"/>
      <c r="D449" s="150"/>
      <c r="E449" s="151"/>
      <c r="F449" s="152"/>
      <c r="G449"/>
      <c r="H449"/>
      <c r="I449"/>
      <c r="J449"/>
      <c r="K449"/>
      <c r="L449"/>
      <c r="M449"/>
      <c r="N449"/>
      <c r="O449"/>
      <c r="P449"/>
      <c r="Q449"/>
      <c r="R449"/>
      <c r="S449"/>
      <c r="T449"/>
      <c r="U449"/>
      <c r="V449"/>
      <c r="W449"/>
    </row>
    <row r="450" spans="2:23" outlineLevel="1">
      <c r="B450" s="160"/>
      <c r="C450" s="161"/>
      <c r="D450" s="150"/>
      <c r="E450" s="162"/>
      <c r="F450" s="152"/>
      <c r="G450"/>
      <c r="H450"/>
      <c r="I450"/>
      <c r="J450"/>
      <c r="K450"/>
      <c r="L450"/>
      <c r="M450"/>
      <c r="N450"/>
      <c r="O450"/>
      <c r="P450"/>
      <c r="Q450"/>
      <c r="R450"/>
      <c r="S450"/>
      <c r="T450"/>
      <c r="U450"/>
      <c r="V450"/>
      <c r="W450"/>
    </row>
    <row r="451" spans="2:23" outlineLevel="1">
      <c r="B451" s="148"/>
      <c r="C451" s="149"/>
      <c r="D451" s="150"/>
      <c r="E451" s="151"/>
      <c r="F451" s="152"/>
      <c r="G451"/>
      <c r="H451"/>
      <c r="I451"/>
      <c r="J451"/>
      <c r="K451"/>
      <c r="L451"/>
      <c r="M451"/>
      <c r="N451"/>
      <c r="O451"/>
      <c r="P451"/>
      <c r="Q451"/>
      <c r="R451"/>
      <c r="S451"/>
      <c r="T451"/>
      <c r="U451"/>
      <c r="V451"/>
      <c r="W451"/>
    </row>
    <row r="452" spans="2:23" outlineLevel="1">
      <c r="B452" s="160"/>
      <c r="C452" s="161"/>
      <c r="D452" s="150"/>
      <c r="E452" s="162"/>
      <c r="F452" s="152"/>
      <c r="G452"/>
      <c r="H452"/>
      <c r="I452"/>
      <c r="J452"/>
      <c r="K452"/>
      <c r="L452"/>
      <c r="M452"/>
      <c r="N452"/>
      <c r="O452"/>
      <c r="P452"/>
      <c r="Q452"/>
      <c r="R452"/>
      <c r="S452"/>
      <c r="T452"/>
      <c r="U452"/>
      <c r="V452"/>
      <c r="W452"/>
    </row>
    <row r="453" spans="2:23" outlineLevel="1">
      <c r="B453" s="148"/>
      <c r="C453" s="149"/>
      <c r="D453" s="150"/>
      <c r="E453" s="151"/>
      <c r="F453" s="152"/>
      <c r="G453"/>
      <c r="H453"/>
      <c r="I453"/>
      <c r="J453"/>
      <c r="K453"/>
      <c r="L453"/>
      <c r="M453"/>
      <c r="N453"/>
      <c r="O453"/>
      <c r="P453"/>
      <c r="Q453"/>
      <c r="R453"/>
      <c r="S453"/>
      <c r="T453"/>
      <c r="U453"/>
      <c r="V453"/>
      <c r="W453"/>
    </row>
    <row r="454" spans="2:23" outlineLevel="1">
      <c r="B454" s="160"/>
      <c r="C454" s="161"/>
      <c r="D454" s="150"/>
      <c r="E454" s="162"/>
      <c r="F454" s="152"/>
      <c r="G454"/>
      <c r="H454"/>
      <c r="I454"/>
      <c r="J454"/>
      <c r="K454"/>
      <c r="L454"/>
      <c r="M454"/>
      <c r="N454"/>
      <c r="O454"/>
      <c r="P454"/>
      <c r="Q454"/>
      <c r="R454"/>
      <c r="S454"/>
      <c r="T454"/>
      <c r="U454"/>
      <c r="V454"/>
      <c r="W454"/>
    </row>
    <row r="455" spans="2:23" outlineLevel="1">
      <c r="B455" s="148"/>
      <c r="C455" s="149"/>
      <c r="D455" s="150"/>
      <c r="E455" s="151"/>
      <c r="F455" s="152"/>
      <c r="G455"/>
      <c r="H455"/>
      <c r="I455"/>
      <c r="J455"/>
      <c r="K455"/>
      <c r="L455"/>
      <c r="M455"/>
      <c r="N455"/>
      <c r="O455"/>
      <c r="P455"/>
      <c r="Q455"/>
      <c r="R455"/>
      <c r="S455"/>
      <c r="T455"/>
      <c r="U455"/>
      <c r="V455"/>
      <c r="W455"/>
    </row>
    <row r="456" spans="2:23" outlineLevel="1">
      <c r="B456" s="160"/>
      <c r="C456" s="161"/>
      <c r="D456" s="150"/>
      <c r="E456" s="162"/>
      <c r="F456" s="152"/>
      <c r="G456"/>
      <c r="H456"/>
      <c r="I456"/>
      <c r="J456"/>
      <c r="K456"/>
      <c r="L456"/>
      <c r="M456"/>
      <c r="N456"/>
      <c r="O456"/>
      <c r="P456"/>
      <c r="Q456"/>
      <c r="R456"/>
      <c r="S456"/>
      <c r="T456"/>
      <c r="U456"/>
      <c r="V456"/>
      <c r="W456"/>
    </row>
    <row r="457" spans="2:23" outlineLevel="1">
      <c r="B457" s="148"/>
      <c r="C457" s="149"/>
      <c r="D457" s="150"/>
      <c r="E457" s="151"/>
      <c r="F457" s="152"/>
      <c r="G457"/>
      <c r="H457"/>
      <c r="I457"/>
      <c r="J457"/>
      <c r="K457"/>
      <c r="L457"/>
      <c r="M457"/>
      <c r="N457"/>
      <c r="O457"/>
      <c r="P457"/>
      <c r="Q457"/>
      <c r="R457"/>
      <c r="S457"/>
      <c r="T457"/>
      <c r="U457"/>
      <c r="V457"/>
      <c r="W457"/>
    </row>
    <row r="458" spans="2:23" outlineLevel="1">
      <c r="B458" s="160"/>
      <c r="C458" s="161"/>
      <c r="D458" s="150"/>
      <c r="E458" s="162"/>
      <c r="F458" s="152"/>
      <c r="G458"/>
      <c r="H458"/>
      <c r="I458"/>
      <c r="J458"/>
      <c r="K458"/>
      <c r="L458"/>
      <c r="M458"/>
      <c r="N458"/>
      <c r="O458"/>
      <c r="P458"/>
      <c r="Q458"/>
      <c r="R458"/>
      <c r="S458"/>
      <c r="T458"/>
      <c r="U458"/>
      <c r="V458"/>
      <c r="W458"/>
    </row>
    <row r="459" spans="2:23" outlineLevel="1">
      <c r="B459" s="148"/>
      <c r="C459" s="149"/>
      <c r="D459" s="150"/>
      <c r="E459" s="151"/>
      <c r="F459" s="152"/>
      <c r="G459"/>
      <c r="H459"/>
      <c r="I459"/>
      <c r="J459"/>
      <c r="K459"/>
      <c r="L459"/>
      <c r="M459"/>
      <c r="N459"/>
      <c r="O459"/>
      <c r="P459"/>
      <c r="Q459"/>
      <c r="R459"/>
      <c r="S459"/>
      <c r="T459"/>
      <c r="U459"/>
      <c r="V459"/>
      <c r="W459"/>
    </row>
    <row r="460" spans="2:23" outlineLevel="1">
      <c r="B460" s="160"/>
      <c r="C460" s="161"/>
      <c r="D460" s="150"/>
      <c r="E460" s="162"/>
      <c r="F460" s="152"/>
      <c r="G460"/>
      <c r="H460"/>
      <c r="I460"/>
      <c r="J460"/>
      <c r="K460"/>
      <c r="L460"/>
      <c r="M460"/>
      <c r="N460"/>
      <c r="O460"/>
      <c r="P460"/>
      <c r="Q460"/>
      <c r="R460"/>
      <c r="S460"/>
      <c r="T460"/>
      <c r="U460"/>
      <c r="V460"/>
      <c r="W460"/>
    </row>
    <row r="461" spans="2:23" outlineLevel="1">
      <c r="B461" s="148"/>
      <c r="C461" s="149"/>
      <c r="D461" s="150"/>
      <c r="E461" s="151"/>
      <c r="F461" s="152"/>
      <c r="G461"/>
      <c r="H461"/>
      <c r="I461"/>
      <c r="J461"/>
      <c r="K461"/>
      <c r="L461"/>
      <c r="M461"/>
      <c r="N461"/>
      <c r="O461"/>
      <c r="P461"/>
      <c r="Q461"/>
      <c r="R461"/>
      <c r="S461"/>
      <c r="T461"/>
      <c r="U461"/>
      <c r="V461"/>
      <c r="W461"/>
    </row>
    <row r="462" spans="2:23" outlineLevel="1">
      <c r="B462" s="160"/>
      <c r="C462" s="161"/>
      <c r="D462" s="150"/>
      <c r="E462" s="162"/>
      <c r="F462" s="152"/>
      <c r="G462"/>
      <c r="H462"/>
      <c r="I462"/>
      <c r="J462"/>
      <c r="K462"/>
      <c r="L462"/>
      <c r="M462"/>
      <c r="N462"/>
      <c r="O462"/>
      <c r="P462"/>
      <c r="Q462"/>
      <c r="R462"/>
      <c r="S462"/>
      <c r="T462"/>
      <c r="U462"/>
      <c r="V462"/>
      <c r="W462"/>
    </row>
    <row r="463" spans="2:23" outlineLevel="1">
      <c r="B463" s="148"/>
      <c r="C463" s="149"/>
      <c r="D463" s="150"/>
      <c r="E463" s="151"/>
      <c r="F463" s="152"/>
      <c r="G463"/>
      <c r="H463"/>
      <c r="I463"/>
      <c r="J463"/>
      <c r="K463"/>
      <c r="L463"/>
      <c r="M463"/>
      <c r="N463"/>
      <c r="O463"/>
      <c r="P463"/>
      <c r="Q463"/>
      <c r="R463"/>
      <c r="S463"/>
      <c r="T463"/>
      <c r="U463"/>
      <c r="V463"/>
      <c r="W463"/>
    </row>
    <row r="464" spans="2:23" outlineLevel="1">
      <c r="B464" s="160"/>
      <c r="C464" s="161"/>
      <c r="D464" s="150"/>
      <c r="E464" s="162"/>
      <c r="F464" s="152"/>
      <c r="G464"/>
      <c r="H464"/>
      <c r="I464"/>
      <c r="J464"/>
      <c r="K464"/>
      <c r="L464"/>
      <c r="M464"/>
      <c r="N464"/>
      <c r="O464"/>
      <c r="P464"/>
      <c r="Q464"/>
      <c r="R464"/>
      <c r="S464"/>
      <c r="T464"/>
      <c r="U464"/>
      <c r="V464"/>
      <c r="W464"/>
    </row>
    <row r="465" spans="2:23" outlineLevel="1">
      <c r="B465" s="148"/>
      <c r="C465" s="149"/>
      <c r="D465" s="150"/>
      <c r="E465" s="151"/>
      <c r="F465" s="152"/>
      <c r="G465"/>
      <c r="H465"/>
      <c r="I465"/>
      <c r="J465"/>
      <c r="K465"/>
      <c r="L465"/>
      <c r="M465"/>
      <c r="N465"/>
      <c r="O465"/>
      <c r="P465"/>
      <c r="Q465"/>
      <c r="R465"/>
      <c r="S465"/>
      <c r="T465"/>
      <c r="U465"/>
      <c r="V465"/>
      <c r="W465"/>
    </row>
    <row r="466" spans="2:23" outlineLevel="1">
      <c r="B466" s="160"/>
      <c r="C466" s="161"/>
      <c r="D466" s="150"/>
      <c r="E466" s="162"/>
      <c r="F466" s="152"/>
      <c r="G466"/>
      <c r="H466"/>
      <c r="I466"/>
      <c r="J466"/>
      <c r="K466"/>
      <c r="L466"/>
      <c r="M466"/>
      <c r="N466"/>
      <c r="O466"/>
      <c r="P466"/>
      <c r="Q466"/>
      <c r="R466"/>
      <c r="S466"/>
      <c r="T466"/>
      <c r="U466"/>
      <c r="V466"/>
      <c r="W466"/>
    </row>
    <row r="467" spans="2:23" outlineLevel="1">
      <c r="B467" s="148"/>
      <c r="C467" s="149"/>
      <c r="D467" s="150"/>
      <c r="E467" s="151"/>
      <c r="F467" s="152"/>
      <c r="G467"/>
      <c r="H467"/>
      <c r="I467"/>
      <c r="J467"/>
      <c r="K467"/>
      <c r="L467"/>
      <c r="M467"/>
      <c r="N467"/>
      <c r="O467"/>
      <c r="P467"/>
      <c r="Q467"/>
      <c r="R467"/>
      <c r="S467"/>
      <c r="T467"/>
      <c r="U467"/>
      <c r="V467"/>
      <c r="W467"/>
    </row>
    <row r="468" spans="2:23" outlineLevel="1">
      <c r="B468" s="160"/>
      <c r="C468" s="161"/>
      <c r="D468" s="150"/>
      <c r="E468" s="162"/>
      <c r="F468" s="152"/>
      <c r="G468"/>
      <c r="H468"/>
      <c r="I468"/>
      <c r="J468"/>
      <c r="K468"/>
      <c r="L468"/>
      <c r="M468"/>
      <c r="N468"/>
      <c r="O468"/>
      <c r="P468"/>
      <c r="Q468"/>
      <c r="R468"/>
      <c r="S468"/>
      <c r="T468"/>
      <c r="U468"/>
      <c r="V468"/>
      <c r="W468"/>
    </row>
    <row r="469" spans="2:23" outlineLevel="1">
      <c r="B469" s="148"/>
      <c r="C469" s="149"/>
      <c r="D469" s="150"/>
      <c r="E469" s="151"/>
      <c r="F469" s="152"/>
      <c r="G469"/>
      <c r="H469"/>
      <c r="I469"/>
      <c r="J469"/>
      <c r="K469"/>
      <c r="L469"/>
      <c r="M469"/>
      <c r="N469"/>
      <c r="O469"/>
      <c r="P469"/>
      <c r="Q469"/>
      <c r="R469"/>
      <c r="S469"/>
      <c r="T469"/>
      <c r="U469"/>
      <c r="V469"/>
      <c r="W469"/>
    </row>
    <row r="470" spans="2:23" outlineLevel="1">
      <c r="B470" s="160"/>
      <c r="C470" s="161"/>
      <c r="D470" s="150"/>
      <c r="E470" s="162"/>
      <c r="F470" s="152"/>
      <c r="G470"/>
      <c r="H470"/>
      <c r="I470"/>
      <c r="J470"/>
      <c r="K470"/>
      <c r="L470"/>
      <c r="M470"/>
      <c r="N470"/>
      <c r="O470"/>
      <c r="P470"/>
      <c r="Q470"/>
      <c r="R470"/>
      <c r="S470"/>
      <c r="T470"/>
      <c r="U470"/>
      <c r="V470"/>
      <c r="W470"/>
    </row>
    <row r="471" spans="2:23" outlineLevel="1">
      <c r="B471" s="148"/>
      <c r="C471" s="149"/>
      <c r="D471" s="150"/>
      <c r="E471" s="151"/>
      <c r="F471" s="152"/>
      <c r="G471"/>
      <c r="H471"/>
      <c r="I471"/>
      <c r="J471"/>
      <c r="K471"/>
      <c r="L471"/>
      <c r="M471"/>
      <c r="N471"/>
      <c r="O471"/>
      <c r="P471"/>
      <c r="Q471"/>
      <c r="R471"/>
      <c r="S471"/>
      <c r="T471"/>
      <c r="U471"/>
      <c r="V471"/>
      <c r="W471"/>
    </row>
    <row r="472" spans="2:23" outlineLevel="1">
      <c r="B472" s="160"/>
      <c r="C472" s="161"/>
      <c r="D472" s="150"/>
      <c r="E472" s="162"/>
      <c r="F472" s="152"/>
      <c r="G472"/>
      <c r="H472"/>
      <c r="I472"/>
      <c r="J472"/>
      <c r="K472"/>
      <c r="L472"/>
      <c r="M472"/>
      <c r="N472"/>
      <c r="O472"/>
      <c r="P472"/>
      <c r="Q472"/>
      <c r="R472"/>
      <c r="S472"/>
      <c r="T472"/>
      <c r="U472"/>
      <c r="V472"/>
      <c r="W472"/>
    </row>
    <row r="473" spans="2:23" outlineLevel="1">
      <c r="B473" s="148"/>
      <c r="C473" s="149"/>
      <c r="D473" s="150"/>
      <c r="E473" s="151"/>
      <c r="F473" s="152"/>
      <c r="G473"/>
      <c r="H473"/>
      <c r="I473"/>
      <c r="J473"/>
      <c r="K473"/>
      <c r="L473"/>
      <c r="M473"/>
      <c r="N473"/>
      <c r="O473"/>
      <c r="P473"/>
      <c r="Q473"/>
      <c r="R473"/>
      <c r="S473"/>
      <c r="T473"/>
      <c r="U473"/>
      <c r="V473"/>
      <c r="W473"/>
    </row>
    <row r="474" spans="2:23" outlineLevel="1">
      <c r="B474" s="160"/>
      <c r="C474" s="161"/>
      <c r="D474" s="150"/>
      <c r="E474" s="162"/>
      <c r="F474" s="152"/>
      <c r="G474"/>
      <c r="H474"/>
      <c r="I474"/>
      <c r="J474"/>
      <c r="K474"/>
      <c r="L474"/>
      <c r="M474"/>
      <c r="N474"/>
      <c r="O474"/>
      <c r="P474"/>
      <c r="Q474"/>
      <c r="R474"/>
      <c r="S474"/>
      <c r="T474"/>
      <c r="U474"/>
      <c r="V474"/>
      <c r="W474"/>
    </row>
    <row r="475" spans="2:23" outlineLevel="1">
      <c r="B475" s="148"/>
      <c r="C475" s="149"/>
      <c r="D475" s="150"/>
      <c r="E475" s="151"/>
      <c r="F475" s="152"/>
      <c r="G475"/>
      <c r="H475"/>
      <c r="I475"/>
      <c r="J475"/>
      <c r="K475"/>
      <c r="L475"/>
      <c r="M475"/>
      <c r="N475"/>
      <c r="O475"/>
      <c r="P475"/>
      <c r="Q475"/>
      <c r="R475"/>
      <c r="S475"/>
      <c r="T475"/>
      <c r="U475"/>
      <c r="V475"/>
      <c r="W475"/>
    </row>
    <row r="476" spans="2:23" outlineLevel="1">
      <c r="B476" s="160"/>
      <c r="C476" s="161"/>
      <c r="D476" s="150"/>
      <c r="E476" s="162"/>
      <c r="F476" s="152"/>
      <c r="G476"/>
      <c r="H476"/>
      <c r="I476"/>
      <c r="J476"/>
      <c r="K476"/>
      <c r="L476"/>
      <c r="M476"/>
      <c r="N476"/>
      <c r="O476"/>
      <c r="P476"/>
      <c r="Q476"/>
      <c r="R476"/>
      <c r="S476"/>
      <c r="T476"/>
      <c r="U476"/>
      <c r="V476"/>
      <c r="W476"/>
    </row>
    <row r="477" spans="2:23" outlineLevel="1">
      <c r="B477" s="148"/>
      <c r="C477" s="149"/>
      <c r="D477" s="150"/>
      <c r="E477" s="151"/>
      <c r="F477" s="152"/>
      <c r="G477"/>
      <c r="H477"/>
      <c r="I477"/>
      <c r="J477"/>
      <c r="K477"/>
      <c r="L477"/>
      <c r="M477"/>
      <c r="N477"/>
      <c r="O477"/>
      <c r="P477"/>
      <c r="Q477"/>
      <c r="R477"/>
      <c r="S477"/>
      <c r="T477"/>
      <c r="U477"/>
      <c r="V477"/>
      <c r="W477"/>
    </row>
    <row r="478" spans="2:23" outlineLevel="1">
      <c r="B478" s="160"/>
      <c r="C478" s="161"/>
      <c r="D478" s="150"/>
      <c r="E478" s="162"/>
      <c r="F478" s="152"/>
      <c r="G478"/>
      <c r="H478"/>
      <c r="I478"/>
      <c r="J478"/>
      <c r="K478"/>
      <c r="L478"/>
      <c r="M478"/>
      <c r="N478"/>
      <c r="O478"/>
      <c r="P478"/>
      <c r="Q478"/>
      <c r="R478"/>
      <c r="S478"/>
      <c r="T478"/>
      <c r="U478"/>
      <c r="V478"/>
      <c r="W478"/>
    </row>
    <row r="479" spans="2:23" outlineLevel="1">
      <c r="B479" s="148"/>
      <c r="C479" s="149"/>
      <c r="D479" s="150"/>
      <c r="E479" s="151"/>
      <c r="F479" s="152"/>
      <c r="G479"/>
      <c r="H479"/>
      <c r="I479"/>
      <c r="J479"/>
      <c r="K479"/>
      <c r="L479"/>
      <c r="M479"/>
      <c r="N479"/>
      <c r="O479"/>
      <c r="P479"/>
      <c r="Q479"/>
      <c r="R479"/>
      <c r="S479"/>
      <c r="T479"/>
      <c r="U479"/>
      <c r="V479"/>
      <c r="W479"/>
    </row>
    <row r="480" spans="2:23" outlineLevel="1">
      <c r="B480" s="160"/>
      <c r="C480" s="161"/>
      <c r="D480" s="150"/>
      <c r="E480" s="162"/>
      <c r="F480" s="152"/>
      <c r="G480"/>
      <c r="H480"/>
      <c r="I480"/>
      <c r="J480"/>
      <c r="K480"/>
      <c r="L480"/>
      <c r="M480"/>
      <c r="N480"/>
      <c r="O480"/>
      <c r="P480"/>
      <c r="Q480"/>
      <c r="R480"/>
      <c r="S480"/>
      <c r="T480"/>
      <c r="U480"/>
      <c r="V480"/>
      <c r="W480"/>
    </row>
    <row r="481" spans="2:23" outlineLevel="1">
      <c r="B481" s="148"/>
      <c r="C481" s="149"/>
      <c r="D481" s="150"/>
      <c r="E481" s="151"/>
      <c r="F481" s="152"/>
      <c r="G481"/>
      <c r="H481"/>
      <c r="I481"/>
      <c r="J481"/>
      <c r="K481"/>
      <c r="L481"/>
      <c r="M481"/>
      <c r="N481"/>
      <c r="O481"/>
      <c r="P481"/>
      <c r="Q481"/>
      <c r="R481"/>
      <c r="S481"/>
      <c r="T481"/>
      <c r="U481"/>
      <c r="V481"/>
      <c r="W481"/>
    </row>
    <row r="482" spans="2:23" outlineLevel="1">
      <c r="B482" s="160"/>
      <c r="C482" s="161"/>
      <c r="D482" s="150"/>
      <c r="E482" s="162"/>
      <c r="F482" s="152"/>
      <c r="G482"/>
      <c r="H482"/>
      <c r="I482"/>
      <c r="J482"/>
      <c r="K482"/>
      <c r="L482"/>
      <c r="M482"/>
      <c r="N482"/>
      <c r="O482"/>
      <c r="P482"/>
      <c r="Q482"/>
      <c r="R482"/>
      <c r="S482"/>
      <c r="T482"/>
      <c r="U482"/>
      <c r="V482"/>
      <c r="W482"/>
    </row>
    <row r="483" spans="2:23" outlineLevel="1">
      <c r="B483" s="148"/>
      <c r="C483" s="149"/>
      <c r="D483" s="150"/>
      <c r="E483" s="151"/>
      <c r="F483" s="152"/>
      <c r="G483"/>
      <c r="H483"/>
      <c r="I483"/>
      <c r="J483"/>
      <c r="K483"/>
      <c r="L483"/>
      <c r="M483"/>
      <c r="N483"/>
      <c r="O483"/>
      <c r="P483"/>
      <c r="Q483"/>
      <c r="R483"/>
      <c r="S483"/>
      <c r="T483"/>
      <c r="U483"/>
      <c r="V483"/>
      <c r="W483"/>
    </row>
    <row r="484" spans="2:23" outlineLevel="1">
      <c r="B484" s="160"/>
      <c r="C484" s="161"/>
      <c r="D484" s="150"/>
      <c r="E484" s="162"/>
      <c r="F484" s="152"/>
      <c r="G484"/>
      <c r="H484"/>
      <c r="I484"/>
      <c r="J484"/>
      <c r="K484"/>
      <c r="L484"/>
      <c r="M484"/>
      <c r="N484"/>
      <c r="O484"/>
      <c r="P484"/>
      <c r="Q484"/>
      <c r="R484"/>
      <c r="S484"/>
      <c r="T484"/>
      <c r="U484"/>
      <c r="V484"/>
      <c r="W484"/>
    </row>
    <row r="485" spans="2:23" outlineLevel="1">
      <c r="B485" s="148"/>
      <c r="C485" s="149"/>
      <c r="D485" s="150"/>
      <c r="E485" s="151"/>
      <c r="F485" s="152"/>
      <c r="G485"/>
      <c r="H485"/>
      <c r="I485"/>
      <c r="J485"/>
      <c r="K485"/>
      <c r="L485"/>
      <c r="M485"/>
      <c r="N485"/>
      <c r="O485"/>
      <c r="P485"/>
      <c r="Q485"/>
      <c r="R485"/>
      <c r="S485"/>
      <c r="T485"/>
      <c r="U485"/>
      <c r="V485"/>
      <c r="W485"/>
    </row>
    <row r="486" spans="2:23" outlineLevel="1">
      <c r="B486" s="160"/>
      <c r="C486" s="161"/>
      <c r="D486" s="150"/>
      <c r="E486" s="162"/>
      <c r="F486" s="152"/>
      <c r="G486"/>
      <c r="H486"/>
      <c r="I486"/>
      <c r="J486"/>
      <c r="K486"/>
      <c r="L486"/>
      <c r="M486"/>
      <c r="N486"/>
      <c r="O486"/>
      <c r="P486"/>
      <c r="Q486"/>
      <c r="R486"/>
      <c r="S486"/>
      <c r="T486"/>
      <c r="U486"/>
      <c r="V486"/>
      <c r="W486"/>
    </row>
    <row r="487" spans="2:23" outlineLevel="1">
      <c r="B487" s="148"/>
      <c r="C487" s="149"/>
      <c r="D487" s="150"/>
      <c r="E487" s="151"/>
      <c r="F487" s="152"/>
      <c r="G487"/>
      <c r="H487"/>
      <c r="I487"/>
      <c r="J487"/>
      <c r="K487"/>
      <c r="L487"/>
      <c r="M487"/>
      <c r="N487"/>
      <c r="O487"/>
      <c r="P487"/>
      <c r="Q487"/>
      <c r="R487"/>
      <c r="S487"/>
      <c r="T487"/>
      <c r="U487"/>
      <c r="V487"/>
      <c r="W487"/>
    </row>
    <row r="488" spans="2:23" outlineLevel="1">
      <c r="B488" s="160"/>
      <c r="C488" s="161"/>
      <c r="D488" s="150"/>
      <c r="E488" s="162"/>
      <c r="F488" s="152"/>
      <c r="G488"/>
      <c r="H488"/>
      <c r="I488"/>
      <c r="J488"/>
      <c r="K488"/>
      <c r="L488"/>
      <c r="M488"/>
      <c r="N488"/>
      <c r="O488"/>
      <c r="P488"/>
      <c r="Q488"/>
      <c r="R488"/>
      <c r="S488"/>
      <c r="T488"/>
      <c r="U488"/>
      <c r="V488"/>
      <c r="W488"/>
    </row>
    <row r="489" spans="2:23" outlineLevel="1">
      <c r="B489" s="148"/>
      <c r="C489" s="149"/>
      <c r="D489" s="150"/>
      <c r="E489" s="151"/>
      <c r="F489" s="152"/>
      <c r="G489"/>
      <c r="H489"/>
      <c r="I489"/>
      <c r="J489"/>
      <c r="K489"/>
      <c r="L489"/>
      <c r="M489"/>
      <c r="N489"/>
      <c r="O489"/>
      <c r="P489"/>
      <c r="Q489"/>
      <c r="R489"/>
      <c r="S489"/>
      <c r="T489"/>
      <c r="U489"/>
      <c r="V489"/>
      <c r="W489"/>
    </row>
    <row r="490" spans="2:23" outlineLevel="1">
      <c r="B490" s="160"/>
      <c r="C490" s="161"/>
      <c r="D490" s="150"/>
      <c r="E490" s="162"/>
      <c r="F490" s="152"/>
      <c r="G490"/>
      <c r="H490"/>
      <c r="I490"/>
      <c r="J490"/>
      <c r="K490"/>
      <c r="L490"/>
      <c r="M490"/>
      <c r="N490"/>
      <c r="O490"/>
      <c r="P490"/>
      <c r="Q490"/>
      <c r="R490"/>
      <c r="S490"/>
      <c r="T490"/>
      <c r="U490"/>
      <c r="V490"/>
      <c r="W490"/>
    </row>
    <row r="491" spans="2:23" outlineLevel="1">
      <c r="B491" s="148"/>
      <c r="C491" s="149"/>
      <c r="D491" s="150"/>
      <c r="E491" s="151"/>
      <c r="F491" s="152"/>
      <c r="G491"/>
      <c r="H491"/>
      <c r="I491"/>
      <c r="J491"/>
      <c r="K491"/>
      <c r="L491"/>
      <c r="M491"/>
      <c r="N491"/>
      <c r="O491"/>
      <c r="P491"/>
      <c r="Q491"/>
      <c r="R491"/>
      <c r="S491"/>
      <c r="T491"/>
      <c r="U491"/>
      <c r="V491"/>
      <c r="W491"/>
    </row>
    <row r="492" spans="2:23" outlineLevel="1">
      <c r="B492" s="160"/>
      <c r="C492" s="161"/>
      <c r="D492" s="150"/>
      <c r="E492" s="162"/>
      <c r="F492" s="152"/>
      <c r="G492"/>
      <c r="H492"/>
      <c r="I492"/>
      <c r="J492"/>
      <c r="K492"/>
      <c r="L492"/>
      <c r="M492"/>
      <c r="N492"/>
      <c r="O492"/>
      <c r="P492"/>
      <c r="Q492"/>
      <c r="R492"/>
      <c r="S492"/>
      <c r="T492"/>
      <c r="U492"/>
      <c r="V492"/>
      <c r="W492"/>
    </row>
    <row r="493" spans="2:23" outlineLevel="1">
      <c r="B493" s="148"/>
      <c r="C493" s="149"/>
      <c r="D493" s="150"/>
      <c r="E493" s="151"/>
      <c r="F493" s="152"/>
      <c r="G493"/>
      <c r="H493"/>
      <c r="I493"/>
      <c r="J493"/>
      <c r="K493"/>
      <c r="L493"/>
      <c r="M493"/>
      <c r="N493"/>
      <c r="O493"/>
      <c r="P493"/>
      <c r="Q493"/>
      <c r="R493"/>
      <c r="S493"/>
      <c r="T493"/>
      <c r="U493"/>
      <c r="V493"/>
      <c r="W493"/>
    </row>
    <row r="494" spans="2:23" outlineLevel="1">
      <c r="B494" s="160"/>
      <c r="C494" s="161"/>
      <c r="D494" s="150"/>
      <c r="E494" s="162"/>
      <c r="F494" s="152"/>
      <c r="G494"/>
      <c r="H494"/>
      <c r="I494"/>
      <c r="J494"/>
      <c r="K494"/>
      <c r="L494"/>
      <c r="M494"/>
      <c r="N494"/>
      <c r="O494"/>
      <c r="P494"/>
      <c r="Q494"/>
      <c r="R494"/>
      <c r="S494"/>
      <c r="T494"/>
      <c r="U494"/>
      <c r="V494"/>
      <c r="W494"/>
    </row>
    <row r="495" spans="2:23" outlineLevel="1">
      <c r="B495" s="148"/>
      <c r="C495" s="149"/>
      <c r="D495" s="150"/>
      <c r="E495" s="151"/>
      <c r="F495" s="152"/>
      <c r="G495"/>
      <c r="H495"/>
      <c r="I495"/>
      <c r="J495"/>
      <c r="K495"/>
      <c r="L495"/>
      <c r="M495"/>
      <c r="N495"/>
      <c r="O495"/>
      <c r="P495"/>
      <c r="Q495"/>
      <c r="R495"/>
      <c r="S495"/>
      <c r="T495"/>
      <c r="U495"/>
      <c r="V495"/>
      <c r="W495"/>
    </row>
    <row r="496" spans="2:23" outlineLevel="1">
      <c r="B496" s="160"/>
      <c r="C496" s="161"/>
      <c r="D496" s="150"/>
      <c r="E496" s="162"/>
      <c r="F496" s="152"/>
      <c r="G496"/>
      <c r="H496"/>
      <c r="I496"/>
      <c r="J496"/>
      <c r="K496"/>
      <c r="L496"/>
      <c r="M496"/>
      <c r="N496"/>
      <c r="O496"/>
      <c r="P496"/>
      <c r="Q496"/>
      <c r="R496"/>
      <c r="S496"/>
      <c r="T496"/>
      <c r="U496"/>
      <c r="V496"/>
      <c r="W496"/>
    </row>
    <row r="497" spans="2:23" outlineLevel="1">
      <c r="B497" s="148"/>
      <c r="C497" s="149"/>
      <c r="D497" s="150"/>
      <c r="E497" s="151"/>
      <c r="F497" s="152"/>
      <c r="G497"/>
      <c r="H497"/>
      <c r="I497"/>
      <c r="J497"/>
      <c r="K497"/>
      <c r="L497"/>
      <c r="M497"/>
      <c r="N497"/>
      <c r="O497"/>
      <c r="P497"/>
      <c r="Q497"/>
      <c r="R497"/>
      <c r="S497"/>
      <c r="T497"/>
      <c r="U497"/>
      <c r="V497"/>
      <c r="W497"/>
    </row>
    <row r="498" spans="2:23" outlineLevel="1">
      <c r="B498" s="160"/>
      <c r="C498" s="161"/>
      <c r="D498" s="150"/>
      <c r="E498" s="162"/>
      <c r="F498" s="152"/>
      <c r="G498"/>
      <c r="H498"/>
      <c r="I498"/>
      <c r="J498"/>
      <c r="K498"/>
      <c r="L498"/>
      <c r="M498"/>
      <c r="N498"/>
      <c r="O498"/>
      <c r="P498"/>
      <c r="Q498"/>
      <c r="R498"/>
      <c r="S498"/>
      <c r="T498"/>
      <c r="U498"/>
      <c r="V498"/>
      <c r="W498"/>
    </row>
    <row r="499" spans="2:23" outlineLevel="1">
      <c r="B499" s="148"/>
      <c r="C499" s="149"/>
      <c r="D499" s="150"/>
      <c r="E499" s="151"/>
      <c r="F499" s="152"/>
      <c r="G499"/>
      <c r="H499"/>
      <c r="I499"/>
      <c r="J499"/>
      <c r="K499"/>
      <c r="L499"/>
      <c r="M499"/>
      <c r="N499"/>
      <c r="O499"/>
      <c r="P499"/>
      <c r="Q499"/>
      <c r="R499"/>
      <c r="S499"/>
      <c r="T499"/>
      <c r="U499"/>
      <c r="V499"/>
      <c r="W499"/>
    </row>
    <row r="500" spans="2:23" outlineLevel="1">
      <c r="B500" s="160"/>
      <c r="C500" s="161"/>
      <c r="D500" s="150"/>
      <c r="E500" s="162"/>
      <c r="F500" s="152"/>
      <c r="G500"/>
      <c r="H500"/>
      <c r="I500"/>
      <c r="J500"/>
      <c r="K500"/>
      <c r="L500"/>
      <c r="M500"/>
      <c r="N500"/>
      <c r="O500"/>
      <c r="P500"/>
      <c r="Q500"/>
      <c r="R500"/>
      <c r="S500"/>
      <c r="T500"/>
      <c r="U500"/>
      <c r="V500"/>
      <c r="W500"/>
    </row>
    <row r="501" spans="2:23" outlineLevel="1">
      <c r="B501" s="148"/>
      <c r="C501" s="149"/>
      <c r="D501" s="150"/>
      <c r="E501" s="151"/>
      <c r="F501" s="152"/>
      <c r="G501"/>
      <c r="H501"/>
      <c r="I501"/>
      <c r="J501"/>
      <c r="K501"/>
      <c r="L501"/>
      <c r="M501"/>
      <c r="N501"/>
      <c r="O501"/>
      <c r="P501"/>
      <c r="Q501"/>
      <c r="R501"/>
      <c r="S501"/>
      <c r="T501"/>
      <c r="U501"/>
      <c r="V501"/>
      <c r="W501"/>
    </row>
    <row r="502" spans="2:23" outlineLevel="1">
      <c r="B502" s="160"/>
      <c r="C502" s="161"/>
      <c r="D502" s="150"/>
      <c r="E502" s="162"/>
      <c r="F502" s="152"/>
      <c r="G502"/>
      <c r="H502"/>
      <c r="I502"/>
      <c r="J502"/>
      <c r="K502"/>
      <c r="L502"/>
      <c r="M502"/>
      <c r="N502"/>
      <c r="O502"/>
      <c r="P502"/>
      <c r="Q502"/>
      <c r="R502"/>
      <c r="S502"/>
      <c r="T502"/>
      <c r="U502"/>
      <c r="V502"/>
      <c r="W502"/>
    </row>
    <row r="503" spans="2:23" outlineLevel="1">
      <c r="B503" s="148"/>
      <c r="C503" s="149"/>
      <c r="D503" s="150"/>
      <c r="E503" s="151"/>
      <c r="F503" s="152"/>
      <c r="G503"/>
      <c r="H503"/>
      <c r="I503"/>
      <c r="J503"/>
      <c r="K503"/>
      <c r="L503"/>
      <c r="M503"/>
      <c r="N503"/>
      <c r="O503"/>
      <c r="P503"/>
      <c r="Q503"/>
      <c r="R503"/>
      <c r="S503"/>
      <c r="T503"/>
      <c r="U503"/>
      <c r="V503"/>
      <c r="W503"/>
    </row>
    <row r="504" spans="2:23" outlineLevel="1">
      <c r="B504" s="160"/>
      <c r="C504" s="161"/>
      <c r="D504" s="150"/>
      <c r="E504" s="162"/>
      <c r="F504" s="152"/>
      <c r="G504"/>
      <c r="H504"/>
      <c r="I504"/>
      <c r="J504"/>
      <c r="K504"/>
      <c r="L504"/>
      <c r="M504"/>
      <c r="N504"/>
      <c r="O504"/>
      <c r="P504"/>
      <c r="Q504"/>
      <c r="R504"/>
      <c r="S504"/>
      <c r="T504"/>
      <c r="U504"/>
      <c r="V504"/>
      <c r="W504"/>
    </row>
    <row r="505" spans="2:23" outlineLevel="1">
      <c r="B505" s="148"/>
      <c r="C505" s="149"/>
      <c r="D505" s="150"/>
      <c r="E505" s="151"/>
      <c r="F505" s="152"/>
      <c r="G505"/>
      <c r="H505"/>
      <c r="I505"/>
      <c r="J505"/>
      <c r="K505"/>
      <c r="L505"/>
      <c r="M505"/>
      <c r="N505"/>
      <c r="O505"/>
      <c r="P505"/>
      <c r="Q505"/>
      <c r="R505"/>
      <c r="S505"/>
      <c r="T505"/>
      <c r="U505"/>
      <c r="V505"/>
      <c r="W505"/>
    </row>
    <row r="506" spans="2:23" outlineLevel="1">
      <c r="B506" s="160"/>
      <c r="C506" s="161"/>
      <c r="D506" s="150"/>
      <c r="E506" s="162"/>
      <c r="F506" s="152"/>
      <c r="G506"/>
      <c r="H506"/>
      <c r="I506"/>
      <c r="J506"/>
      <c r="K506"/>
      <c r="L506"/>
      <c r="M506"/>
      <c r="N506"/>
      <c r="O506"/>
      <c r="P506"/>
      <c r="Q506"/>
      <c r="R506"/>
      <c r="S506"/>
      <c r="T506"/>
      <c r="U506"/>
      <c r="V506"/>
      <c r="W506"/>
    </row>
    <row r="507" spans="2:23" outlineLevel="1">
      <c r="B507" s="148"/>
      <c r="C507" s="149"/>
      <c r="D507" s="150"/>
      <c r="E507" s="151"/>
      <c r="F507" s="152"/>
      <c r="G507"/>
      <c r="H507"/>
      <c r="I507"/>
      <c r="J507"/>
      <c r="K507"/>
      <c r="L507"/>
      <c r="M507"/>
      <c r="N507"/>
      <c r="O507"/>
      <c r="P507"/>
      <c r="Q507"/>
      <c r="R507"/>
      <c r="S507"/>
      <c r="T507"/>
      <c r="U507"/>
      <c r="V507"/>
      <c r="W507"/>
    </row>
    <row r="508" spans="2:23" outlineLevel="1">
      <c r="B508" s="160"/>
      <c r="C508" s="161"/>
      <c r="D508" s="150"/>
      <c r="E508" s="162"/>
      <c r="F508" s="152"/>
      <c r="G508"/>
      <c r="H508"/>
      <c r="I508"/>
      <c r="J508"/>
      <c r="K508"/>
      <c r="L508"/>
      <c r="M508"/>
      <c r="N508"/>
      <c r="O508"/>
      <c r="P508"/>
      <c r="Q508"/>
      <c r="R508"/>
      <c r="S508"/>
      <c r="T508"/>
      <c r="U508"/>
      <c r="V508"/>
      <c r="W508"/>
    </row>
    <row r="509" spans="2:23" outlineLevel="1">
      <c r="B509" s="148"/>
      <c r="C509" s="149"/>
      <c r="D509" s="150"/>
      <c r="E509" s="151"/>
      <c r="F509" s="152"/>
      <c r="G509"/>
      <c r="H509"/>
      <c r="I509"/>
      <c r="J509"/>
      <c r="K509"/>
      <c r="L509"/>
      <c r="M509"/>
      <c r="N509"/>
      <c r="O509"/>
      <c r="P509"/>
      <c r="Q509"/>
      <c r="R509"/>
      <c r="S509"/>
      <c r="T509"/>
      <c r="U509"/>
      <c r="V509"/>
      <c r="W509"/>
    </row>
    <row r="510" spans="2:23" outlineLevel="1">
      <c r="B510" s="160"/>
      <c r="C510" s="161"/>
      <c r="D510" s="150"/>
      <c r="E510" s="162"/>
      <c r="F510" s="152"/>
      <c r="G510"/>
      <c r="H510"/>
      <c r="I510"/>
      <c r="J510"/>
      <c r="K510"/>
      <c r="L510"/>
      <c r="M510"/>
      <c r="N510"/>
      <c r="O510"/>
      <c r="P510"/>
      <c r="Q510"/>
      <c r="R510"/>
      <c r="S510"/>
      <c r="T510"/>
      <c r="U510"/>
      <c r="V510"/>
      <c r="W510"/>
    </row>
    <row r="511" spans="2:23" outlineLevel="1">
      <c r="B511" s="148"/>
      <c r="C511" s="149"/>
      <c r="D511" s="150"/>
      <c r="E511" s="151"/>
      <c r="F511" s="152"/>
      <c r="G511"/>
      <c r="H511"/>
      <c r="I511"/>
      <c r="J511"/>
      <c r="K511"/>
      <c r="L511"/>
      <c r="M511"/>
      <c r="N511"/>
      <c r="O511"/>
      <c r="P511"/>
      <c r="Q511"/>
      <c r="R511"/>
      <c r="S511"/>
      <c r="T511"/>
      <c r="U511"/>
      <c r="V511"/>
      <c r="W511"/>
    </row>
    <row r="512" spans="2:23" outlineLevel="1">
      <c r="B512" s="160"/>
      <c r="C512" s="161"/>
      <c r="D512" s="150"/>
      <c r="E512" s="162"/>
      <c r="F512" s="152"/>
      <c r="G512"/>
      <c r="H512"/>
      <c r="I512"/>
      <c r="J512"/>
      <c r="K512"/>
      <c r="L512"/>
      <c r="M512"/>
      <c r="N512"/>
      <c r="O512"/>
      <c r="P512"/>
      <c r="Q512"/>
      <c r="R512"/>
      <c r="S512"/>
      <c r="T512"/>
      <c r="U512"/>
      <c r="V512"/>
      <c r="W512"/>
    </row>
    <row r="513" spans="2:23" outlineLevel="1">
      <c r="B513" s="148"/>
      <c r="C513" s="149"/>
      <c r="D513" s="150"/>
      <c r="E513" s="151"/>
      <c r="F513" s="152"/>
      <c r="G513"/>
      <c r="H513"/>
      <c r="I513"/>
      <c r="J513"/>
      <c r="K513"/>
      <c r="L513"/>
      <c r="M513"/>
      <c r="N513"/>
      <c r="O513"/>
      <c r="P513"/>
      <c r="Q513"/>
      <c r="R513"/>
      <c r="S513"/>
      <c r="T513"/>
      <c r="U513"/>
      <c r="V513"/>
      <c r="W513"/>
    </row>
    <row r="514" spans="2:23" outlineLevel="1">
      <c r="B514" s="160"/>
      <c r="C514" s="161"/>
      <c r="D514" s="150"/>
      <c r="E514" s="162"/>
      <c r="F514" s="152"/>
      <c r="G514"/>
      <c r="H514"/>
      <c r="I514"/>
      <c r="J514"/>
      <c r="K514"/>
      <c r="L514"/>
      <c r="M514"/>
      <c r="N514"/>
      <c r="O514"/>
      <c r="P514"/>
      <c r="Q514"/>
      <c r="R514"/>
      <c r="S514"/>
      <c r="T514"/>
      <c r="U514"/>
      <c r="V514"/>
      <c r="W514"/>
    </row>
    <row r="515" spans="2:23" outlineLevel="1">
      <c r="B515" s="148"/>
      <c r="C515" s="149"/>
      <c r="D515" s="150"/>
      <c r="E515" s="151"/>
      <c r="F515" s="152"/>
      <c r="G515"/>
      <c r="H515"/>
      <c r="I515"/>
      <c r="J515"/>
      <c r="K515"/>
      <c r="L515"/>
      <c r="M515"/>
      <c r="N515"/>
      <c r="O515"/>
      <c r="P515"/>
      <c r="Q515"/>
      <c r="R515"/>
      <c r="S515"/>
      <c r="T515"/>
      <c r="U515"/>
      <c r="V515"/>
      <c r="W515"/>
    </row>
    <row r="516" spans="2:23" outlineLevel="1">
      <c r="B516" s="160"/>
      <c r="C516" s="161"/>
      <c r="D516" s="150"/>
      <c r="E516" s="162"/>
      <c r="F516" s="152"/>
      <c r="G516"/>
      <c r="H516"/>
      <c r="I516"/>
      <c r="J516"/>
      <c r="K516"/>
      <c r="L516"/>
      <c r="M516"/>
      <c r="N516"/>
      <c r="O516"/>
      <c r="P516"/>
      <c r="Q516"/>
      <c r="R516"/>
      <c r="S516"/>
      <c r="T516"/>
      <c r="U516"/>
      <c r="V516"/>
      <c r="W516"/>
    </row>
    <row r="517" spans="2:23" outlineLevel="1">
      <c r="B517" s="148"/>
      <c r="C517" s="149"/>
      <c r="D517" s="150"/>
      <c r="E517" s="151"/>
      <c r="F517" s="152"/>
      <c r="G517"/>
      <c r="H517"/>
      <c r="I517"/>
      <c r="J517"/>
      <c r="K517"/>
      <c r="L517"/>
      <c r="M517"/>
      <c r="N517"/>
      <c r="O517"/>
      <c r="P517"/>
      <c r="Q517"/>
      <c r="R517"/>
      <c r="S517"/>
      <c r="T517"/>
      <c r="U517"/>
      <c r="V517"/>
      <c r="W517"/>
    </row>
    <row r="518" spans="2:23" outlineLevel="1">
      <c r="B518" s="160"/>
      <c r="C518" s="161"/>
      <c r="D518" s="150"/>
      <c r="E518" s="162"/>
      <c r="F518" s="152"/>
      <c r="G518"/>
      <c r="H518"/>
      <c r="I518"/>
      <c r="J518"/>
      <c r="K518"/>
      <c r="L518"/>
      <c r="M518"/>
      <c r="N518"/>
      <c r="O518"/>
      <c r="P518"/>
      <c r="Q518"/>
      <c r="R518"/>
      <c r="S518"/>
      <c r="T518"/>
      <c r="U518"/>
      <c r="V518"/>
      <c r="W518"/>
    </row>
    <row r="519" spans="2:23" outlineLevel="1">
      <c r="B519" s="148"/>
      <c r="C519" s="149"/>
      <c r="D519" s="150"/>
      <c r="E519" s="151"/>
      <c r="F519" s="152"/>
      <c r="G519"/>
      <c r="H519"/>
      <c r="I519"/>
      <c r="J519"/>
      <c r="K519"/>
      <c r="L519"/>
      <c r="M519"/>
      <c r="N519"/>
      <c r="O519"/>
      <c r="P519"/>
      <c r="Q519"/>
      <c r="R519"/>
      <c r="S519"/>
      <c r="T519"/>
      <c r="U519"/>
      <c r="V519"/>
      <c r="W519"/>
    </row>
    <row r="520" spans="2:23" outlineLevel="1">
      <c r="B520" s="160"/>
      <c r="C520" s="161"/>
      <c r="D520" s="150"/>
      <c r="E520" s="162"/>
      <c r="F520" s="152"/>
      <c r="G520"/>
      <c r="H520"/>
      <c r="I520"/>
      <c r="J520"/>
      <c r="K520"/>
      <c r="L520"/>
      <c r="M520"/>
      <c r="N520"/>
      <c r="O520"/>
      <c r="P520"/>
      <c r="Q520"/>
      <c r="R520"/>
      <c r="S520"/>
      <c r="T520"/>
      <c r="U520"/>
      <c r="V520"/>
      <c r="W520"/>
    </row>
    <row r="521" spans="2:23" outlineLevel="1">
      <c r="B521" s="148"/>
      <c r="C521" s="149"/>
      <c r="D521" s="150"/>
      <c r="E521" s="151"/>
      <c r="F521" s="152"/>
      <c r="G521"/>
      <c r="H521"/>
      <c r="I521"/>
      <c r="J521"/>
      <c r="K521"/>
      <c r="L521"/>
      <c r="M521"/>
      <c r="N521"/>
      <c r="O521"/>
      <c r="P521"/>
      <c r="Q521"/>
      <c r="R521"/>
      <c r="S521"/>
      <c r="T521"/>
      <c r="U521"/>
      <c r="V521"/>
      <c r="W521"/>
    </row>
    <row r="522" spans="2:23" outlineLevel="1">
      <c r="B522" s="160"/>
      <c r="C522" s="161"/>
      <c r="D522" s="150"/>
      <c r="E522" s="162"/>
      <c r="F522" s="152"/>
      <c r="G522"/>
      <c r="H522"/>
      <c r="I522"/>
      <c r="J522"/>
      <c r="K522"/>
      <c r="L522"/>
      <c r="M522"/>
      <c r="N522"/>
      <c r="O522"/>
      <c r="P522"/>
      <c r="Q522"/>
      <c r="R522"/>
      <c r="S522"/>
      <c r="T522"/>
      <c r="U522"/>
      <c r="V522"/>
      <c r="W522"/>
    </row>
    <row r="523" spans="2:23" outlineLevel="1">
      <c r="B523" s="148"/>
      <c r="C523" s="149"/>
      <c r="D523" s="150"/>
      <c r="E523" s="151"/>
      <c r="F523" s="152"/>
      <c r="G523"/>
      <c r="H523"/>
      <c r="I523"/>
      <c r="J523"/>
      <c r="K523"/>
      <c r="L523"/>
      <c r="M523"/>
      <c r="N523"/>
      <c r="O523"/>
      <c r="P523"/>
      <c r="Q523"/>
      <c r="R523"/>
      <c r="S523"/>
      <c r="T523"/>
      <c r="U523"/>
      <c r="V523"/>
      <c r="W523"/>
    </row>
    <row r="524" spans="2:23" outlineLevel="1">
      <c r="B524" s="160"/>
      <c r="C524" s="161"/>
      <c r="D524" s="150"/>
      <c r="E524" s="162"/>
      <c r="F524" s="152"/>
      <c r="G524"/>
      <c r="H524"/>
      <c r="I524"/>
      <c r="J524"/>
      <c r="K524"/>
      <c r="L524"/>
      <c r="M524"/>
      <c r="N524"/>
      <c r="O524"/>
      <c r="P524"/>
      <c r="Q524"/>
      <c r="R524"/>
      <c r="S524"/>
      <c r="T524"/>
      <c r="U524"/>
      <c r="V524"/>
      <c r="W524"/>
    </row>
    <row r="525" spans="2:23" outlineLevel="1">
      <c r="B525" s="148"/>
      <c r="C525" s="149"/>
      <c r="D525" s="150"/>
      <c r="E525" s="151"/>
      <c r="F525" s="152"/>
      <c r="G525"/>
      <c r="H525"/>
      <c r="I525"/>
      <c r="J525"/>
      <c r="K525"/>
      <c r="L525"/>
      <c r="M525"/>
      <c r="N525"/>
      <c r="O525"/>
      <c r="P525"/>
      <c r="Q525"/>
      <c r="R525"/>
      <c r="S525"/>
      <c r="T525"/>
      <c r="U525"/>
      <c r="V525"/>
      <c r="W525"/>
    </row>
    <row r="526" spans="2:23" outlineLevel="1">
      <c r="B526" s="160"/>
      <c r="C526" s="161"/>
      <c r="D526" s="150"/>
      <c r="E526" s="162"/>
      <c r="F526" s="152"/>
      <c r="G526"/>
      <c r="H526"/>
      <c r="I526"/>
      <c r="J526"/>
      <c r="K526"/>
      <c r="L526"/>
      <c r="M526"/>
      <c r="N526"/>
      <c r="O526"/>
      <c r="P526"/>
      <c r="Q526"/>
      <c r="R526"/>
      <c r="S526"/>
      <c r="T526"/>
      <c r="U526"/>
      <c r="V526"/>
      <c r="W526"/>
    </row>
    <row r="527" spans="2:23" outlineLevel="1">
      <c r="B527" s="148"/>
      <c r="C527" s="149"/>
      <c r="D527" s="150"/>
      <c r="E527" s="151"/>
      <c r="F527" s="152"/>
      <c r="G527"/>
      <c r="H527"/>
      <c r="I527"/>
      <c r="J527"/>
      <c r="K527"/>
      <c r="L527"/>
      <c r="M527"/>
      <c r="N527"/>
      <c r="O527"/>
      <c r="P527"/>
      <c r="Q527"/>
      <c r="R527"/>
      <c r="S527"/>
      <c r="T527"/>
      <c r="U527"/>
      <c r="V527"/>
      <c r="W527"/>
    </row>
    <row r="528" spans="2:23" outlineLevel="1">
      <c r="B528" s="160"/>
      <c r="C528" s="161"/>
      <c r="D528" s="150"/>
      <c r="E528" s="162"/>
      <c r="F528" s="152"/>
      <c r="G528"/>
      <c r="H528"/>
      <c r="I528"/>
      <c r="J528"/>
      <c r="K528"/>
      <c r="L528"/>
      <c r="M528"/>
      <c r="N528"/>
      <c r="O528"/>
      <c r="P528"/>
      <c r="Q528"/>
      <c r="R528"/>
      <c r="S528"/>
      <c r="T528"/>
      <c r="U528"/>
      <c r="V528"/>
      <c r="W528"/>
    </row>
    <row r="529" spans="2:23" outlineLevel="1">
      <c r="B529" s="148"/>
      <c r="C529" s="149"/>
      <c r="D529" s="150"/>
      <c r="E529" s="151"/>
      <c r="F529" s="152"/>
      <c r="G529"/>
      <c r="H529"/>
      <c r="I529"/>
      <c r="J529"/>
      <c r="K529"/>
      <c r="L529"/>
      <c r="M529"/>
      <c r="N529"/>
      <c r="O529"/>
      <c r="P529"/>
      <c r="Q529"/>
      <c r="R529"/>
      <c r="S529"/>
      <c r="T529"/>
      <c r="U529"/>
      <c r="V529"/>
      <c r="W529"/>
    </row>
    <row r="530" spans="2:23" outlineLevel="1">
      <c r="B530" s="160"/>
      <c r="C530" s="161"/>
      <c r="D530" s="150"/>
      <c r="E530" s="162"/>
      <c r="F530" s="152"/>
      <c r="G530"/>
      <c r="H530"/>
      <c r="I530"/>
      <c r="J530"/>
      <c r="K530"/>
      <c r="L530"/>
      <c r="M530"/>
      <c r="N530"/>
      <c r="O530"/>
      <c r="P530"/>
      <c r="Q530"/>
      <c r="R530"/>
      <c r="S530"/>
      <c r="T530"/>
      <c r="U530"/>
      <c r="V530"/>
      <c r="W530"/>
    </row>
    <row r="531" spans="2:23" outlineLevel="1">
      <c r="B531" s="148"/>
      <c r="C531" s="149"/>
      <c r="D531" s="150"/>
      <c r="E531" s="151"/>
      <c r="F531" s="152"/>
      <c r="G531"/>
      <c r="H531"/>
      <c r="I531"/>
      <c r="J531"/>
      <c r="K531"/>
      <c r="L531"/>
      <c r="M531"/>
      <c r="N531"/>
      <c r="O531"/>
      <c r="P531"/>
      <c r="Q531"/>
      <c r="R531"/>
      <c r="S531"/>
      <c r="T531"/>
      <c r="U531"/>
      <c r="V531"/>
      <c r="W531"/>
    </row>
    <row r="532" spans="2:23" outlineLevel="1">
      <c r="B532" s="160"/>
      <c r="C532" s="161"/>
      <c r="D532" s="150"/>
      <c r="E532" s="162"/>
      <c r="F532" s="152"/>
      <c r="G532"/>
      <c r="H532"/>
      <c r="I532"/>
      <c r="J532"/>
      <c r="K532"/>
      <c r="L532"/>
      <c r="M532"/>
      <c r="N532"/>
      <c r="O532"/>
      <c r="P532"/>
      <c r="Q532"/>
      <c r="R532"/>
      <c r="S532"/>
      <c r="T532"/>
      <c r="U532"/>
      <c r="V532"/>
      <c r="W532"/>
    </row>
    <row r="533" spans="2:23" outlineLevel="1">
      <c r="B533" s="148"/>
      <c r="C533" s="149"/>
      <c r="D533" s="150"/>
      <c r="E533" s="151"/>
      <c r="F533" s="152"/>
      <c r="G533"/>
      <c r="H533"/>
      <c r="I533"/>
      <c r="J533"/>
      <c r="K533"/>
      <c r="L533"/>
      <c r="M533"/>
      <c r="N533"/>
      <c r="O533"/>
      <c r="P533"/>
      <c r="Q533"/>
      <c r="R533"/>
      <c r="S533"/>
      <c r="T533"/>
      <c r="U533"/>
      <c r="V533"/>
      <c r="W533"/>
    </row>
    <row r="534" spans="2:23" outlineLevel="1">
      <c r="B534" s="160"/>
      <c r="C534" s="161"/>
      <c r="D534" s="150"/>
      <c r="E534" s="162"/>
      <c r="F534" s="152"/>
      <c r="G534"/>
      <c r="H534"/>
      <c r="I534"/>
      <c r="J534"/>
      <c r="K534"/>
      <c r="L534"/>
      <c r="M534"/>
      <c r="N534"/>
      <c r="O534"/>
      <c r="P534"/>
      <c r="Q534"/>
      <c r="R534"/>
      <c r="S534"/>
      <c r="T534"/>
      <c r="U534"/>
      <c r="V534"/>
      <c r="W534"/>
    </row>
    <row r="535" spans="2:23" outlineLevel="1">
      <c r="B535" s="148"/>
      <c r="C535" s="149"/>
      <c r="D535" s="150"/>
      <c r="E535" s="151"/>
      <c r="F535" s="152"/>
      <c r="G535"/>
      <c r="H535"/>
      <c r="I535"/>
      <c r="J535"/>
      <c r="K535"/>
      <c r="L535"/>
      <c r="M535"/>
      <c r="N535"/>
      <c r="O535"/>
      <c r="P535"/>
      <c r="Q535"/>
      <c r="R535"/>
      <c r="S535"/>
      <c r="T535"/>
      <c r="U535"/>
      <c r="V535"/>
      <c r="W535"/>
    </row>
    <row r="536" spans="2:23" outlineLevel="1">
      <c r="B536" s="160"/>
      <c r="C536" s="161"/>
      <c r="D536" s="150"/>
      <c r="E536" s="162"/>
      <c r="F536" s="152"/>
      <c r="G536"/>
      <c r="H536"/>
      <c r="I536"/>
      <c r="J536"/>
      <c r="K536"/>
      <c r="L536"/>
      <c r="M536"/>
      <c r="N536"/>
      <c r="O536"/>
      <c r="P536"/>
      <c r="Q536"/>
      <c r="R536"/>
      <c r="S536"/>
      <c r="T536"/>
      <c r="U536"/>
      <c r="V536"/>
      <c r="W536"/>
    </row>
    <row r="537" spans="2:23" outlineLevel="1">
      <c r="B537" s="148"/>
      <c r="C537" s="149"/>
      <c r="D537" s="150"/>
      <c r="E537" s="151"/>
      <c r="F537" s="152"/>
      <c r="G537"/>
      <c r="H537"/>
      <c r="I537"/>
      <c r="J537"/>
      <c r="K537"/>
      <c r="L537"/>
      <c r="M537"/>
      <c r="N537"/>
      <c r="O537"/>
      <c r="P537"/>
      <c r="Q537"/>
      <c r="R537"/>
      <c r="S537"/>
      <c r="T537"/>
      <c r="U537"/>
      <c r="V537"/>
      <c r="W537"/>
    </row>
    <row r="538" spans="2:23" outlineLevel="1">
      <c r="B538" s="160"/>
      <c r="C538" s="161"/>
      <c r="D538" s="150"/>
      <c r="E538" s="162"/>
      <c r="F538" s="152"/>
      <c r="G538"/>
      <c r="H538"/>
      <c r="I538"/>
      <c r="J538"/>
      <c r="K538"/>
      <c r="L538"/>
      <c r="M538"/>
      <c r="N538"/>
      <c r="O538"/>
      <c r="P538"/>
      <c r="Q538"/>
      <c r="R538"/>
      <c r="S538"/>
      <c r="T538"/>
      <c r="U538"/>
      <c r="V538"/>
      <c r="W538"/>
    </row>
    <row r="539" spans="2:23" outlineLevel="1">
      <c r="B539" s="148"/>
      <c r="C539" s="149"/>
      <c r="D539" s="150"/>
      <c r="E539" s="151"/>
      <c r="F539" s="152"/>
      <c r="G539"/>
      <c r="H539"/>
      <c r="I539"/>
      <c r="J539"/>
      <c r="K539"/>
      <c r="L539"/>
      <c r="M539"/>
      <c r="N539"/>
      <c r="O539"/>
      <c r="P539"/>
      <c r="Q539"/>
      <c r="R539"/>
      <c r="S539"/>
      <c r="T539"/>
      <c r="U539"/>
      <c r="V539"/>
      <c r="W539"/>
    </row>
    <row r="540" spans="2:23" outlineLevel="1">
      <c r="B540" s="160"/>
      <c r="C540" s="161"/>
      <c r="D540" s="150"/>
      <c r="E540" s="162"/>
      <c r="F540" s="152"/>
      <c r="G540"/>
      <c r="H540"/>
      <c r="I540"/>
      <c r="J540"/>
      <c r="K540"/>
      <c r="L540"/>
      <c r="M540"/>
      <c r="N540"/>
      <c r="O540"/>
      <c r="P540"/>
      <c r="Q540"/>
      <c r="R540"/>
      <c r="S540"/>
      <c r="T540"/>
      <c r="U540"/>
      <c r="V540"/>
      <c r="W540"/>
    </row>
    <row r="541" spans="2:23" outlineLevel="1">
      <c r="B541" s="148"/>
      <c r="C541" s="149"/>
      <c r="D541" s="150"/>
      <c r="E541" s="151"/>
      <c r="F541" s="152"/>
      <c r="G541"/>
      <c r="H541"/>
      <c r="I541"/>
      <c r="J541"/>
      <c r="K541"/>
      <c r="L541"/>
      <c r="M541"/>
      <c r="N541"/>
      <c r="O541"/>
      <c r="P541"/>
      <c r="Q541"/>
      <c r="R541"/>
      <c r="S541"/>
      <c r="T541"/>
      <c r="U541"/>
      <c r="V541"/>
      <c r="W541"/>
    </row>
    <row r="542" spans="2:23" outlineLevel="1">
      <c r="B542" s="160"/>
      <c r="C542" s="161"/>
      <c r="D542" s="150"/>
      <c r="E542" s="162"/>
      <c r="F542" s="152"/>
      <c r="G542"/>
      <c r="H542"/>
      <c r="I542"/>
      <c r="J542"/>
      <c r="K542"/>
      <c r="L542"/>
      <c r="M542"/>
      <c r="N542"/>
      <c r="O542"/>
      <c r="P542"/>
      <c r="Q542"/>
      <c r="R542"/>
      <c r="S542"/>
      <c r="T542"/>
      <c r="U542"/>
      <c r="V542"/>
      <c r="W542"/>
    </row>
    <row r="543" spans="2:23" outlineLevel="1">
      <c r="B543" s="148"/>
      <c r="C543" s="149"/>
      <c r="D543" s="150"/>
      <c r="E543" s="151"/>
      <c r="F543" s="152"/>
      <c r="G543"/>
      <c r="H543"/>
      <c r="I543"/>
      <c r="J543"/>
      <c r="K543"/>
      <c r="L543"/>
      <c r="M543"/>
      <c r="N543"/>
      <c r="O543"/>
      <c r="P543"/>
      <c r="Q543"/>
      <c r="R543"/>
      <c r="S543"/>
      <c r="T543"/>
      <c r="U543"/>
      <c r="V543"/>
      <c r="W543"/>
    </row>
    <row r="544" spans="2:23" outlineLevel="1">
      <c r="B544" s="160"/>
      <c r="C544" s="161"/>
      <c r="D544" s="150"/>
      <c r="E544" s="162"/>
      <c r="F544" s="152"/>
      <c r="G544"/>
      <c r="H544"/>
      <c r="I544"/>
      <c r="J544"/>
      <c r="K544"/>
      <c r="L544"/>
      <c r="M544"/>
      <c r="N544"/>
      <c r="O544"/>
      <c r="P544"/>
      <c r="Q544"/>
      <c r="R544"/>
      <c r="S544"/>
      <c r="T544"/>
      <c r="U544"/>
      <c r="V544"/>
      <c r="W544"/>
    </row>
    <row r="545" spans="2:23" outlineLevel="1">
      <c r="B545" s="148"/>
      <c r="C545" s="149"/>
      <c r="D545" s="150"/>
      <c r="E545" s="151"/>
      <c r="F545" s="152"/>
      <c r="G545"/>
      <c r="H545"/>
      <c r="I545"/>
      <c r="J545"/>
      <c r="K545"/>
      <c r="L545"/>
      <c r="M545"/>
      <c r="N545"/>
      <c r="O545"/>
      <c r="P545"/>
      <c r="Q545"/>
      <c r="R545"/>
      <c r="S545"/>
      <c r="T545"/>
      <c r="U545"/>
      <c r="V545"/>
      <c r="W545"/>
    </row>
    <row r="546" spans="2:23" outlineLevel="1">
      <c r="B546" s="160"/>
      <c r="C546" s="161"/>
      <c r="D546" s="150"/>
      <c r="E546" s="162"/>
      <c r="F546" s="152"/>
      <c r="G546"/>
      <c r="H546"/>
      <c r="I546"/>
      <c r="J546"/>
      <c r="K546"/>
      <c r="L546"/>
      <c r="M546"/>
      <c r="N546"/>
      <c r="O546"/>
      <c r="P546"/>
      <c r="Q546"/>
      <c r="R546"/>
      <c r="S546"/>
      <c r="T546"/>
      <c r="U546"/>
      <c r="V546"/>
      <c r="W546"/>
    </row>
    <row r="547" spans="2:23" outlineLevel="1">
      <c r="B547" s="148"/>
      <c r="C547" s="149"/>
      <c r="D547" s="150"/>
      <c r="E547" s="151"/>
      <c r="F547" s="152"/>
      <c r="G547"/>
      <c r="H547"/>
      <c r="I547"/>
      <c r="J547"/>
      <c r="K547"/>
      <c r="L547"/>
      <c r="M547"/>
      <c r="N547"/>
      <c r="O547"/>
      <c r="P547"/>
      <c r="Q547"/>
      <c r="R547"/>
      <c r="S547"/>
      <c r="T547"/>
      <c r="U547"/>
      <c r="V547"/>
      <c r="W547"/>
    </row>
    <row r="548" spans="2:23" outlineLevel="1">
      <c r="B548" s="160"/>
      <c r="C548" s="161"/>
      <c r="D548" s="150"/>
      <c r="E548" s="162"/>
      <c r="F548" s="152"/>
      <c r="G548"/>
      <c r="H548"/>
      <c r="I548"/>
      <c r="J548"/>
      <c r="K548"/>
      <c r="L548"/>
      <c r="M548"/>
      <c r="N548"/>
      <c r="O548"/>
      <c r="P548"/>
      <c r="Q548"/>
      <c r="R548"/>
      <c r="S548"/>
      <c r="T548"/>
      <c r="U548"/>
      <c r="V548"/>
      <c r="W548"/>
    </row>
    <row r="549" spans="2:23" outlineLevel="1">
      <c r="B549" s="148"/>
      <c r="C549" s="149"/>
      <c r="D549" s="150"/>
      <c r="E549" s="151"/>
      <c r="F549" s="152"/>
      <c r="G549"/>
      <c r="H549"/>
      <c r="I549"/>
      <c r="J549"/>
      <c r="K549"/>
      <c r="L549"/>
      <c r="M549"/>
      <c r="N549"/>
      <c r="O549"/>
      <c r="P549"/>
      <c r="Q549"/>
      <c r="R549"/>
      <c r="S549"/>
      <c r="T549"/>
      <c r="U549"/>
      <c r="V549"/>
      <c r="W549"/>
    </row>
    <row r="550" spans="2:23" outlineLevel="1">
      <c r="B550" s="160"/>
      <c r="C550" s="161"/>
      <c r="D550" s="150"/>
      <c r="E550" s="162"/>
      <c r="F550" s="152"/>
      <c r="G550"/>
      <c r="H550"/>
      <c r="I550"/>
      <c r="J550"/>
      <c r="K550"/>
      <c r="L550"/>
      <c r="M550"/>
      <c r="N550"/>
      <c r="O550"/>
      <c r="P550"/>
      <c r="Q550"/>
      <c r="R550"/>
      <c r="S550"/>
      <c r="T550"/>
      <c r="U550"/>
      <c r="V550"/>
      <c r="W550"/>
    </row>
    <row r="551" spans="2:23" outlineLevel="1">
      <c r="B551" s="148"/>
      <c r="C551" s="149"/>
      <c r="D551" s="150"/>
      <c r="E551" s="151"/>
      <c r="F551" s="152"/>
      <c r="G551"/>
      <c r="H551"/>
      <c r="I551"/>
      <c r="J551"/>
      <c r="K551"/>
      <c r="L551"/>
      <c r="M551"/>
      <c r="N551"/>
      <c r="O551"/>
      <c r="P551"/>
      <c r="Q551"/>
      <c r="R551"/>
      <c r="S551"/>
      <c r="T551"/>
      <c r="U551"/>
      <c r="V551"/>
      <c r="W551"/>
    </row>
    <row r="552" spans="2:23" outlineLevel="1">
      <c r="B552" s="160"/>
      <c r="C552" s="161"/>
      <c r="D552" s="150"/>
      <c r="E552" s="162"/>
      <c r="F552" s="152"/>
      <c r="G552"/>
      <c r="H552"/>
      <c r="I552"/>
      <c r="J552"/>
      <c r="K552"/>
      <c r="L552"/>
      <c r="M552"/>
      <c r="N552"/>
      <c r="O552"/>
      <c r="P552"/>
      <c r="Q552"/>
      <c r="R552"/>
      <c r="S552"/>
      <c r="T552"/>
      <c r="U552"/>
      <c r="V552"/>
      <c r="W552"/>
    </row>
    <row r="553" spans="2:23" outlineLevel="1">
      <c r="B553" s="148"/>
      <c r="C553" s="149"/>
      <c r="D553" s="150"/>
      <c r="E553" s="151"/>
      <c r="F553" s="152"/>
      <c r="G553"/>
      <c r="H553"/>
      <c r="I553"/>
      <c r="J553"/>
      <c r="K553"/>
      <c r="L553"/>
      <c r="M553"/>
      <c r="N553"/>
      <c r="O553"/>
      <c r="P553"/>
      <c r="Q553"/>
      <c r="R553"/>
      <c r="S553"/>
      <c r="T553"/>
      <c r="U553"/>
      <c r="V553"/>
      <c r="W553"/>
    </row>
    <row r="554" spans="2:23" outlineLevel="1">
      <c r="B554" s="160"/>
      <c r="C554" s="161"/>
      <c r="D554" s="150"/>
      <c r="E554" s="162"/>
      <c r="F554" s="152"/>
      <c r="G554"/>
      <c r="H554"/>
      <c r="I554"/>
      <c r="J554"/>
      <c r="K554"/>
      <c r="L554"/>
      <c r="M554"/>
      <c r="N554"/>
      <c r="O554"/>
      <c r="P554"/>
      <c r="Q554"/>
      <c r="R554"/>
      <c r="S554"/>
      <c r="T554"/>
      <c r="U554"/>
      <c r="V554"/>
      <c r="W554"/>
    </row>
    <row r="555" spans="2:23" outlineLevel="1">
      <c r="B555" s="148"/>
      <c r="C555" s="149"/>
      <c r="D555" s="150"/>
      <c r="E555" s="151"/>
      <c r="F555" s="152"/>
      <c r="G555"/>
      <c r="H555"/>
      <c r="I555"/>
      <c r="J555"/>
      <c r="K555"/>
      <c r="L555"/>
      <c r="M555"/>
      <c r="N555"/>
      <c r="O555"/>
      <c r="P555"/>
      <c r="Q555"/>
      <c r="R555"/>
      <c r="S555"/>
      <c r="T555"/>
      <c r="U555"/>
      <c r="V555"/>
      <c r="W555"/>
    </row>
    <row r="556" spans="2:23" outlineLevel="1">
      <c r="B556" s="160"/>
      <c r="C556" s="161"/>
      <c r="D556" s="150"/>
      <c r="E556" s="162"/>
      <c r="F556" s="152"/>
      <c r="G556"/>
      <c r="H556"/>
      <c r="I556"/>
      <c r="J556"/>
      <c r="K556"/>
      <c r="L556"/>
      <c r="M556"/>
      <c r="N556"/>
      <c r="O556"/>
      <c r="P556"/>
      <c r="Q556"/>
      <c r="R556"/>
      <c r="S556"/>
      <c r="T556"/>
      <c r="U556"/>
      <c r="V556"/>
      <c r="W556"/>
    </row>
    <row r="557" spans="2:23" outlineLevel="1">
      <c r="B557" s="148"/>
      <c r="C557" s="149"/>
      <c r="D557" s="150"/>
      <c r="E557" s="151"/>
      <c r="F557" s="152"/>
      <c r="G557"/>
      <c r="H557"/>
      <c r="I557"/>
      <c r="J557"/>
      <c r="K557"/>
      <c r="L557"/>
      <c r="M557"/>
      <c r="N557"/>
      <c r="O557"/>
      <c r="P557"/>
      <c r="Q557"/>
      <c r="R557"/>
      <c r="S557"/>
      <c r="T557"/>
      <c r="U557"/>
      <c r="V557"/>
      <c r="W557"/>
    </row>
    <row r="558" spans="2:23" outlineLevel="1">
      <c r="B558" s="160"/>
      <c r="C558" s="161"/>
      <c r="D558" s="150"/>
      <c r="E558" s="162"/>
      <c r="F558" s="152"/>
      <c r="G558"/>
      <c r="H558"/>
      <c r="I558"/>
      <c r="J558"/>
      <c r="K558"/>
      <c r="L558"/>
      <c r="M558"/>
      <c r="N558"/>
      <c r="O558"/>
      <c r="P558"/>
      <c r="Q558"/>
      <c r="R558"/>
      <c r="S558"/>
      <c r="T558"/>
      <c r="U558"/>
      <c r="V558"/>
      <c r="W558"/>
    </row>
    <row r="559" spans="2:23" outlineLevel="1">
      <c r="B559" s="148"/>
      <c r="C559" s="149"/>
      <c r="D559" s="150"/>
      <c r="E559" s="151"/>
      <c r="F559" s="152"/>
      <c r="G559"/>
      <c r="H559"/>
      <c r="I559"/>
      <c r="J559"/>
      <c r="K559"/>
      <c r="L559"/>
      <c r="M559"/>
      <c r="N559"/>
      <c r="O559"/>
      <c r="P559"/>
      <c r="Q559"/>
      <c r="R559"/>
      <c r="S559"/>
      <c r="T559"/>
      <c r="U559"/>
      <c r="V559"/>
      <c r="W559"/>
    </row>
    <row r="560" spans="2:23" outlineLevel="1">
      <c r="B560" s="160"/>
      <c r="C560" s="161"/>
      <c r="D560" s="150"/>
      <c r="E560" s="162"/>
      <c r="F560" s="152"/>
      <c r="G560"/>
      <c r="H560"/>
      <c r="I560"/>
      <c r="J560"/>
      <c r="K560"/>
      <c r="L560"/>
      <c r="M560"/>
      <c r="N560"/>
      <c r="O560"/>
      <c r="P560"/>
      <c r="Q560"/>
      <c r="R560"/>
      <c r="S560"/>
      <c r="T560"/>
      <c r="U560"/>
      <c r="V560"/>
      <c r="W560"/>
    </row>
    <row r="561" spans="2:23" outlineLevel="1">
      <c r="B561" s="148"/>
      <c r="C561" s="149"/>
      <c r="D561" s="150"/>
      <c r="E561" s="151"/>
      <c r="F561" s="152"/>
      <c r="G561"/>
      <c r="H561"/>
      <c r="I561"/>
      <c r="J561"/>
      <c r="K561"/>
      <c r="L561"/>
      <c r="M561"/>
      <c r="N561"/>
      <c r="O561"/>
      <c r="P561"/>
      <c r="Q561"/>
      <c r="R561"/>
      <c r="S561"/>
      <c r="T561"/>
      <c r="U561"/>
      <c r="V561"/>
      <c r="W561"/>
    </row>
    <row r="562" spans="2:23" outlineLevel="1">
      <c r="B562" s="160"/>
      <c r="C562" s="161"/>
      <c r="D562" s="150"/>
      <c r="E562" s="162"/>
      <c r="F562" s="152"/>
      <c r="G562"/>
      <c r="H562"/>
      <c r="I562"/>
      <c r="J562"/>
      <c r="K562"/>
      <c r="L562"/>
      <c r="M562"/>
      <c r="N562"/>
      <c r="O562"/>
      <c r="P562"/>
      <c r="Q562"/>
      <c r="R562"/>
      <c r="S562"/>
      <c r="T562"/>
      <c r="U562"/>
      <c r="V562"/>
      <c r="W562"/>
    </row>
    <row r="563" spans="2:23" outlineLevel="1">
      <c r="B563" s="148"/>
      <c r="C563" s="149"/>
      <c r="D563" s="150"/>
      <c r="E563" s="151"/>
      <c r="F563" s="152"/>
      <c r="G563"/>
      <c r="H563"/>
      <c r="I563"/>
      <c r="J563"/>
      <c r="K563"/>
      <c r="L563"/>
      <c r="M563"/>
      <c r="N563"/>
      <c r="O563"/>
      <c r="P563"/>
      <c r="Q563"/>
      <c r="R563"/>
      <c r="S563"/>
      <c r="T563"/>
      <c r="U563"/>
      <c r="V563"/>
      <c r="W563"/>
    </row>
    <row r="564" spans="2:23" outlineLevel="1">
      <c r="B564" s="160"/>
      <c r="C564" s="161"/>
      <c r="D564" s="150"/>
      <c r="E564" s="162"/>
      <c r="F564" s="152"/>
      <c r="G564"/>
      <c r="H564"/>
      <c r="I564"/>
      <c r="J564"/>
      <c r="K564"/>
      <c r="L564"/>
      <c r="M564"/>
      <c r="N564"/>
      <c r="O564"/>
      <c r="P564"/>
      <c r="Q564"/>
      <c r="R564"/>
      <c r="S564"/>
      <c r="T564"/>
      <c r="U564"/>
      <c r="V564"/>
      <c r="W564"/>
    </row>
    <row r="565" spans="2:23" outlineLevel="1">
      <c r="B565" s="148"/>
      <c r="C565" s="149"/>
      <c r="D565" s="150"/>
      <c r="E565" s="151"/>
      <c r="F565" s="152"/>
      <c r="G565"/>
      <c r="H565"/>
      <c r="I565"/>
      <c r="J565"/>
      <c r="K565"/>
      <c r="L565"/>
      <c r="M565"/>
      <c r="N565"/>
      <c r="O565"/>
      <c r="P565"/>
      <c r="Q565"/>
      <c r="R565"/>
      <c r="S565"/>
      <c r="T565"/>
      <c r="U565"/>
      <c r="V565"/>
      <c r="W565"/>
    </row>
    <row r="566" spans="2:23" outlineLevel="1">
      <c r="B566" s="160"/>
      <c r="C566" s="161"/>
      <c r="D566" s="150"/>
      <c r="E566" s="162"/>
      <c r="F566" s="152"/>
      <c r="G566"/>
      <c r="H566"/>
      <c r="I566"/>
      <c r="J566"/>
      <c r="K566"/>
      <c r="L566"/>
      <c r="M566"/>
      <c r="N566"/>
      <c r="O566"/>
      <c r="P566"/>
      <c r="Q566"/>
      <c r="R566"/>
      <c r="S566"/>
      <c r="T566"/>
      <c r="U566"/>
      <c r="V566"/>
      <c r="W566"/>
    </row>
    <row r="567" spans="2:23" outlineLevel="1">
      <c r="B567" s="148"/>
      <c r="C567" s="149"/>
      <c r="D567" s="150"/>
      <c r="E567" s="151"/>
      <c r="F567" s="152"/>
      <c r="G567"/>
      <c r="H567"/>
      <c r="I567"/>
      <c r="J567"/>
      <c r="K567"/>
      <c r="L567"/>
      <c r="M567"/>
      <c r="N567"/>
      <c r="O567"/>
      <c r="P567"/>
      <c r="Q567"/>
      <c r="R567"/>
      <c r="S567"/>
      <c r="T567"/>
      <c r="U567"/>
      <c r="V567"/>
      <c r="W567"/>
    </row>
    <row r="568" spans="2:23" outlineLevel="1">
      <c r="B568" s="160"/>
      <c r="C568" s="161"/>
      <c r="D568" s="150"/>
      <c r="E568" s="162"/>
      <c r="F568" s="152"/>
      <c r="G568"/>
      <c r="H568"/>
      <c r="I568"/>
      <c r="J568"/>
      <c r="K568"/>
      <c r="L568"/>
      <c r="M568"/>
      <c r="N568"/>
      <c r="O568"/>
      <c r="P568"/>
      <c r="Q568"/>
      <c r="R568"/>
      <c r="S568"/>
      <c r="T568"/>
      <c r="U568"/>
      <c r="V568"/>
      <c r="W568"/>
    </row>
    <row r="569" spans="2:23" outlineLevel="1">
      <c r="B569" s="148"/>
      <c r="C569" s="149"/>
      <c r="D569" s="150"/>
      <c r="E569" s="151"/>
      <c r="F569" s="152"/>
      <c r="G569"/>
      <c r="H569"/>
      <c r="I569"/>
      <c r="J569"/>
      <c r="K569"/>
      <c r="L569"/>
      <c r="M569"/>
      <c r="N569"/>
      <c r="O569"/>
      <c r="P569"/>
      <c r="Q569"/>
      <c r="R569"/>
      <c r="S569"/>
      <c r="T569"/>
      <c r="U569"/>
      <c r="V569"/>
      <c r="W569"/>
    </row>
    <row r="570" spans="2:23" outlineLevel="1">
      <c r="B570" s="160"/>
      <c r="C570" s="161"/>
      <c r="D570" s="150"/>
      <c r="E570" s="162"/>
      <c r="F570" s="152"/>
      <c r="G570"/>
      <c r="H570"/>
      <c r="I570"/>
      <c r="J570"/>
      <c r="K570"/>
      <c r="L570"/>
      <c r="M570"/>
      <c r="N570"/>
      <c r="O570"/>
      <c r="P570"/>
      <c r="Q570"/>
      <c r="R570"/>
      <c r="S570"/>
      <c r="T570"/>
      <c r="U570"/>
      <c r="V570"/>
      <c r="W570"/>
    </row>
    <row r="571" spans="2:23" outlineLevel="1">
      <c r="B571" s="148"/>
      <c r="C571" s="149"/>
      <c r="D571" s="150"/>
      <c r="E571" s="151"/>
      <c r="F571" s="152"/>
      <c r="G571"/>
      <c r="H571"/>
      <c r="I571"/>
      <c r="J571"/>
      <c r="K571"/>
      <c r="L571"/>
      <c r="M571"/>
      <c r="N571"/>
      <c r="O571"/>
      <c r="P571"/>
      <c r="Q571"/>
      <c r="R571"/>
      <c r="S571"/>
      <c r="T571"/>
      <c r="U571"/>
      <c r="V571"/>
      <c r="W571"/>
    </row>
    <row r="572" spans="2:23" outlineLevel="1">
      <c r="B572" s="160"/>
      <c r="C572" s="161"/>
      <c r="D572" s="150"/>
      <c r="E572" s="162"/>
      <c r="F572" s="152"/>
      <c r="G572"/>
      <c r="H572"/>
      <c r="I572"/>
      <c r="J572"/>
      <c r="K572"/>
      <c r="L572"/>
      <c r="M572"/>
      <c r="N572"/>
      <c r="O572"/>
      <c r="P572"/>
      <c r="Q572"/>
      <c r="R572"/>
      <c r="S572"/>
      <c r="T572"/>
      <c r="U572"/>
      <c r="V572"/>
      <c r="W572"/>
    </row>
    <row r="573" spans="2:23" outlineLevel="1">
      <c r="B573" s="148"/>
      <c r="C573" s="149"/>
      <c r="D573" s="150"/>
      <c r="E573" s="151"/>
      <c r="F573" s="152"/>
      <c r="G573"/>
      <c r="H573"/>
      <c r="I573"/>
      <c r="J573"/>
      <c r="K573"/>
      <c r="L573"/>
      <c r="M573"/>
      <c r="N573"/>
      <c r="O573"/>
      <c r="P573"/>
      <c r="Q573"/>
      <c r="R573"/>
      <c r="S573"/>
      <c r="T573"/>
      <c r="U573"/>
      <c r="V573"/>
      <c r="W573"/>
    </row>
    <row r="574" spans="2:23" outlineLevel="1">
      <c r="B574" s="160"/>
      <c r="C574" s="161"/>
      <c r="D574" s="150"/>
      <c r="E574" s="162"/>
      <c r="F574" s="152"/>
      <c r="G574"/>
      <c r="H574"/>
      <c r="I574"/>
      <c r="J574"/>
      <c r="K574"/>
      <c r="L574"/>
      <c r="M574"/>
      <c r="N574"/>
      <c r="O574"/>
      <c r="P574"/>
      <c r="Q574"/>
      <c r="R574"/>
      <c r="S574"/>
      <c r="T574"/>
      <c r="U574"/>
      <c r="V574"/>
      <c r="W574"/>
    </row>
    <row r="575" spans="2:23" outlineLevel="1">
      <c r="B575" s="148"/>
      <c r="C575" s="149"/>
      <c r="D575" s="150"/>
      <c r="E575" s="151"/>
      <c r="F575" s="152"/>
      <c r="G575"/>
      <c r="H575"/>
      <c r="I575"/>
      <c r="J575"/>
      <c r="K575"/>
      <c r="L575"/>
      <c r="M575"/>
      <c r="N575"/>
      <c r="O575"/>
      <c r="P575"/>
      <c r="Q575"/>
      <c r="R575"/>
      <c r="S575"/>
      <c r="T575"/>
      <c r="U575"/>
      <c r="V575"/>
      <c r="W575"/>
    </row>
    <row r="576" spans="2:23" outlineLevel="1">
      <c r="B576" s="160"/>
      <c r="C576" s="161"/>
      <c r="D576" s="150"/>
      <c r="E576" s="162"/>
      <c r="F576" s="152"/>
      <c r="G576"/>
      <c r="H576"/>
      <c r="I576"/>
      <c r="J576"/>
      <c r="K576"/>
      <c r="L576"/>
      <c r="M576"/>
      <c r="N576"/>
      <c r="O576"/>
      <c r="P576"/>
      <c r="Q576"/>
      <c r="R576"/>
      <c r="S576"/>
      <c r="T576"/>
      <c r="U576"/>
      <c r="V576"/>
      <c r="W576"/>
    </row>
    <row r="577" spans="2:23" outlineLevel="1">
      <c r="B577" s="148"/>
      <c r="C577" s="149"/>
      <c r="D577" s="150"/>
      <c r="E577" s="151"/>
      <c r="F577" s="152"/>
      <c r="G577"/>
      <c r="H577"/>
      <c r="I577"/>
      <c r="J577"/>
      <c r="K577"/>
      <c r="L577"/>
      <c r="M577"/>
      <c r="N577"/>
      <c r="O577"/>
      <c r="P577"/>
      <c r="Q577"/>
      <c r="R577"/>
      <c r="S577"/>
      <c r="T577"/>
      <c r="U577"/>
      <c r="V577"/>
      <c r="W577"/>
    </row>
    <row r="578" spans="2:23" outlineLevel="1">
      <c r="B578" s="160"/>
      <c r="C578" s="161"/>
      <c r="D578" s="150"/>
      <c r="E578" s="162"/>
      <c r="F578" s="152"/>
      <c r="G578"/>
      <c r="H578"/>
      <c r="I578"/>
      <c r="J578"/>
      <c r="K578"/>
      <c r="L578"/>
      <c r="M578"/>
      <c r="N578"/>
      <c r="O578"/>
      <c r="P578"/>
      <c r="Q578"/>
      <c r="R578"/>
      <c r="S578"/>
      <c r="T578"/>
      <c r="U578"/>
      <c r="V578"/>
      <c r="W578"/>
    </row>
    <row r="579" spans="2:23" outlineLevel="1">
      <c r="B579" s="148"/>
      <c r="C579" s="149"/>
      <c r="D579" s="150"/>
      <c r="E579" s="151"/>
      <c r="F579" s="152"/>
      <c r="G579"/>
      <c r="H579"/>
      <c r="I579"/>
      <c r="J579"/>
      <c r="K579"/>
      <c r="L579"/>
      <c r="M579"/>
      <c r="N579"/>
      <c r="O579"/>
      <c r="P579"/>
      <c r="Q579"/>
      <c r="R579"/>
      <c r="S579"/>
      <c r="T579"/>
      <c r="U579"/>
      <c r="V579"/>
      <c r="W579"/>
    </row>
    <row r="580" spans="2:23" outlineLevel="1">
      <c r="B580" s="160"/>
      <c r="C580" s="161"/>
      <c r="D580" s="150"/>
      <c r="E580" s="162"/>
      <c r="F580" s="152"/>
      <c r="G580"/>
      <c r="H580"/>
      <c r="I580"/>
      <c r="J580"/>
      <c r="K580"/>
      <c r="L580"/>
      <c r="M580"/>
      <c r="N580"/>
      <c r="O580"/>
      <c r="P580"/>
      <c r="Q580"/>
      <c r="R580"/>
      <c r="S580"/>
      <c r="T580"/>
      <c r="U580"/>
      <c r="V580"/>
      <c r="W580"/>
    </row>
    <row r="581" spans="2:23" outlineLevel="1">
      <c r="B581" s="148"/>
      <c r="C581" s="149"/>
      <c r="D581" s="150"/>
      <c r="E581" s="151"/>
      <c r="F581" s="152"/>
      <c r="G581"/>
      <c r="H581"/>
      <c r="I581"/>
      <c r="J581"/>
      <c r="K581"/>
      <c r="L581"/>
      <c r="M581"/>
      <c r="N581"/>
      <c r="O581"/>
      <c r="P581"/>
      <c r="Q581"/>
      <c r="R581"/>
      <c r="S581"/>
      <c r="T581"/>
      <c r="U581"/>
      <c r="V581"/>
      <c r="W581"/>
    </row>
    <row r="582" spans="2:23" outlineLevel="1">
      <c r="B582" s="160"/>
      <c r="C582" s="161"/>
      <c r="D582" s="150"/>
      <c r="E582" s="162"/>
      <c r="F582" s="152"/>
      <c r="G582"/>
      <c r="H582"/>
      <c r="I582"/>
      <c r="J582"/>
      <c r="K582"/>
      <c r="L582"/>
      <c r="M582"/>
      <c r="N582"/>
      <c r="O582"/>
      <c r="P582"/>
      <c r="Q582"/>
      <c r="R582"/>
      <c r="S582"/>
      <c r="T582"/>
      <c r="U582"/>
      <c r="V582"/>
      <c r="W582"/>
    </row>
    <row r="583" spans="2:23" outlineLevel="1">
      <c r="B583" s="148"/>
      <c r="C583" s="149"/>
      <c r="D583" s="150"/>
      <c r="E583" s="151"/>
      <c r="F583" s="152"/>
      <c r="G583"/>
      <c r="H583"/>
      <c r="I583"/>
      <c r="J583"/>
      <c r="K583"/>
      <c r="L583"/>
      <c r="M583"/>
      <c r="N583"/>
      <c r="O583"/>
      <c r="P583"/>
      <c r="Q583"/>
      <c r="R583"/>
      <c r="S583"/>
      <c r="T583"/>
      <c r="U583"/>
      <c r="V583"/>
      <c r="W583"/>
    </row>
    <row r="584" spans="2:23" outlineLevel="1">
      <c r="B584" s="160"/>
      <c r="C584" s="161"/>
      <c r="D584" s="150"/>
      <c r="E584" s="162"/>
      <c r="F584" s="152"/>
      <c r="G584"/>
      <c r="H584"/>
      <c r="I584"/>
      <c r="J584"/>
      <c r="K584"/>
      <c r="L584"/>
      <c r="M584"/>
      <c r="N584"/>
      <c r="O584"/>
      <c r="P584"/>
      <c r="Q584"/>
      <c r="R584"/>
      <c r="S584"/>
      <c r="T584"/>
      <c r="U584"/>
      <c r="V584"/>
      <c r="W584"/>
    </row>
    <row r="585" spans="2:23" outlineLevel="1">
      <c r="B585" s="148"/>
      <c r="C585" s="149"/>
      <c r="D585" s="150"/>
      <c r="E585" s="151"/>
      <c r="F585" s="152"/>
      <c r="G585"/>
      <c r="H585"/>
      <c r="I585"/>
      <c r="J585"/>
      <c r="K585"/>
      <c r="L585"/>
      <c r="M585"/>
      <c r="N585"/>
      <c r="O585"/>
      <c r="P585"/>
      <c r="Q585"/>
      <c r="R585"/>
      <c r="S585"/>
      <c r="T585"/>
      <c r="U585"/>
      <c r="V585"/>
      <c r="W585"/>
    </row>
    <row r="586" spans="2:23" outlineLevel="1">
      <c r="B586" s="160"/>
      <c r="C586" s="161"/>
      <c r="D586" s="150"/>
      <c r="E586" s="162"/>
      <c r="F586" s="152"/>
      <c r="G586"/>
      <c r="H586"/>
      <c r="I586"/>
      <c r="J586"/>
      <c r="K586"/>
      <c r="L586"/>
      <c r="M586"/>
      <c r="N586"/>
      <c r="O586"/>
      <c r="P586"/>
      <c r="Q586"/>
      <c r="R586"/>
      <c r="S586"/>
      <c r="T586"/>
      <c r="U586"/>
      <c r="V586"/>
      <c r="W586"/>
    </row>
    <row r="587" spans="2:23" outlineLevel="1">
      <c r="B587" s="148"/>
      <c r="C587" s="149"/>
      <c r="D587" s="150"/>
      <c r="E587" s="151"/>
      <c r="F587" s="152"/>
      <c r="G587"/>
      <c r="H587"/>
      <c r="I587"/>
      <c r="J587"/>
      <c r="K587"/>
      <c r="L587"/>
      <c r="M587"/>
      <c r="N587"/>
      <c r="O587"/>
      <c r="P587"/>
      <c r="Q587"/>
      <c r="R587"/>
      <c r="S587"/>
      <c r="T587"/>
      <c r="U587"/>
      <c r="V587"/>
      <c r="W587"/>
    </row>
    <row r="588" spans="2:23" outlineLevel="1">
      <c r="B588" s="160"/>
      <c r="C588" s="161"/>
      <c r="D588" s="150"/>
      <c r="E588" s="162"/>
      <c r="F588" s="152"/>
      <c r="G588"/>
      <c r="H588"/>
      <c r="I588"/>
      <c r="J588"/>
      <c r="K588"/>
      <c r="L588"/>
      <c r="M588"/>
      <c r="N588"/>
      <c r="O588"/>
      <c r="P588"/>
      <c r="Q588"/>
      <c r="R588"/>
      <c r="S588"/>
      <c r="T588"/>
      <c r="U588"/>
      <c r="V588"/>
      <c r="W588"/>
    </row>
    <row r="589" spans="2:23" outlineLevel="1">
      <c r="B589" s="148"/>
      <c r="C589" s="149"/>
      <c r="D589" s="150"/>
      <c r="E589" s="151"/>
      <c r="F589" s="152"/>
      <c r="G589"/>
      <c r="H589"/>
      <c r="I589"/>
      <c r="J589"/>
      <c r="K589"/>
      <c r="L589"/>
      <c r="M589"/>
      <c r="N589"/>
      <c r="O589"/>
      <c r="P589"/>
      <c r="Q589"/>
      <c r="R589"/>
      <c r="S589"/>
      <c r="T589"/>
      <c r="U589"/>
      <c r="V589"/>
      <c r="W589"/>
    </row>
    <row r="590" spans="2:23" outlineLevel="1">
      <c r="B590" s="160"/>
      <c r="C590" s="161"/>
      <c r="D590" s="150"/>
      <c r="E590" s="162"/>
      <c r="F590" s="152"/>
      <c r="G590"/>
      <c r="H590"/>
      <c r="I590"/>
      <c r="J590"/>
      <c r="K590"/>
      <c r="L590"/>
      <c r="M590"/>
      <c r="N590"/>
      <c r="O590"/>
      <c r="P590"/>
      <c r="Q590"/>
      <c r="R590"/>
      <c r="S590"/>
      <c r="T590"/>
      <c r="U590"/>
      <c r="V590"/>
      <c r="W590"/>
    </row>
    <row r="591" spans="2:23" outlineLevel="1">
      <c r="B591" s="148"/>
      <c r="C591" s="149"/>
      <c r="D591" s="150"/>
      <c r="E591" s="151"/>
      <c r="F591" s="152"/>
      <c r="G591"/>
      <c r="H591"/>
      <c r="I591"/>
      <c r="J591"/>
      <c r="K591"/>
      <c r="L591"/>
      <c r="M591"/>
      <c r="N591"/>
      <c r="O591"/>
      <c r="P591"/>
      <c r="Q591"/>
      <c r="R591"/>
      <c r="S591"/>
      <c r="T591"/>
      <c r="U591"/>
      <c r="V591"/>
      <c r="W591"/>
    </row>
    <row r="592" spans="2:23" outlineLevel="1">
      <c r="B592" s="160"/>
      <c r="C592" s="161"/>
      <c r="D592" s="150"/>
      <c r="E592" s="162"/>
      <c r="F592" s="152"/>
      <c r="G592"/>
      <c r="H592"/>
      <c r="I592"/>
      <c r="J592"/>
      <c r="K592"/>
      <c r="L592"/>
      <c r="M592"/>
      <c r="N592"/>
      <c r="O592"/>
      <c r="P592"/>
      <c r="Q592"/>
      <c r="R592"/>
      <c r="S592"/>
      <c r="T592"/>
      <c r="U592"/>
      <c r="V592"/>
      <c r="W592"/>
    </row>
    <row r="593" spans="2:23" outlineLevel="1">
      <c r="B593" s="148"/>
      <c r="C593" s="149"/>
      <c r="D593" s="150"/>
      <c r="E593" s="151"/>
      <c r="F593" s="152"/>
      <c r="G593"/>
      <c r="H593"/>
      <c r="I593"/>
      <c r="J593"/>
      <c r="K593"/>
      <c r="L593"/>
      <c r="M593"/>
      <c r="N593"/>
      <c r="O593"/>
      <c r="P593"/>
      <c r="Q593"/>
      <c r="R593"/>
      <c r="S593"/>
      <c r="T593"/>
      <c r="U593"/>
      <c r="V593"/>
      <c r="W593"/>
    </row>
    <row r="594" spans="2:23" outlineLevel="1">
      <c r="B594" s="160"/>
      <c r="C594" s="161"/>
      <c r="D594" s="150"/>
      <c r="E594" s="162"/>
      <c r="F594" s="152"/>
      <c r="G594"/>
      <c r="H594"/>
      <c r="I594"/>
      <c r="J594"/>
      <c r="K594"/>
      <c r="L594"/>
      <c r="M594"/>
      <c r="N594"/>
      <c r="O594"/>
      <c r="P594"/>
      <c r="Q594"/>
      <c r="R594"/>
      <c r="S594"/>
      <c r="T594"/>
      <c r="U594"/>
      <c r="V594"/>
      <c r="W594"/>
    </row>
    <row r="595" spans="2:23" outlineLevel="1">
      <c r="B595" s="148"/>
      <c r="C595" s="149"/>
      <c r="D595" s="150"/>
      <c r="E595" s="151"/>
      <c r="F595" s="152"/>
      <c r="G595"/>
      <c r="H595"/>
      <c r="I595"/>
      <c r="J595"/>
      <c r="K595"/>
      <c r="L595"/>
      <c r="M595"/>
      <c r="N595"/>
      <c r="O595"/>
      <c r="P595"/>
      <c r="Q595"/>
      <c r="R595"/>
      <c r="S595"/>
      <c r="T595"/>
      <c r="U595"/>
      <c r="V595"/>
      <c r="W595"/>
    </row>
    <row r="596" spans="2:23" outlineLevel="1">
      <c r="B596" s="160"/>
      <c r="C596" s="161"/>
      <c r="D596" s="150"/>
      <c r="E596" s="162"/>
      <c r="F596" s="152"/>
      <c r="G596"/>
      <c r="H596"/>
      <c r="I596"/>
      <c r="J596"/>
      <c r="K596"/>
      <c r="L596"/>
      <c r="M596"/>
      <c r="N596"/>
      <c r="O596"/>
      <c r="P596"/>
      <c r="Q596"/>
      <c r="R596"/>
      <c r="S596"/>
      <c r="T596"/>
      <c r="U596"/>
      <c r="V596"/>
      <c r="W596"/>
    </row>
    <row r="597" spans="2:23" outlineLevel="1">
      <c r="B597" s="148"/>
      <c r="C597" s="149"/>
      <c r="D597" s="150"/>
      <c r="E597" s="151"/>
      <c r="F597" s="152"/>
      <c r="G597"/>
      <c r="H597"/>
      <c r="I597"/>
      <c r="J597"/>
      <c r="K597"/>
      <c r="L597"/>
      <c r="M597"/>
      <c r="N597"/>
      <c r="O597"/>
      <c r="P597"/>
      <c r="Q597"/>
      <c r="R597"/>
      <c r="S597"/>
      <c r="T597"/>
      <c r="U597"/>
      <c r="V597"/>
      <c r="W597"/>
    </row>
    <row r="598" spans="2:23" outlineLevel="1">
      <c r="B598" s="160"/>
      <c r="C598" s="161"/>
      <c r="D598" s="150"/>
      <c r="E598" s="162"/>
      <c r="F598" s="152"/>
      <c r="G598"/>
      <c r="H598"/>
      <c r="I598"/>
      <c r="J598"/>
      <c r="K598"/>
      <c r="L598"/>
      <c r="M598"/>
      <c r="N598"/>
      <c r="O598"/>
      <c r="P598"/>
      <c r="Q598"/>
      <c r="R598"/>
      <c r="S598"/>
      <c r="T598"/>
      <c r="U598"/>
      <c r="V598"/>
      <c r="W598"/>
    </row>
    <row r="599" spans="2:23" outlineLevel="1">
      <c r="B599" s="148"/>
      <c r="C599" s="149"/>
      <c r="D599" s="150"/>
      <c r="E599" s="151"/>
      <c r="F599" s="152"/>
      <c r="G599"/>
      <c r="H599"/>
      <c r="I599"/>
      <c r="J599"/>
      <c r="K599"/>
      <c r="L599"/>
      <c r="M599"/>
      <c r="N599"/>
      <c r="O599"/>
      <c r="P599"/>
      <c r="Q599"/>
      <c r="R599"/>
      <c r="S599"/>
      <c r="T599"/>
      <c r="U599"/>
      <c r="V599"/>
      <c r="W599"/>
    </row>
    <row r="600" spans="2:23" outlineLevel="1">
      <c r="B600" s="160"/>
      <c r="C600" s="161"/>
      <c r="D600" s="150"/>
      <c r="E600" s="162"/>
      <c r="F600" s="152"/>
      <c r="G600"/>
      <c r="H600"/>
      <c r="I600"/>
      <c r="J600"/>
      <c r="K600"/>
      <c r="L600"/>
      <c r="M600"/>
      <c r="N600"/>
      <c r="O600"/>
      <c r="P600"/>
      <c r="Q600"/>
      <c r="R600"/>
      <c r="S600"/>
      <c r="T600"/>
      <c r="U600"/>
      <c r="V600"/>
      <c r="W600"/>
    </row>
    <row r="601" spans="2:23" outlineLevel="1">
      <c r="B601" s="148"/>
      <c r="C601" s="149"/>
      <c r="D601" s="150"/>
      <c r="E601" s="151"/>
      <c r="F601" s="152"/>
      <c r="G601"/>
      <c r="H601"/>
      <c r="I601"/>
      <c r="J601"/>
      <c r="K601"/>
      <c r="L601"/>
      <c r="M601"/>
      <c r="N601"/>
      <c r="O601"/>
      <c r="P601"/>
      <c r="Q601"/>
      <c r="R601"/>
      <c r="S601"/>
      <c r="T601"/>
      <c r="U601"/>
      <c r="V601"/>
      <c r="W601"/>
    </row>
    <row r="602" spans="2:23" outlineLevel="1">
      <c r="B602" s="160"/>
      <c r="C602" s="161"/>
      <c r="D602" s="150"/>
      <c r="E602" s="162"/>
      <c r="F602" s="152"/>
      <c r="G602"/>
      <c r="H602"/>
      <c r="I602"/>
      <c r="J602"/>
      <c r="K602"/>
      <c r="L602"/>
      <c r="M602"/>
      <c r="N602"/>
      <c r="O602"/>
      <c r="P602"/>
      <c r="Q602"/>
      <c r="R602"/>
      <c r="S602"/>
      <c r="T602"/>
      <c r="U602"/>
      <c r="V602"/>
      <c r="W602"/>
    </row>
    <row r="603" spans="2:23" outlineLevel="1">
      <c r="B603" s="148"/>
      <c r="C603" s="149"/>
      <c r="D603" s="150"/>
      <c r="E603" s="151"/>
      <c r="F603" s="152"/>
      <c r="G603"/>
      <c r="H603"/>
      <c r="I603"/>
      <c r="J603"/>
      <c r="K603"/>
      <c r="L603"/>
      <c r="M603"/>
      <c r="N603"/>
      <c r="O603"/>
      <c r="P603"/>
      <c r="Q603"/>
      <c r="R603"/>
      <c r="S603"/>
      <c r="T603"/>
      <c r="U603"/>
      <c r="V603"/>
      <c r="W603"/>
    </row>
    <row r="604" spans="2:23" outlineLevel="1">
      <c r="B604" s="160"/>
      <c r="C604" s="161"/>
      <c r="D604" s="150"/>
      <c r="E604" s="162"/>
      <c r="F604" s="152"/>
      <c r="G604"/>
      <c r="H604"/>
      <c r="I604"/>
      <c r="J604"/>
      <c r="K604"/>
      <c r="L604"/>
      <c r="M604"/>
      <c r="N604"/>
      <c r="O604"/>
      <c r="P604"/>
      <c r="Q604"/>
      <c r="R604"/>
      <c r="S604"/>
      <c r="T604"/>
      <c r="U604"/>
      <c r="V604"/>
      <c r="W604"/>
    </row>
    <row r="605" spans="2:23" outlineLevel="1">
      <c r="B605" s="148"/>
      <c r="C605" s="149"/>
      <c r="D605" s="150"/>
      <c r="E605" s="151"/>
      <c r="F605" s="152"/>
      <c r="G605"/>
      <c r="H605"/>
      <c r="I605"/>
      <c r="J605"/>
      <c r="K605"/>
      <c r="L605"/>
      <c r="M605"/>
      <c r="N605"/>
      <c r="O605"/>
      <c r="P605"/>
      <c r="Q605"/>
      <c r="R605"/>
      <c r="S605"/>
      <c r="T605"/>
      <c r="U605"/>
      <c r="V605"/>
      <c r="W605"/>
    </row>
    <row r="606" spans="2:23" outlineLevel="1">
      <c r="B606" s="160"/>
      <c r="C606" s="161"/>
      <c r="D606" s="150"/>
      <c r="E606" s="162"/>
      <c r="F606" s="152"/>
      <c r="G606"/>
      <c r="H606"/>
      <c r="I606"/>
      <c r="J606"/>
      <c r="K606"/>
      <c r="L606"/>
      <c r="M606"/>
      <c r="N606"/>
      <c r="O606"/>
      <c r="P606"/>
      <c r="Q606"/>
      <c r="R606"/>
      <c r="S606"/>
      <c r="T606"/>
      <c r="U606"/>
      <c r="V606"/>
      <c r="W606"/>
    </row>
    <row r="607" spans="2:23" outlineLevel="1">
      <c r="B607" s="148"/>
      <c r="C607" s="149"/>
      <c r="D607" s="150"/>
      <c r="E607" s="151"/>
      <c r="F607" s="152"/>
      <c r="G607"/>
      <c r="H607"/>
      <c r="I607"/>
      <c r="J607"/>
      <c r="K607"/>
      <c r="L607"/>
      <c r="M607"/>
      <c r="N607"/>
      <c r="O607"/>
      <c r="P607"/>
      <c r="Q607"/>
      <c r="R607"/>
      <c r="S607"/>
      <c r="T607"/>
      <c r="U607"/>
      <c r="V607"/>
      <c r="W607"/>
    </row>
    <row r="608" spans="2:23" outlineLevel="1">
      <c r="B608" s="160"/>
      <c r="C608" s="161"/>
      <c r="D608" s="150"/>
      <c r="E608" s="162"/>
      <c r="F608" s="152"/>
      <c r="G608"/>
      <c r="H608"/>
      <c r="I608"/>
      <c r="J608"/>
      <c r="K608"/>
      <c r="L608"/>
      <c r="M608"/>
      <c r="N608"/>
      <c r="O608"/>
      <c r="P608"/>
      <c r="Q608"/>
      <c r="R608"/>
      <c r="S608"/>
      <c r="T608"/>
      <c r="U608"/>
      <c r="V608"/>
      <c r="W608"/>
    </row>
    <row r="609" spans="2:23" outlineLevel="1">
      <c r="B609" s="148"/>
      <c r="C609" s="149"/>
      <c r="D609" s="150"/>
      <c r="E609" s="151"/>
      <c r="F609" s="152"/>
      <c r="G609"/>
      <c r="H609"/>
      <c r="I609"/>
      <c r="J609"/>
      <c r="K609"/>
      <c r="L609"/>
      <c r="M609"/>
      <c r="N609"/>
      <c r="O609"/>
      <c r="P609"/>
      <c r="Q609"/>
      <c r="R609"/>
      <c r="S609"/>
      <c r="T609"/>
      <c r="U609"/>
      <c r="V609"/>
      <c r="W609"/>
    </row>
    <row r="610" spans="2:23" outlineLevel="1">
      <c r="B610" s="160"/>
      <c r="C610" s="161"/>
      <c r="D610" s="150"/>
      <c r="E610" s="162"/>
      <c r="F610" s="152"/>
      <c r="G610"/>
      <c r="H610"/>
      <c r="I610"/>
      <c r="J610"/>
      <c r="K610"/>
      <c r="L610"/>
      <c r="M610"/>
      <c r="N610"/>
      <c r="O610"/>
      <c r="P610"/>
      <c r="Q610"/>
      <c r="R610"/>
      <c r="S610"/>
      <c r="T610"/>
      <c r="U610"/>
      <c r="V610"/>
      <c r="W610"/>
    </row>
    <row r="611" spans="2:23" outlineLevel="1">
      <c r="B611" s="148"/>
      <c r="C611" s="149"/>
      <c r="D611" s="150"/>
      <c r="E611" s="151"/>
      <c r="F611" s="152"/>
      <c r="G611"/>
      <c r="H611"/>
      <c r="I611"/>
      <c r="J611"/>
      <c r="K611"/>
      <c r="L611"/>
      <c r="M611"/>
      <c r="N611"/>
      <c r="O611"/>
      <c r="P611"/>
      <c r="Q611"/>
      <c r="R611"/>
      <c r="S611"/>
      <c r="T611"/>
      <c r="U611"/>
      <c r="V611"/>
      <c r="W611"/>
    </row>
    <row r="612" spans="2:23" outlineLevel="1">
      <c r="B612" s="160"/>
      <c r="C612" s="161"/>
      <c r="D612" s="150"/>
      <c r="E612" s="162"/>
      <c r="F612" s="152"/>
      <c r="G612"/>
      <c r="H612"/>
      <c r="I612"/>
      <c r="J612"/>
      <c r="K612"/>
      <c r="L612"/>
      <c r="M612"/>
      <c r="N612"/>
      <c r="O612"/>
      <c r="P612"/>
      <c r="Q612"/>
      <c r="R612"/>
      <c r="S612"/>
      <c r="T612"/>
      <c r="U612"/>
      <c r="V612"/>
      <c r="W612"/>
    </row>
    <row r="613" spans="2:23" outlineLevel="1">
      <c r="B613" s="148"/>
      <c r="C613" s="149"/>
      <c r="D613" s="150"/>
      <c r="E613" s="151"/>
      <c r="F613" s="152"/>
      <c r="G613"/>
      <c r="H613"/>
      <c r="I613"/>
      <c r="J613"/>
      <c r="K613"/>
      <c r="L613"/>
      <c r="M613"/>
      <c r="N613"/>
      <c r="O613"/>
      <c r="P613"/>
      <c r="Q613"/>
      <c r="R613"/>
      <c r="S613"/>
      <c r="T613"/>
      <c r="U613"/>
      <c r="V613"/>
      <c r="W613"/>
    </row>
    <row r="614" spans="2:23" outlineLevel="1">
      <c r="B614" s="160"/>
      <c r="C614" s="161"/>
      <c r="D614" s="150"/>
      <c r="E614" s="162"/>
      <c r="F614" s="152"/>
      <c r="G614"/>
      <c r="H614"/>
      <c r="I614"/>
      <c r="J614"/>
      <c r="K614"/>
      <c r="L614"/>
      <c r="M614"/>
      <c r="N614"/>
      <c r="O614"/>
      <c r="P614"/>
      <c r="Q614"/>
      <c r="R614"/>
      <c r="S614"/>
      <c r="T614"/>
      <c r="U614"/>
      <c r="V614"/>
      <c r="W614"/>
    </row>
    <row r="615" spans="2:23" outlineLevel="1">
      <c r="B615" s="148"/>
      <c r="C615" s="149"/>
      <c r="D615" s="150"/>
      <c r="E615" s="151"/>
      <c r="F615" s="152"/>
      <c r="G615"/>
      <c r="H615"/>
      <c r="I615"/>
      <c r="J615"/>
      <c r="K615"/>
      <c r="L615"/>
      <c r="M615"/>
      <c r="N615"/>
      <c r="O615"/>
      <c r="P615"/>
      <c r="Q615"/>
      <c r="R615"/>
      <c r="S615"/>
      <c r="T615"/>
      <c r="U615"/>
      <c r="V615"/>
      <c r="W615"/>
    </row>
    <row r="616" spans="2:23" outlineLevel="1">
      <c r="B616" s="160"/>
      <c r="C616" s="161"/>
      <c r="D616" s="150"/>
      <c r="E616" s="162"/>
      <c r="F616" s="152"/>
      <c r="G616"/>
      <c r="H616"/>
      <c r="I616"/>
      <c r="J616"/>
      <c r="K616"/>
      <c r="L616"/>
      <c r="M616"/>
      <c r="N616"/>
      <c r="O616"/>
      <c r="P616"/>
      <c r="Q616"/>
      <c r="R616"/>
      <c r="S616"/>
      <c r="T616"/>
      <c r="U616"/>
      <c r="V616"/>
      <c r="W616"/>
    </row>
    <row r="617" spans="2:23" outlineLevel="1">
      <c r="B617" s="148"/>
      <c r="C617" s="149"/>
      <c r="D617" s="150"/>
      <c r="E617" s="151"/>
      <c r="F617" s="152"/>
      <c r="G617"/>
      <c r="H617"/>
      <c r="I617"/>
      <c r="J617"/>
      <c r="K617"/>
      <c r="L617"/>
      <c r="M617"/>
      <c r="N617"/>
      <c r="O617"/>
      <c r="P617"/>
      <c r="Q617"/>
      <c r="R617"/>
      <c r="S617"/>
      <c r="T617"/>
      <c r="U617"/>
      <c r="V617"/>
      <c r="W617"/>
    </row>
    <row r="618" spans="2:23" outlineLevel="1">
      <c r="B618" s="160"/>
      <c r="C618" s="161"/>
      <c r="D618" s="150"/>
      <c r="E618" s="162"/>
      <c r="F618" s="152"/>
      <c r="G618"/>
      <c r="H618"/>
      <c r="I618"/>
      <c r="J618"/>
      <c r="K618"/>
      <c r="L618"/>
      <c r="M618"/>
      <c r="N618"/>
      <c r="O618"/>
      <c r="P618"/>
      <c r="Q618"/>
      <c r="R618"/>
      <c r="S618"/>
      <c r="T618"/>
      <c r="U618"/>
      <c r="V618"/>
      <c r="W618"/>
    </row>
    <row r="619" spans="2:23" outlineLevel="1">
      <c r="B619" s="148"/>
      <c r="C619" s="149"/>
      <c r="D619" s="150"/>
      <c r="E619" s="151"/>
      <c r="F619" s="152"/>
      <c r="G619"/>
      <c r="H619"/>
      <c r="I619"/>
      <c r="J619"/>
      <c r="K619"/>
      <c r="L619"/>
      <c r="M619"/>
      <c r="N619"/>
      <c r="O619"/>
      <c r="P619"/>
      <c r="Q619"/>
      <c r="R619"/>
      <c r="S619"/>
      <c r="T619"/>
      <c r="U619"/>
      <c r="V619"/>
      <c r="W619"/>
    </row>
    <row r="620" spans="2:23" outlineLevel="1">
      <c r="B620" s="160"/>
      <c r="C620" s="161"/>
      <c r="D620" s="150"/>
      <c r="E620" s="162"/>
      <c r="F620" s="152"/>
      <c r="G620"/>
      <c r="H620"/>
      <c r="I620"/>
      <c r="J620"/>
      <c r="K620"/>
      <c r="L620"/>
      <c r="M620"/>
      <c r="N620"/>
      <c r="O620"/>
      <c r="P620"/>
      <c r="Q620"/>
      <c r="R620"/>
      <c r="S620"/>
      <c r="T620"/>
      <c r="U620"/>
      <c r="V620"/>
      <c r="W620"/>
    </row>
    <row r="621" spans="2:23" outlineLevel="1">
      <c r="B621" s="148"/>
      <c r="C621" s="149"/>
      <c r="D621" s="150"/>
      <c r="E621" s="151"/>
      <c r="F621" s="152"/>
      <c r="G621"/>
      <c r="H621"/>
      <c r="I621"/>
      <c r="J621"/>
      <c r="K621"/>
      <c r="L621"/>
      <c r="M621"/>
      <c r="N621"/>
      <c r="O621"/>
      <c r="P621"/>
      <c r="Q621"/>
      <c r="R621"/>
      <c r="S621"/>
      <c r="T621"/>
      <c r="U621"/>
      <c r="V621"/>
      <c r="W621"/>
    </row>
    <row r="622" spans="2:23" outlineLevel="1">
      <c r="B622" s="160"/>
      <c r="C622" s="161"/>
      <c r="D622" s="150"/>
      <c r="E622" s="162"/>
      <c r="F622" s="152"/>
      <c r="G622"/>
      <c r="H622"/>
      <c r="I622"/>
      <c r="J622"/>
      <c r="K622"/>
      <c r="L622"/>
      <c r="M622"/>
      <c r="N622"/>
      <c r="O622"/>
      <c r="P622"/>
      <c r="Q622"/>
      <c r="R622"/>
      <c r="S622"/>
      <c r="T622"/>
      <c r="U622"/>
      <c r="V622"/>
      <c r="W622"/>
    </row>
    <row r="623" spans="2:23" outlineLevel="1">
      <c r="B623" s="148"/>
      <c r="C623" s="149"/>
      <c r="D623" s="150"/>
      <c r="E623" s="151"/>
      <c r="F623" s="152"/>
      <c r="G623"/>
      <c r="H623"/>
      <c r="I623"/>
      <c r="J623"/>
      <c r="K623"/>
      <c r="L623"/>
      <c r="M623"/>
      <c r="N623"/>
      <c r="O623"/>
      <c r="P623"/>
      <c r="Q623"/>
      <c r="R623"/>
      <c r="S623"/>
      <c r="T623"/>
      <c r="U623"/>
      <c r="V623"/>
      <c r="W623"/>
    </row>
    <row r="624" spans="2:23" outlineLevel="1">
      <c r="B624" s="160"/>
      <c r="C624" s="161"/>
      <c r="D624" s="150"/>
      <c r="E624" s="162"/>
      <c r="F624" s="152"/>
      <c r="G624"/>
      <c r="H624"/>
      <c r="I624"/>
      <c r="J624"/>
      <c r="K624"/>
      <c r="L624"/>
      <c r="M624"/>
      <c r="N624"/>
      <c r="O624"/>
      <c r="P624"/>
      <c r="Q624"/>
      <c r="R624"/>
      <c r="S624"/>
      <c r="T624"/>
      <c r="U624"/>
      <c r="V624"/>
      <c r="W624"/>
    </row>
    <row r="625" spans="2:23" outlineLevel="1">
      <c r="B625" s="148"/>
      <c r="C625" s="149"/>
      <c r="D625" s="150"/>
      <c r="E625" s="151"/>
      <c r="F625" s="152"/>
      <c r="G625"/>
      <c r="H625"/>
      <c r="I625"/>
      <c r="J625"/>
      <c r="K625"/>
      <c r="L625"/>
      <c r="M625"/>
      <c r="N625"/>
      <c r="O625"/>
      <c r="P625"/>
      <c r="Q625"/>
      <c r="R625"/>
      <c r="S625"/>
      <c r="T625"/>
      <c r="U625"/>
      <c r="V625"/>
      <c r="W625"/>
    </row>
    <row r="626" spans="2:23" outlineLevel="1">
      <c r="B626" s="160"/>
      <c r="C626" s="161"/>
      <c r="D626" s="150"/>
      <c r="E626" s="162"/>
      <c r="F626" s="152"/>
      <c r="G626"/>
      <c r="H626"/>
      <c r="I626"/>
      <c r="J626"/>
      <c r="K626"/>
      <c r="L626"/>
      <c r="M626"/>
      <c r="N626"/>
      <c r="O626"/>
      <c r="P626"/>
      <c r="Q626"/>
      <c r="R626"/>
      <c r="S626"/>
      <c r="T626"/>
      <c r="U626"/>
      <c r="V626"/>
      <c r="W626"/>
    </row>
    <row r="627" spans="2:23" outlineLevel="1">
      <c r="B627" s="148"/>
      <c r="C627" s="149"/>
      <c r="D627" s="150"/>
      <c r="E627" s="151"/>
      <c r="F627" s="152"/>
      <c r="G627"/>
      <c r="H627"/>
      <c r="I627"/>
      <c r="J627"/>
      <c r="K627"/>
      <c r="L627"/>
      <c r="M627"/>
      <c r="N627"/>
      <c r="O627"/>
      <c r="P627"/>
      <c r="Q627"/>
      <c r="R627"/>
      <c r="S627"/>
      <c r="T627"/>
      <c r="U627"/>
      <c r="V627"/>
      <c r="W627"/>
    </row>
    <row r="628" spans="2:23" outlineLevel="1">
      <c r="B628" s="160"/>
      <c r="C628" s="161"/>
      <c r="D628" s="150"/>
      <c r="E628" s="162"/>
      <c r="F628" s="152"/>
      <c r="G628"/>
      <c r="H628"/>
      <c r="I628"/>
      <c r="J628"/>
      <c r="K628"/>
      <c r="L628"/>
      <c r="M628"/>
      <c r="N628"/>
      <c r="O628"/>
      <c r="P628"/>
      <c r="Q628"/>
      <c r="R628"/>
      <c r="S628"/>
      <c r="T628"/>
      <c r="U628"/>
      <c r="V628"/>
      <c r="W628"/>
    </row>
    <row r="629" spans="2:23" outlineLevel="1">
      <c r="B629" s="148"/>
      <c r="C629" s="149"/>
      <c r="D629" s="150"/>
      <c r="E629" s="151"/>
      <c r="F629" s="152"/>
      <c r="G629"/>
      <c r="H629"/>
      <c r="I629"/>
      <c r="J629"/>
      <c r="K629"/>
      <c r="L629"/>
      <c r="M629"/>
      <c r="N629"/>
      <c r="O629"/>
      <c r="P629"/>
      <c r="Q629"/>
      <c r="R629"/>
      <c r="S629"/>
      <c r="T629"/>
      <c r="U629"/>
      <c r="V629"/>
      <c r="W629"/>
    </row>
    <row r="630" spans="2:23" outlineLevel="1">
      <c r="B630" s="160"/>
      <c r="C630" s="161"/>
      <c r="D630" s="150"/>
      <c r="E630" s="162"/>
      <c r="F630" s="152"/>
      <c r="G630"/>
      <c r="H630"/>
      <c r="I630"/>
      <c r="J630"/>
      <c r="K630"/>
      <c r="L630"/>
      <c r="M630"/>
      <c r="N630"/>
      <c r="O630"/>
      <c r="P630"/>
      <c r="Q630"/>
      <c r="R630"/>
      <c r="S630"/>
      <c r="T630"/>
      <c r="U630"/>
      <c r="V630"/>
      <c r="W630"/>
    </row>
    <row r="631" spans="2:23" outlineLevel="1">
      <c r="B631" s="148"/>
      <c r="C631" s="149"/>
      <c r="D631" s="150"/>
      <c r="E631" s="151"/>
      <c r="F631" s="152"/>
      <c r="G631"/>
      <c r="H631"/>
      <c r="I631"/>
      <c r="J631"/>
      <c r="K631"/>
      <c r="L631"/>
      <c r="M631"/>
      <c r="N631"/>
      <c r="O631"/>
      <c r="P631"/>
      <c r="Q631"/>
      <c r="R631"/>
      <c r="S631"/>
      <c r="T631"/>
      <c r="U631"/>
      <c r="V631"/>
      <c r="W631"/>
    </row>
    <row r="632" spans="2:23" outlineLevel="1">
      <c r="B632" s="160"/>
      <c r="C632" s="161"/>
      <c r="D632" s="150"/>
      <c r="E632" s="162"/>
      <c r="F632" s="152"/>
      <c r="G632"/>
      <c r="H632"/>
      <c r="I632"/>
      <c r="J632"/>
      <c r="K632"/>
      <c r="L632"/>
      <c r="M632"/>
      <c r="N632"/>
      <c r="O632"/>
      <c r="P632"/>
      <c r="Q632"/>
      <c r="R632"/>
      <c r="S632"/>
      <c r="T632"/>
      <c r="U632"/>
      <c r="V632"/>
      <c r="W632"/>
    </row>
    <row r="633" spans="2:23" outlineLevel="1">
      <c r="B633" s="148"/>
      <c r="C633" s="149"/>
      <c r="D633" s="150"/>
      <c r="E633" s="151"/>
      <c r="F633" s="152"/>
      <c r="G633"/>
      <c r="H633"/>
      <c r="I633"/>
      <c r="J633"/>
      <c r="K633"/>
      <c r="L633"/>
      <c r="M633"/>
      <c r="N633"/>
      <c r="O633"/>
      <c r="P633"/>
      <c r="Q633"/>
      <c r="R633"/>
      <c r="S633"/>
      <c r="T633"/>
      <c r="U633"/>
      <c r="V633"/>
      <c r="W633"/>
    </row>
    <row r="634" spans="2:23" outlineLevel="1">
      <c r="B634" s="160"/>
      <c r="C634" s="161"/>
      <c r="D634" s="150"/>
      <c r="E634" s="162"/>
      <c r="F634" s="152"/>
      <c r="G634"/>
      <c r="H634"/>
      <c r="I634"/>
      <c r="J634"/>
      <c r="K634"/>
      <c r="L634"/>
      <c r="M634"/>
      <c r="N634"/>
      <c r="O634"/>
      <c r="P634"/>
      <c r="Q634"/>
      <c r="R634"/>
      <c r="S634"/>
      <c r="T634"/>
      <c r="U634"/>
      <c r="V634"/>
      <c r="W634"/>
    </row>
    <row r="635" spans="2:23" outlineLevel="1">
      <c r="B635" s="148"/>
      <c r="C635" s="149"/>
      <c r="D635" s="150"/>
      <c r="E635" s="151"/>
      <c r="F635" s="152"/>
      <c r="G635"/>
      <c r="H635"/>
      <c r="I635"/>
      <c r="J635"/>
      <c r="K635"/>
      <c r="L635"/>
      <c r="M635"/>
      <c r="N635"/>
      <c r="O635"/>
      <c r="P635"/>
      <c r="Q635"/>
      <c r="R635"/>
      <c r="S635"/>
      <c r="T635"/>
      <c r="U635"/>
      <c r="V635"/>
      <c r="W635"/>
    </row>
    <row r="636" spans="2:23" outlineLevel="1">
      <c r="B636" s="160"/>
      <c r="C636" s="161"/>
      <c r="D636" s="150"/>
      <c r="E636" s="162"/>
      <c r="F636" s="152"/>
      <c r="G636"/>
      <c r="H636"/>
      <c r="I636"/>
      <c r="J636"/>
      <c r="K636"/>
      <c r="L636"/>
      <c r="M636"/>
      <c r="N636"/>
      <c r="O636"/>
      <c r="P636"/>
      <c r="Q636"/>
      <c r="R636"/>
      <c r="S636"/>
      <c r="T636"/>
      <c r="U636"/>
      <c r="V636"/>
      <c r="W636"/>
    </row>
    <row r="637" spans="2:23" outlineLevel="1">
      <c r="B637" s="148"/>
      <c r="C637" s="149"/>
      <c r="D637" s="150"/>
      <c r="E637" s="151"/>
      <c r="F637" s="152"/>
      <c r="G637"/>
      <c r="H637"/>
      <c r="I637"/>
      <c r="J637"/>
      <c r="K637"/>
      <c r="L637"/>
      <c r="M637"/>
      <c r="N637"/>
      <c r="O637"/>
      <c r="P637"/>
      <c r="Q637"/>
      <c r="R637"/>
      <c r="S637"/>
      <c r="T637"/>
      <c r="U637"/>
      <c r="V637"/>
      <c r="W637"/>
    </row>
    <row r="638" spans="2:23" outlineLevel="1">
      <c r="B638" s="160"/>
      <c r="C638" s="161"/>
      <c r="D638" s="150"/>
      <c r="E638" s="162"/>
      <c r="F638" s="152"/>
      <c r="G638"/>
      <c r="H638"/>
      <c r="I638"/>
      <c r="J638"/>
      <c r="K638"/>
      <c r="L638"/>
      <c r="M638"/>
      <c r="N638"/>
      <c r="O638"/>
      <c r="P638"/>
      <c r="Q638"/>
      <c r="R638"/>
      <c r="S638"/>
      <c r="T638"/>
      <c r="U638"/>
      <c r="V638"/>
      <c r="W638"/>
    </row>
    <row r="639" spans="2:23" outlineLevel="1">
      <c r="B639" s="148"/>
      <c r="C639" s="149"/>
      <c r="D639" s="150"/>
      <c r="E639" s="151"/>
      <c r="F639" s="152"/>
      <c r="G639"/>
      <c r="H639"/>
      <c r="I639"/>
      <c r="J639"/>
      <c r="K639"/>
      <c r="L639"/>
      <c r="M639"/>
      <c r="N639"/>
      <c r="O639"/>
      <c r="P639"/>
      <c r="Q639"/>
      <c r="R639"/>
      <c r="S639"/>
      <c r="T639"/>
      <c r="U639"/>
      <c r="V639"/>
      <c r="W639"/>
    </row>
    <row r="640" spans="2:23" outlineLevel="1">
      <c r="B640" s="160"/>
      <c r="C640" s="161"/>
      <c r="D640" s="150"/>
      <c r="E640" s="162"/>
      <c r="F640" s="152"/>
      <c r="G640"/>
      <c r="H640"/>
      <c r="I640"/>
      <c r="J640"/>
      <c r="K640"/>
      <c r="L640"/>
      <c r="M640"/>
      <c r="N640"/>
      <c r="O640"/>
      <c r="P640"/>
      <c r="Q640"/>
      <c r="R640"/>
      <c r="S640"/>
      <c r="T640"/>
      <c r="U640"/>
      <c r="V640"/>
      <c r="W640"/>
    </row>
    <row r="641" spans="2:23" outlineLevel="1">
      <c r="B641" s="148"/>
      <c r="C641" s="149"/>
      <c r="D641" s="150"/>
      <c r="E641" s="151"/>
      <c r="F641" s="152"/>
      <c r="G641"/>
      <c r="H641"/>
      <c r="I641"/>
      <c r="J641"/>
      <c r="K641"/>
      <c r="L641"/>
      <c r="M641"/>
      <c r="N641"/>
      <c r="O641"/>
      <c r="P641"/>
      <c r="Q641"/>
      <c r="R641"/>
      <c r="S641"/>
      <c r="T641"/>
      <c r="U641"/>
      <c r="V641"/>
      <c r="W641"/>
    </row>
    <row r="642" spans="2:23" outlineLevel="1">
      <c r="B642" s="160"/>
      <c r="C642" s="161"/>
      <c r="D642" s="150"/>
      <c r="E642" s="162"/>
      <c r="F642" s="152"/>
      <c r="G642"/>
      <c r="H642"/>
      <c r="I642"/>
      <c r="J642"/>
      <c r="K642"/>
      <c r="L642"/>
      <c r="M642"/>
      <c r="N642"/>
      <c r="O642"/>
      <c r="P642"/>
      <c r="Q642"/>
      <c r="R642"/>
      <c r="S642"/>
      <c r="T642"/>
      <c r="U642"/>
      <c r="V642"/>
      <c r="W642"/>
    </row>
    <row r="643" spans="2:23" outlineLevel="1">
      <c r="B643" s="148"/>
      <c r="C643" s="149"/>
      <c r="D643" s="150"/>
      <c r="E643" s="151"/>
      <c r="F643" s="152"/>
      <c r="G643"/>
      <c r="H643"/>
      <c r="I643"/>
      <c r="J643"/>
      <c r="K643"/>
      <c r="L643"/>
      <c r="M643"/>
      <c r="N643"/>
      <c r="O643"/>
      <c r="P643"/>
      <c r="Q643"/>
      <c r="R643"/>
      <c r="S643"/>
      <c r="T643"/>
      <c r="U643"/>
      <c r="V643"/>
      <c r="W643"/>
    </row>
    <row r="644" spans="2:23" outlineLevel="1">
      <c r="B644" s="160"/>
      <c r="C644" s="161"/>
      <c r="D644" s="150"/>
      <c r="E644" s="162"/>
      <c r="F644" s="152"/>
      <c r="G644"/>
      <c r="H644"/>
      <c r="I644"/>
      <c r="J644"/>
      <c r="K644"/>
      <c r="L644"/>
      <c r="M644"/>
      <c r="N644"/>
      <c r="O644"/>
      <c r="P644"/>
      <c r="Q644"/>
      <c r="R644"/>
      <c r="S644"/>
      <c r="T644"/>
      <c r="U644"/>
      <c r="V644"/>
      <c r="W644"/>
    </row>
    <row r="645" spans="2:23" outlineLevel="1">
      <c r="B645" s="148"/>
      <c r="C645" s="149"/>
      <c r="D645" s="150"/>
      <c r="E645" s="151"/>
      <c r="F645" s="152"/>
      <c r="G645"/>
      <c r="H645"/>
      <c r="I645"/>
      <c r="J645"/>
      <c r="K645"/>
      <c r="L645"/>
      <c r="M645"/>
      <c r="N645"/>
      <c r="O645"/>
      <c r="P645"/>
      <c r="Q645"/>
      <c r="R645"/>
      <c r="S645"/>
      <c r="T645"/>
      <c r="U645"/>
      <c r="V645"/>
      <c r="W645"/>
    </row>
    <row r="646" spans="2:23" outlineLevel="1">
      <c r="B646" s="160"/>
      <c r="C646" s="161"/>
      <c r="D646" s="150"/>
      <c r="E646" s="162"/>
      <c r="F646" s="152"/>
      <c r="G646"/>
      <c r="H646"/>
      <c r="I646"/>
      <c r="J646"/>
      <c r="K646"/>
      <c r="L646"/>
      <c r="M646"/>
      <c r="N646"/>
      <c r="O646"/>
      <c r="P646"/>
      <c r="Q646"/>
      <c r="R646"/>
      <c r="S646"/>
      <c r="T646"/>
      <c r="U646"/>
      <c r="V646"/>
      <c r="W646"/>
    </row>
    <row r="647" spans="2:23" outlineLevel="1">
      <c r="B647" s="148"/>
      <c r="C647" s="149"/>
      <c r="D647" s="150"/>
      <c r="E647" s="151"/>
      <c r="F647" s="152"/>
      <c r="G647"/>
      <c r="H647"/>
      <c r="I647"/>
      <c r="J647"/>
      <c r="K647"/>
      <c r="L647"/>
      <c r="M647"/>
      <c r="N647"/>
      <c r="O647"/>
      <c r="P647"/>
      <c r="Q647"/>
      <c r="R647"/>
      <c r="S647"/>
      <c r="T647"/>
      <c r="U647"/>
      <c r="V647"/>
      <c r="W647"/>
    </row>
    <row r="648" spans="2:23" outlineLevel="1">
      <c r="B648" s="160"/>
      <c r="C648" s="161"/>
      <c r="D648" s="150"/>
      <c r="E648" s="162"/>
      <c r="F648" s="152"/>
      <c r="G648"/>
      <c r="H648"/>
      <c r="I648"/>
      <c r="J648"/>
      <c r="K648"/>
      <c r="L648"/>
      <c r="M648"/>
      <c r="N648"/>
      <c r="O648"/>
      <c r="P648"/>
      <c r="Q648"/>
      <c r="R648"/>
      <c r="S648"/>
      <c r="T648"/>
      <c r="U648"/>
      <c r="V648"/>
      <c r="W648"/>
    </row>
    <row r="649" spans="2:23" outlineLevel="1">
      <c r="B649" s="148"/>
      <c r="C649" s="149"/>
      <c r="D649" s="150"/>
      <c r="E649" s="151"/>
      <c r="F649" s="152"/>
      <c r="G649"/>
      <c r="H649"/>
      <c r="I649"/>
      <c r="J649"/>
      <c r="K649"/>
      <c r="L649"/>
      <c r="M649"/>
      <c r="N649"/>
      <c r="O649"/>
      <c r="P649"/>
      <c r="Q649"/>
      <c r="R649"/>
      <c r="S649"/>
      <c r="T649"/>
      <c r="U649"/>
      <c r="V649"/>
      <c r="W649"/>
    </row>
    <row r="650" spans="2:23" outlineLevel="1">
      <c r="B650" s="160"/>
      <c r="C650" s="161"/>
      <c r="D650" s="150"/>
      <c r="E650" s="162"/>
      <c r="F650" s="152"/>
      <c r="G650"/>
      <c r="H650"/>
      <c r="I650"/>
      <c r="J650"/>
      <c r="K650"/>
      <c r="L650"/>
      <c r="M650"/>
      <c r="N650"/>
      <c r="O650"/>
      <c r="P650"/>
      <c r="Q650"/>
      <c r="R650"/>
      <c r="S650"/>
      <c r="T650"/>
      <c r="U650"/>
      <c r="V650"/>
      <c r="W650"/>
    </row>
    <row r="651" spans="2:23" outlineLevel="1">
      <c r="B651" s="148"/>
      <c r="C651" s="149"/>
      <c r="D651" s="150"/>
      <c r="E651" s="151"/>
      <c r="F651" s="152"/>
      <c r="G651"/>
      <c r="H651"/>
      <c r="I651"/>
      <c r="J651"/>
      <c r="K651"/>
      <c r="L651"/>
      <c r="M651"/>
      <c r="N651"/>
      <c r="O651"/>
      <c r="P651"/>
      <c r="Q651"/>
      <c r="R651"/>
      <c r="S651"/>
      <c r="T651"/>
      <c r="U651"/>
      <c r="V651"/>
      <c r="W651"/>
    </row>
    <row r="652" spans="2:23" outlineLevel="1">
      <c r="B652" s="160"/>
      <c r="C652" s="161"/>
      <c r="D652" s="150"/>
      <c r="E652" s="162"/>
      <c r="F652" s="152"/>
      <c r="G652"/>
      <c r="H652"/>
      <c r="I652"/>
      <c r="J652"/>
      <c r="K652"/>
      <c r="L652"/>
      <c r="M652"/>
      <c r="N652"/>
      <c r="O652"/>
      <c r="P652"/>
      <c r="Q652"/>
      <c r="R652"/>
      <c r="S652"/>
      <c r="T652"/>
      <c r="U652"/>
      <c r="V652"/>
      <c r="W652"/>
    </row>
    <row r="653" spans="2:23" outlineLevel="1">
      <c r="B653" s="148"/>
      <c r="C653" s="149"/>
      <c r="D653" s="150"/>
      <c r="E653" s="151"/>
      <c r="F653" s="152"/>
      <c r="G653"/>
      <c r="H653"/>
      <c r="I653"/>
      <c r="J653"/>
      <c r="K653"/>
      <c r="L653"/>
      <c r="M653"/>
      <c r="N653"/>
      <c r="O653"/>
      <c r="P653"/>
      <c r="Q653"/>
      <c r="R653"/>
      <c r="S653"/>
      <c r="T653"/>
      <c r="U653"/>
      <c r="V653"/>
      <c r="W653"/>
    </row>
    <row r="654" spans="2:23" outlineLevel="1">
      <c r="B654" s="160"/>
      <c r="C654" s="161"/>
      <c r="D654" s="150"/>
      <c r="E654" s="162"/>
      <c r="F654" s="152"/>
      <c r="G654"/>
      <c r="H654"/>
      <c r="I654"/>
      <c r="J654"/>
      <c r="K654"/>
      <c r="L654"/>
      <c r="M654"/>
      <c r="N654"/>
      <c r="O654"/>
      <c r="P654"/>
      <c r="Q654"/>
      <c r="R654"/>
      <c r="S654"/>
      <c r="T654"/>
      <c r="U654"/>
      <c r="V654"/>
      <c r="W654"/>
    </row>
    <row r="655" spans="2:23" outlineLevel="1">
      <c r="B655" s="148"/>
      <c r="C655" s="149"/>
      <c r="D655" s="150"/>
      <c r="E655" s="151"/>
      <c r="F655" s="152"/>
      <c r="G655"/>
      <c r="H655"/>
      <c r="I655"/>
      <c r="J655"/>
      <c r="K655"/>
      <c r="L655"/>
      <c r="M655"/>
      <c r="N655"/>
      <c r="O655"/>
      <c r="P655"/>
      <c r="Q655"/>
      <c r="R655"/>
      <c r="S655"/>
      <c r="T655"/>
      <c r="U655"/>
      <c r="V655"/>
      <c r="W655"/>
    </row>
    <row r="656" spans="2:23" outlineLevel="1">
      <c r="B656" s="160"/>
      <c r="C656" s="161"/>
      <c r="D656" s="150"/>
      <c r="E656" s="162"/>
      <c r="F656" s="152"/>
      <c r="G656"/>
      <c r="H656"/>
      <c r="I656"/>
      <c r="J656"/>
      <c r="K656"/>
      <c r="L656"/>
      <c r="M656"/>
      <c r="N656"/>
      <c r="O656"/>
      <c r="P656"/>
      <c r="Q656"/>
      <c r="R656"/>
      <c r="S656"/>
      <c r="T656"/>
      <c r="U656"/>
      <c r="V656"/>
      <c r="W656"/>
    </row>
    <row r="657" spans="2:23" outlineLevel="1">
      <c r="B657" s="148"/>
      <c r="C657" s="149"/>
      <c r="D657" s="150"/>
      <c r="E657" s="151"/>
      <c r="F657" s="152"/>
      <c r="G657"/>
      <c r="H657"/>
      <c r="I657"/>
      <c r="J657"/>
      <c r="K657"/>
      <c r="L657"/>
      <c r="M657"/>
      <c r="N657"/>
      <c r="O657"/>
      <c r="P657"/>
      <c r="Q657"/>
      <c r="R657"/>
      <c r="S657"/>
      <c r="T657"/>
      <c r="U657"/>
      <c r="V657"/>
      <c r="W657"/>
    </row>
    <row r="658" spans="2:23" outlineLevel="1">
      <c r="B658" s="160"/>
      <c r="C658" s="161"/>
      <c r="D658" s="150"/>
      <c r="E658" s="162"/>
      <c r="F658" s="152"/>
      <c r="G658"/>
      <c r="H658"/>
      <c r="I658"/>
      <c r="J658"/>
      <c r="K658"/>
      <c r="L658"/>
      <c r="M658"/>
      <c r="N658"/>
      <c r="O658"/>
      <c r="P658"/>
      <c r="Q658"/>
      <c r="R658"/>
      <c r="S658"/>
      <c r="T658"/>
      <c r="U658"/>
      <c r="V658"/>
      <c r="W658"/>
    </row>
    <row r="659" spans="2:23" outlineLevel="1">
      <c r="B659" s="148"/>
      <c r="C659" s="149"/>
      <c r="D659" s="150"/>
      <c r="E659" s="151"/>
      <c r="F659" s="152"/>
      <c r="G659"/>
      <c r="H659"/>
      <c r="I659"/>
      <c r="J659"/>
      <c r="K659"/>
      <c r="L659"/>
      <c r="M659"/>
      <c r="N659"/>
      <c r="O659"/>
      <c r="P659"/>
      <c r="Q659"/>
      <c r="R659"/>
      <c r="S659"/>
      <c r="T659"/>
      <c r="U659"/>
      <c r="V659"/>
      <c r="W659"/>
    </row>
    <row r="660" spans="2:23" outlineLevel="1">
      <c r="B660" s="160"/>
      <c r="C660" s="161"/>
      <c r="D660" s="150"/>
      <c r="E660" s="162"/>
      <c r="F660" s="152"/>
      <c r="G660"/>
      <c r="H660"/>
      <c r="I660"/>
      <c r="J660"/>
      <c r="K660"/>
      <c r="L660"/>
      <c r="M660"/>
      <c r="N660"/>
      <c r="O660"/>
      <c r="P660"/>
      <c r="Q660"/>
      <c r="R660"/>
      <c r="S660"/>
      <c r="T660"/>
      <c r="U660"/>
      <c r="V660"/>
      <c r="W660"/>
    </row>
    <row r="661" spans="2:23" outlineLevel="1">
      <c r="B661" s="148"/>
      <c r="C661" s="149"/>
      <c r="D661" s="150"/>
      <c r="E661" s="151"/>
      <c r="F661" s="152"/>
      <c r="G661"/>
      <c r="H661"/>
      <c r="I661"/>
      <c r="J661"/>
      <c r="K661"/>
      <c r="L661"/>
      <c r="M661"/>
      <c r="N661"/>
      <c r="O661"/>
      <c r="P661"/>
      <c r="Q661"/>
      <c r="R661"/>
      <c r="S661"/>
      <c r="T661"/>
      <c r="U661"/>
      <c r="V661"/>
      <c r="W661"/>
    </row>
    <row r="662" spans="2:23" outlineLevel="1">
      <c r="B662" s="160"/>
      <c r="C662" s="161"/>
      <c r="D662" s="150"/>
      <c r="E662" s="162"/>
      <c r="F662" s="152"/>
      <c r="G662"/>
      <c r="H662"/>
      <c r="I662"/>
      <c r="J662"/>
      <c r="K662"/>
      <c r="L662"/>
      <c r="M662"/>
      <c r="N662"/>
      <c r="O662"/>
      <c r="P662"/>
      <c r="Q662"/>
      <c r="R662"/>
      <c r="S662"/>
      <c r="T662"/>
      <c r="U662"/>
      <c r="V662"/>
      <c r="W662"/>
    </row>
    <row r="663" spans="2:23" outlineLevel="1">
      <c r="B663" s="148"/>
      <c r="C663" s="149"/>
      <c r="D663" s="150"/>
      <c r="E663" s="151"/>
      <c r="F663" s="152"/>
      <c r="G663"/>
      <c r="H663"/>
      <c r="I663"/>
      <c r="J663"/>
      <c r="K663"/>
      <c r="L663"/>
      <c r="M663"/>
      <c r="N663"/>
      <c r="O663"/>
      <c r="P663"/>
      <c r="Q663"/>
      <c r="R663"/>
      <c r="S663"/>
      <c r="T663"/>
      <c r="U663"/>
      <c r="V663"/>
      <c r="W663"/>
    </row>
    <row r="664" spans="2:23">
      <c r="B664" s="93" t="s">
        <v>2213</v>
      </c>
      <c r="C664" s="89"/>
      <c r="D664" s="90"/>
      <c r="E664" s="166"/>
      <c r="F664" s="97"/>
      <c r="G664"/>
    </row>
    <row r="665" spans="2:23">
      <c r="B665"/>
    </row>
  </sheetData>
  <sheetProtection algorithmName="SHA-512" hashValue="FZCFYY8TCxHXVaUW6edJ5pNz/yk7oSVr5bdM7tEaavbcvacXJSMC54GqgliJSmf0GnA5k2wrfSAhIrVWNOIHxQ==" saltValue="8P8Fs8ZpSguctWRtoZHhVA==" spinCount="100000" sheet="1" objects="1" scenarios="1"/>
  <mergeCells count="26">
    <mergeCell ref="H22:J22"/>
    <mergeCell ref="H25:J25"/>
    <mergeCell ref="H26:J26"/>
    <mergeCell ref="H27:J27"/>
    <mergeCell ref="H28:J28"/>
    <mergeCell ref="H29:J29"/>
    <mergeCell ref="H30:J30"/>
    <mergeCell ref="H31:J31"/>
    <mergeCell ref="H32:J32"/>
    <mergeCell ref="H35:J35"/>
    <mergeCell ref="H37:J37"/>
    <mergeCell ref="H45:J45"/>
    <mergeCell ref="H48:I48"/>
    <mergeCell ref="H73:J73"/>
    <mergeCell ref="H76:J76"/>
    <mergeCell ref="H77:J77"/>
    <mergeCell ref="H78:J78"/>
    <mergeCell ref="H79:J79"/>
    <mergeCell ref="H80:J80"/>
    <mergeCell ref="H81:J81"/>
    <mergeCell ref="H99:I99"/>
    <mergeCell ref="H82:J82"/>
    <mergeCell ref="H83:J83"/>
    <mergeCell ref="H86:J86"/>
    <mergeCell ref="H88:J88"/>
    <mergeCell ref="H96:J96"/>
  </mergeCells>
  <phoneticPr fontId="59" type="noConversion"/>
  <conditionalFormatting sqref="G24">
    <cfRule type="expression" dxfId="9" priority="1" stopIfTrue="1">
      <formula>G24="Enable"</formula>
    </cfRule>
  </conditionalFormatting>
  <conditionalFormatting sqref="G36">
    <cfRule type="expression" dxfId="8" priority="2" stopIfTrue="1">
      <formula>G36="Enable"</formula>
    </cfRule>
  </conditionalFormatting>
  <conditionalFormatting sqref="G39">
    <cfRule type="expression" dxfId="7" priority="3" stopIfTrue="1">
      <formula>G39="Enable"</formula>
    </cfRule>
  </conditionalFormatting>
  <conditionalFormatting sqref="G43:G50">
    <cfRule type="expression" dxfId="6" priority="4" stopIfTrue="1">
      <formula>G43="Enable"</formula>
    </cfRule>
  </conditionalFormatting>
  <conditionalFormatting sqref="G61:G62">
    <cfRule type="expression" dxfId="5" priority="5" stopIfTrue="1">
      <formula>G61="Enable"</formula>
    </cfRule>
  </conditionalFormatting>
  <conditionalFormatting sqref="G75">
    <cfRule type="expression" dxfId="4" priority="6" stopIfTrue="1">
      <formula>G75="Enable"</formula>
    </cfRule>
  </conditionalFormatting>
  <conditionalFormatting sqref="G87">
    <cfRule type="expression" dxfId="3" priority="7" stopIfTrue="1">
      <formula>G87="Enable"</formula>
    </cfRule>
  </conditionalFormatting>
  <conditionalFormatting sqref="G90">
    <cfRule type="expression" dxfId="2" priority="8" stopIfTrue="1">
      <formula>G90="Enable"</formula>
    </cfRule>
  </conditionalFormatting>
  <conditionalFormatting sqref="G94:G101">
    <cfRule type="expression" dxfId="1" priority="9" stopIfTrue="1">
      <formula>G94="Enable"</formula>
    </cfRule>
  </conditionalFormatting>
  <conditionalFormatting sqref="G112:G113">
    <cfRule type="expression" dxfId="0" priority="10" stopIfTrue="1">
      <formula>G112="Enable"</formula>
    </cfRule>
  </conditionalFormatting>
  <dataValidations count="23">
    <dataValidation type="list" allowBlank="1" showInputMessage="1" showErrorMessage="1" sqref="W15 W66">
      <formula1>"Disable,Enable"</formula1>
    </dataValidation>
    <dataValidation type="list" allowBlank="1" showInputMessage="1" showErrorMessage="1" sqref="M15 O15 M66 O66">
      <formula1>"HSCK/2,HSCK/4,HSCK/8"</formula1>
    </dataValidation>
    <dataValidation type="list" allowBlank="1" showInputMessage="1" showErrorMessage="1" sqref="Q23 Q74">
      <formula1>"DSIrTrg Int Enb,DSIrTrg Int Dis"</formula1>
    </dataValidation>
    <dataValidation type="list" allowBlank="1" showInputMessage="1" showErrorMessage="1" sqref="P23 P74">
      <formula1>"DSILPTX Int Enb,DSILPTX Int Dis"</formula1>
    </dataValidation>
    <dataValidation type="list" allowBlank="1" showInputMessage="1" showErrorMessage="1" sqref="L23 L74">
      <formula1>"INIT Int Enb,INIT Int Dis"</formula1>
    </dataValidation>
    <dataValidation type="list" allowBlank="1" showInputMessage="1" showErrorMessage="1" sqref="M23 M74">
      <formula1>"ApErr Int Enb, ApErrInt Dis"</formula1>
    </dataValidation>
    <dataValidation type="list" allowBlank="1" showInputMessage="1" showErrorMessage="1" sqref="S23 S74">
      <formula1>"PR_TO Enb,PR_TO Dis"</formula1>
    </dataValidation>
    <dataValidation type="list" allowBlank="1" showInputMessage="1" showErrorMessage="1" sqref="N23 N74">
      <formula1>"DSIPrto Int Enb,DSIPrto Inte Dis"</formula1>
    </dataValidation>
    <dataValidation type="list" allowBlank="1" showInputMessage="1" showErrorMessage="1" sqref="O23 O74">
      <formula1>"DSIrErr Int Enb,DSIrErr Int Dis"</formula1>
    </dataValidation>
    <dataValidation type="list" allowBlank="1" showInputMessage="1" showErrorMessage="1" sqref="R23 R74">
      <formula1>"DSIrStat Int Enb,DSIrStat Int Dis"</formula1>
    </dataValidation>
    <dataValidation type="list" allowBlank="1" showInputMessage="1" showErrorMessage="1" sqref="W24 W75">
      <formula1>"Register,Input"</formula1>
    </dataValidation>
    <dataValidation type="list" allowBlank="1" showInputMessage="1" showErrorMessage="1" sqref="T23 T74">
      <formula1>"HSTX_TO Enb,HSTX_TO Dis"</formula1>
    </dataValidation>
    <dataValidation type="list" allowBlank="1" showInputMessage="1" showErrorMessage="1" sqref="U23 U74">
      <formula1>"IND_TO Enb,IND_TO Dis"</formula1>
    </dataValidation>
    <dataValidation type="list" allowBlank="1" showInputMessage="1" showErrorMessage="1" sqref="W23 W74">
      <formula1>"VHDELAY PRT,VHDELAY Reg"</formula1>
    </dataValidation>
    <dataValidation type="list" allowBlank="1" showInputMessage="1" showErrorMessage="1" sqref="G24 O33 U34 W34 G36 G39 G75 O84 U85 W85 G87 G90 G43:G50 G61:G62 G94:G101 G112:G113 Q33:Q34 Q84:Q85 S33:S34 S84:S85">
      <formula1>"Enable,Disable"</formula1>
    </dataValidation>
    <dataValidation type="list" allowBlank="1" showInputMessage="1" showErrorMessage="1" sqref="U24 U75">
      <formula1>"VFP, Specified Line, Immediate"</formula1>
    </dataValidation>
    <dataValidation type="list" allowBlank="1" showInputMessage="1" showErrorMessage="1" sqref="M33 M84">
      <formula1>"Forced to STOP, Keep Operation"</formula1>
    </dataValidation>
    <dataValidation type="list" allowBlank="1" showInputMessage="1" showErrorMessage="1" sqref="S36 U36 W36 O43 I47 K47 M47 O47 W47 J48:O48 T48 M49 O49 W49 S87 U87 W87 O94 I98 K98 M98 O98 W98 J99:O99 T99 M100 O100 W100 Q43:Q44 Q46:Q48 Q94:Q95 Q97:Q99 S43:S44 S47:S48 S94:S95 S98:S99 U43:U44 U46:U47 U94:U95 U97:U98 W43:W44 W94:W95">
      <formula1>"Mask,No Mask"</formula1>
    </dataValidation>
    <dataValidation type="list" allowBlank="1" showInputMessage="1" showErrorMessage="1" sqref="U39 O62 Q62 S62 U62 W62 U90 O113 Q113 S113 U113 W113">
      <formula1>"0,1,2,3"</formula1>
    </dataValidation>
    <dataValidation type="list" allowBlank="1" showInputMessage="1" showErrorMessage="1" sqref="O50 Q50 S50 U50 W50 O101 Q101 S101 U101 W101">
      <formula1>"0,1,2,3,4,5,6,7,8,9,10,11,12,13,14,15"</formula1>
    </dataValidation>
    <dataValidation type="list" allowBlank="1" showInputMessage="1" showErrorMessage="1" sqref="W39 W90">
      <formula1>"By Reg, By PORT"</formula1>
    </dataValidation>
    <dataValidation type="list" allowBlank="1" showInputMessage="1" showErrorMessage="1" sqref="O61 Q61 S61 U61 W61 O112 Q112 S112 U112 W112">
      <formula1>"No Add,25% Add,50% Add"</formula1>
    </dataValidation>
    <dataValidation type="list" allowBlank="1" showInputMessage="1" showErrorMessage="1" sqref="O117:O118 O406:O407">
      <formula1>"LP,HS"</formula1>
    </dataValidation>
  </dataValidations>
  <pageMargins left="0.75" right="0.75" top="1" bottom="1" header="0.5" footer="0.5"/>
  <pageSetup paperSize="9"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5" tint="0.59999389629810485"/>
  </sheetPr>
  <dimension ref="A1:BE40"/>
  <sheetViews>
    <sheetView showGridLines="0" zoomScale="75" zoomScaleNormal="75" workbookViewId="0">
      <selection activeCell="K16" sqref="K16"/>
    </sheetView>
  </sheetViews>
  <sheetFormatPr defaultColWidth="9" defaultRowHeight="14.25"/>
  <cols>
    <col min="1" max="1" width="3.375" style="1" customWidth="1"/>
    <col min="2" max="2" width="7.875" style="1" customWidth="1"/>
    <col min="3" max="3" width="29" style="1" customWidth="1"/>
    <col min="4" max="4" width="11" style="1" customWidth="1"/>
    <col min="5" max="5" width="12.625" style="2" customWidth="1"/>
    <col min="6" max="6" width="63.25" style="1" customWidth="1"/>
    <col min="7" max="7" width="5.625" style="1" customWidth="1"/>
    <col min="8" max="8" width="21" style="1" customWidth="1"/>
    <col min="9" max="9" width="13" style="1" customWidth="1"/>
    <col min="10" max="10" width="15.75" style="1" customWidth="1"/>
    <col min="11" max="11" width="12.625" style="1" customWidth="1"/>
    <col min="12" max="12" width="15.75" style="1" customWidth="1"/>
    <col min="13" max="13" width="14.5" style="1" customWidth="1"/>
    <col min="14" max="14" width="16.125" style="1" customWidth="1"/>
    <col min="15" max="15" width="12.625" style="1" customWidth="1"/>
    <col min="16" max="16" width="15.5" style="1" customWidth="1"/>
    <col min="17" max="17" width="12.625" style="1" customWidth="1"/>
    <col min="18" max="18" width="14.375" style="1" customWidth="1"/>
    <col min="19" max="19" width="12.625" style="1" customWidth="1"/>
    <col min="20" max="20" width="14" style="1" customWidth="1"/>
    <col min="21" max="21" width="12.625" style="1" customWidth="1"/>
    <col min="22" max="22" width="14" style="1" customWidth="1"/>
    <col min="23" max="23" width="13.75" style="1" customWidth="1"/>
    <col min="24" max="24" width="7.875" style="47" hidden="1" customWidth="1"/>
    <col min="25" max="31" width="4" style="47" hidden="1" customWidth="1"/>
    <col min="32" max="32" width="5" style="47" hidden="1" customWidth="1"/>
    <col min="33" max="38" width="4" style="47" hidden="1" customWidth="1"/>
    <col min="39" max="39" width="5" style="47" hidden="1" customWidth="1"/>
    <col min="40" max="40" width="4" style="47" hidden="1" customWidth="1"/>
    <col min="41" max="41" width="7.125" style="47" hidden="1" customWidth="1"/>
    <col min="42" max="42" width="2.875" style="47" hidden="1" customWidth="1"/>
    <col min="43" max="43" width="3" style="47" hidden="1" customWidth="1"/>
    <col min="44" max="44" width="3.625" style="47" hidden="1" customWidth="1"/>
    <col min="45" max="45" width="3.375" style="47" hidden="1" customWidth="1"/>
    <col min="46" max="46" width="3.5" style="47" hidden="1" customWidth="1"/>
    <col min="47" max="47" width="3" style="47" hidden="1" customWidth="1"/>
    <col min="48" max="48" width="3.5" style="47" hidden="1" customWidth="1"/>
    <col min="49" max="49" width="3" style="47" hidden="1" customWidth="1"/>
    <col min="50" max="50" width="3.125" style="47" hidden="1" customWidth="1"/>
    <col min="51" max="51" width="2.875" style="47" hidden="1" customWidth="1"/>
    <col min="52" max="52" width="3.5" style="47" hidden="1" customWidth="1"/>
    <col min="53" max="53" width="3" style="47" hidden="1" customWidth="1"/>
    <col min="54" max="54" width="3.375" style="47" hidden="1" customWidth="1"/>
    <col min="55" max="55" width="3.125" style="47" hidden="1" customWidth="1"/>
    <col min="56" max="56" width="3.875" style="47" hidden="1" customWidth="1"/>
    <col min="57" max="57" width="11.375" style="47" hidden="1" customWidth="1"/>
    <col min="58" max="16384" width="9" style="1"/>
  </cols>
  <sheetData>
    <row r="1" spans="1:34" s="47" customFormat="1" ht="18">
      <c r="A1" s="1"/>
      <c r="B1" s="3" t="s">
        <v>2242</v>
      </c>
      <c r="C1" s="3"/>
      <c r="D1" s="1"/>
      <c r="E1" s="2"/>
      <c r="F1" s="4"/>
      <c r="G1" s="5" t="s">
        <v>17</v>
      </c>
      <c r="H1"/>
      <c r="I1" s="1"/>
      <c r="J1" s="43"/>
      <c r="K1" s="20"/>
      <c r="L1" s="1"/>
      <c r="M1" s="1"/>
      <c r="N1" s="1"/>
      <c r="O1" s="1"/>
      <c r="P1" s="1"/>
      <c r="Q1" s="1"/>
      <c r="R1" s="1"/>
      <c r="S1" s="1"/>
      <c r="T1" s="1"/>
      <c r="U1" s="1"/>
      <c r="V1" s="1"/>
      <c r="W1" s="1"/>
    </row>
    <row r="2" spans="1:34" s="47" customFormat="1" ht="18">
      <c r="A2" s="1"/>
      <c r="B2" s="1" t="s">
        <v>1611</v>
      </c>
      <c r="C2" s="1"/>
      <c r="D2" s="1"/>
      <c r="E2" s="2"/>
      <c r="F2" s="1"/>
      <c r="G2" s="1"/>
      <c r="H2" s="4" t="s">
        <v>695</v>
      </c>
      <c r="I2" s="20"/>
      <c r="J2" s="20"/>
      <c r="K2" s="20"/>
      <c r="L2" s="20"/>
      <c r="M2" s="20"/>
      <c r="N2" s="20"/>
      <c r="O2" s="20"/>
      <c r="P2" s="20"/>
      <c r="Q2" s="1"/>
      <c r="R2" s="1"/>
      <c r="S2" s="1"/>
      <c r="T2" s="1"/>
      <c r="U2" s="1"/>
      <c r="V2" s="1"/>
      <c r="W2" s="1"/>
    </row>
    <row r="3" spans="1:34" s="47" customFormat="1" ht="13.5" customHeight="1">
      <c r="A3" s="1"/>
      <c r="B3" s="1" t="s">
        <v>1612</v>
      </c>
      <c r="C3" s="7"/>
      <c r="D3" s="8"/>
      <c r="E3" s="9"/>
      <c r="F3" s="8"/>
      <c r="G3" s="8"/>
      <c r="H3" s="8"/>
      <c r="I3" s="20"/>
      <c r="J3" s="20"/>
      <c r="K3" s="20"/>
      <c r="L3" s="20"/>
      <c r="M3" s="20"/>
      <c r="N3" s="20"/>
      <c r="O3" s="20"/>
      <c r="P3" s="20"/>
      <c r="Q3" s="20"/>
      <c r="R3" s="20"/>
      <c r="S3" s="20"/>
      <c r="T3" s="20"/>
      <c r="U3" s="20"/>
      <c r="V3" s="20"/>
      <c r="W3" s="20"/>
      <c r="X3" s="63"/>
      <c r="AH3" s="63"/>
    </row>
    <row r="4" spans="1:34" s="47" customFormat="1" ht="13.5" customHeight="1">
      <c r="A4" s="1"/>
      <c r="B4" s="1"/>
      <c r="C4" s="7"/>
      <c r="D4" s="8"/>
      <c r="E4" s="9"/>
      <c r="F4" s="8"/>
      <c r="G4" s="8"/>
      <c r="H4" s="8"/>
      <c r="I4" s="20"/>
      <c r="J4" s="20"/>
      <c r="K4" s="20"/>
      <c r="L4" s="20"/>
      <c r="M4" s="20"/>
      <c r="N4" s="20"/>
      <c r="O4" s="20"/>
      <c r="P4" s="20"/>
      <c r="Q4" s="20"/>
      <c r="R4" s="20"/>
      <c r="S4" s="20"/>
      <c r="T4" s="20"/>
      <c r="U4" s="20"/>
      <c r="V4" s="20"/>
      <c r="W4" s="20"/>
      <c r="X4" s="63"/>
      <c r="AH4" s="63"/>
    </row>
    <row r="5" spans="1:34" s="47" customFormat="1" ht="13.5" customHeight="1">
      <c r="A5" s="1"/>
      <c r="B5" s="48"/>
      <c r="C5" s="7" t="s">
        <v>2243</v>
      </c>
      <c r="D5" s="8"/>
      <c r="E5" s="9"/>
      <c r="F5" s="8"/>
      <c r="G5" s="8"/>
      <c r="H5" s="8"/>
      <c r="I5" s="20"/>
      <c r="J5" s="20"/>
      <c r="K5" s="20"/>
      <c r="L5" s="20"/>
      <c r="M5" s="20"/>
      <c r="N5" s="20"/>
      <c r="O5" s="20"/>
      <c r="P5" s="20"/>
      <c r="Q5" s="20"/>
      <c r="R5" s="20"/>
      <c r="S5" s="20"/>
      <c r="T5" s="20"/>
      <c r="U5" s="20"/>
      <c r="V5" s="20"/>
      <c r="W5" s="20"/>
      <c r="X5" s="63"/>
      <c r="AH5" s="63"/>
    </row>
    <row r="6" spans="1:34" s="47" customFormat="1" ht="15">
      <c r="A6" s="1"/>
      <c r="B6" s="10"/>
      <c r="C6" s="7"/>
      <c r="D6" s="8"/>
      <c r="E6" s="9"/>
      <c r="F6" s="8"/>
      <c r="G6" s="8"/>
      <c r="H6" s="11"/>
      <c r="I6" s="20"/>
      <c r="J6" s="20"/>
      <c r="K6" s="20"/>
      <c r="L6" s="20"/>
      <c r="M6" s="20"/>
      <c r="N6" s="20"/>
      <c r="O6" s="20"/>
      <c r="P6" s="20"/>
      <c r="Q6" s="20"/>
      <c r="R6" s="20"/>
      <c r="S6" s="20"/>
      <c r="T6" s="20"/>
      <c r="U6" s="20"/>
      <c r="V6" s="20"/>
      <c r="W6" s="20"/>
      <c r="X6" s="63"/>
      <c r="AH6" s="63"/>
    </row>
    <row r="7" spans="1:34" s="47" customFormat="1" ht="18.75">
      <c r="A7" s="1"/>
      <c r="B7" s="12" t="s">
        <v>2244</v>
      </c>
      <c r="C7" s="13"/>
      <c r="D7" s="13"/>
      <c r="E7" s="14"/>
      <c r="F7" s="15"/>
      <c r="G7" s="1"/>
      <c r="H7" s="1"/>
      <c r="I7" s="20"/>
      <c r="J7" s="20"/>
      <c r="K7" s="20"/>
      <c r="L7" s="20"/>
      <c r="M7" s="20"/>
      <c r="N7" s="20"/>
      <c r="O7" s="20"/>
      <c r="P7" s="20"/>
      <c r="Q7" s="20"/>
      <c r="R7" s="20"/>
      <c r="S7" s="20"/>
      <c r="T7" s="20"/>
      <c r="U7" s="20"/>
      <c r="V7" s="20"/>
      <c r="W7" s="20"/>
      <c r="X7" s="63"/>
      <c r="AH7" s="63"/>
    </row>
    <row r="8" spans="1:34" s="47" customFormat="1" ht="15">
      <c r="A8" s="1"/>
      <c r="B8" s="16" t="s">
        <v>1614</v>
      </c>
      <c r="C8" s="16" t="s">
        <v>1615</v>
      </c>
      <c r="D8" s="16" t="s">
        <v>1616</v>
      </c>
      <c r="E8" s="17" t="s">
        <v>1617</v>
      </c>
      <c r="F8" s="18" t="s">
        <v>1618</v>
      </c>
      <c r="G8" s="19"/>
      <c r="H8" s="20"/>
      <c r="I8" s="20"/>
      <c r="J8" s="20"/>
      <c r="K8" s="20"/>
      <c r="L8" s="20"/>
      <c r="M8" s="20"/>
      <c r="N8" s="20"/>
      <c r="O8" s="20"/>
      <c r="P8" s="20"/>
      <c r="Q8" s="20"/>
      <c r="R8" s="20"/>
      <c r="S8" s="20"/>
      <c r="T8" s="20"/>
      <c r="U8" s="20"/>
      <c r="V8" s="20"/>
      <c r="W8" s="20"/>
      <c r="X8" s="63"/>
      <c r="AH8" s="63"/>
    </row>
    <row r="9" spans="1:34" s="47" customFormat="1">
      <c r="A9" s="1"/>
      <c r="B9" s="27" t="s">
        <v>1032</v>
      </c>
      <c r="C9" s="28" t="s">
        <v>2245</v>
      </c>
      <c r="D9" s="28"/>
      <c r="E9" s="29"/>
      <c r="F9" s="30"/>
      <c r="G9" s="20"/>
      <c r="I9" s="20"/>
      <c r="J9" s="20"/>
      <c r="K9" s="20"/>
      <c r="L9" s="20"/>
      <c r="M9" s="20"/>
      <c r="N9" s="20"/>
      <c r="O9" s="20"/>
      <c r="P9" s="20"/>
      <c r="Q9" s="20"/>
      <c r="R9" s="20"/>
      <c r="S9" s="20"/>
      <c r="T9" s="20"/>
      <c r="U9" s="20"/>
      <c r="V9" s="20"/>
      <c r="W9" s="20"/>
    </row>
    <row r="10" spans="1:34" s="47" customFormat="1" ht="15">
      <c r="A10" s="1"/>
      <c r="B10" s="49" t="s">
        <v>1032</v>
      </c>
      <c r="C10" s="50" t="s">
        <v>2246</v>
      </c>
      <c r="D10" s="50"/>
      <c r="E10" s="50"/>
      <c r="F10" s="50"/>
      <c r="G10" s="20"/>
      <c r="H10" s="51" t="s">
        <v>2247</v>
      </c>
      <c r="I10" s="20"/>
      <c r="J10" s="20"/>
      <c r="K10" s="20"/>
      <c r="L10" s="20"/>
      <c r="M10" s="20"/>
      <c r="N10" s="20"/>
      <c r="O10" s="20"/>
      <c r="P10" s="20"/>
      <c r="Q10" s="20"/>
      <c r="R10" s="20"/>
      <c r="S10" s="20"/>
      <c r="T10" s="20"/>
      <c r="U10" s="20"/>
      <c r="V10" s="20"/>
      <c r="W10" s="20"/>
    </row>
    <row r="11" spans="1:34" ht="15">
      <c r="B11" s="52" t="s">
        <v>1622</v>
      </c>
      <c r="C11" s="33" t="s">
        <v>1623</v>
      </c>
      <c r="D11" s="519" t="s">
        <v>954</v>
      </c>
      <c r="E11" s="53" t="str">
        <f>DEC2HEX(HEX2DEC(Main_Parameters!$C$119)-3,4)</f>
        <v>0C34</v>
      </c>
      <c r="F11" s="41" t="s">
        <v>2248</v>
      </c>
      <c r="G11" s="20"/>
      <c r="H11" s="54" t="s">
        <v>802</v>
      </c>
      <c r="I11" s="20"/>
      <c r="J11" s="20"/>
      <c r="K11" s="20"/>
      <c r="L11" s="20"/>
      <c r="M11" s="20"/>
      <c r="N11" s="20"/>
      <c r="O11" s="20"/>
      <c r="P11" s="20"/>
      <c r="Q11" s="20"/>
      <c r="R11" s="20"/>
      <c r="S11" s="20"/>
      <c r="T11" s="20"/>
      <c r="U11" s="20"/>
      <c r="V11" s="20"/>
      <c r="W11" s="20"/>
    </row>
    <row r="12" spans="1:34">
      <c r="B12" s="52" t="s">
        <v>1622</v>
      </c>
      <c r="C12" s="33" t="s">
        <v>2132</v>
      </c>
      <c r="D12" s="519" t="s">
        <v>2133</v>
      </c>
      <c r="E12" s="520" t="str">
        <f>IF(H11="DSI0","0000",IF(H11="DSI1","0002","0004"))</f>
        <v>0000</v>
      </c>
      <c r="F12" s="41"/>
      <c r="G12" s="20"/>
      <c r="H12" s="51" t="s">
        <v>2249</v>
      </c>
      <c r="I12" s="20"/>
      <c r="J12" s="20"/>
      <c r="K12" s="20"/>
      <c r="L12" s="20"/>
      <c r="M12" s="20"/>
      <c r="N12" s="20"/>
      <c r="O12" s="20"/>
      <c r="P12" s="20"/>
      <c r="Q12" s="20"/>
      <c r="R12" s="20"/>
      <c r="S12" s="20"/>
      <c r="T12" s="20"/>
      <c r="U12" s="20"/>
      <c r="V12" s="20"/>
      <c r="W12" s="20"/>
    </row>
    <row r="13" spans="1:34" ht="15">
      <c r="B13" s="52" t="s">
        <v>1622</v>
      </c>
      <c r="C13" s="33" t="s">
        <v>2141</v>
      </c>
      <c r="D13" s="519" t="s">
        <v>2142</v>
      </c>
      <c r="E13" s="520" t="str">
        <f>IF(H13="Generic RD no","0004",IF(H13="Generic RD 1","0014",IF(H13="Generic RD 2","0024","0006")))</f>
        <v>0006</v>
      </c>
      <c r="F13" s="41" t="s">
        <v>2250</v>
      </c>
      <c r="G13" s="20"/>
      <c r="H13" s="54" t="s">
        <v>2251</v>
      </c>
      <c r="I13" s="20"/>
      <c r="J13" s="20"/>
      <c r="K13" s="20"/>
      <c r="L13" s="20"/>
      <c r="M13" s="20"/>
      <c r="N13" s="20"/>
      <c r="O13" s="20"/>
      <c r="P13" s="20"/>
      <c r="Q13" s="20"/>
      <c r="R13" s="20"/>
      <c r="S13" s="20"/>
      <c r="T13" s="20"/>
      <c r="U13" s="20"/>
      <c r="V13" s="20"/>
      <c r="W13" s="20"/>
    </row>
    <row r="14" spans="1:34">
      <c r="B14" s="52" t="s">
        <v>1622</v>
      </c>
      <c r="C14" s="33" t="s">
        <v>2141</v>
      </c>
      <c r="D14" s="519" t="s">
        <v>2142</v>
      </c>
      <c r="E14" s="521" t="s">
        <v>2252</v>
      </c>
      <c r="F14" s="41" t="s">
        <v>2253</v>
      </c>
      <c r="G14" s="20"/>
      <c r="H14" s="20"/>
      <c r="I14" s="20"/>
      <c r="J14" s="20"/>
      <c r="K14" s="20"/>
      <c r="L14" s="20"/>
      <c r="M14" s="20"/>
      <c r="N14" s="20"/>
      <c r="O14" s="20"/>
      <c r="P14" s="20"/>
      <c r="Q14" s="20"/>
      <c r="R14" s="20"/>
      <c r="S14" s="20"/>
      <c r="T14" s="20"/>
      <c r="U14" s="20"/>
      <c r="V14" s="20"/>
      <c r="W14" s="20"/>
    </row>
    <row r="15" spans="1:34">
      <c r="B15" s="52" t="s">
        <v>1872</v>
      </c>
      <c r="C15" s="33"/>
      <c r="D15" s="40">
        <v>10000</v>
      </c>
      <c r="E15" s="55"/>
      <c r="F15" s="41" t="s">
        <v>2254</v>
      </c>
      <c r="G15" s="20"/>
      <c r="H15" s="20"/>
      <c r="I15" s="20"/>
      <c r="J15" s="20"/>
      <c r="K15" s="20"/>
      <c r="L15" s="20"/>
      <c r="M15" s="20"/>
      <c r="N15" s="20"/>
      <c r="O15" s="20"/>
      <c r="P15" s="20"/>
      <c r="Q15" s="20"/>
      <c r="R15" s="20"/>
      <c r="S15" s="20"/>
      <c r="T15" s="20"/>
      <c r="U15" s="20"/>
      <c r="V15" s="20"/>
      <c r="W15" s="20"/>
    </row>
    <row r="16" spans="1:34" ht="42.75">
      <c r="B16" s="52" t="s">
        <v>2255</v>
      </c>
      <c r="C16" s="33" t="s">
        <v>2256</v>
      </c>
      <c r="D16" s="522" t="str">
        <f>IF(H11="DSI0","01A0","03A0")</f>
        <v>01A0</v>
      </c>
      <c r="E16" s="523" t="s">
        <v>2257</v>
      </c>
      <c r="F16" s="56" t="s">
        <v>2258</v>
      </c>
      <c r="G16" s="20"/>
      <c r="H16" s="20"/>
      <c r="I16" s="20"/>
      <c r="J16" s="20"/>
      <c r="K16" s="20"/>
      <c r="L16" s="20"/>
      <c r="M16" s="20"/>
      <c r="N16" s="20"/>
      <c r="O16" s="20"/>
      <c r="P16" s="20"/>
      <c r="Q16" s="20"/>
      <c r="R16" s="20"/>
      <c r="S16" s="20"/>
      <c r="T16" s="20"/>
      <c r="U16" s="20"/>
      <c r="V16" s="20"/>
      <c r="W16" s="20"/>
    </row>
    <row r="17" spans="1:23">
      <c r="B17" s="57" t="s">
        <v>2259</v>
      </c>
      <c r="C17" s="58" t="s">
        <v>2260</v>
      </c>
      <c r="D17" s="40"/>
      <c r="E17" s="55"/>
      <c r="F17" s="41"/>
      <c r="G17" s="20"/>
      <c r="H17" s="20"/>
      <c r="I17" s="20"/>
      <c r="J17" s="20"/>
      <c r="K17" s="20"/>
      <c r="L17" s="20"/>
      <c r="M17" s="20"/>
      <c r="N17" s="20"/>
      <c r="O17" s="20"/>
      <c r="P17" s="20"/>
      <c r="Q17" s="20"/>
      <c r="R17" s="20"/>
      <c r="S17" s="20"/>
      <c r="T17" s="20"/>
      <c r="U17" s="20"/>
      <c r="V17" s="20"/>
      <c r="W17" s="20"/>
    </row>
    <row r="18" spans="1:23">
      <c r="B18" s="52" t="s">
        <v>2207</v>
      </c>
      <c r="C18" s="33" t="s">
        <v>2256</v>
      </c>
      <c r="D18" s="522" t="str">
        <f>IF(H11="DSI0","01A0","03A0")</f>
        <v>01A0</v>
      </c>
      <c r="E18" s="524" t="s">
        <v>2261</v>
      </c>
      <c r="F18" s="41" t="s">
        <v>2262</v>
      </c>
      <c r="G18" s="20"/>
      <c r="H18" s="20"/>
      <c r="I18" s="20"/>
      <c r="J18" s="20"/>
      <c r="K18" s="20"/>
      <c r="L18" s="20"/>
      <c r="M18" s="20"/>
      <c r="N18" s="20"/>
      <c r="O18" s="20"/>
      <c r="P18" s="20"/>
      <c r="Q18" s="20"/>
      <c r="R18" s="20"/>
      <c r="S18" s="20"/>
      <c r="T18" s="20"/>
      <c r="U18" s="20"/>
      <c r="V18" s="20"/>
      <c r="W18" s="20"/>
    </row>
    <row r="19" spans="1:23" ht="42.75">
      <c r="B19" s="52" t="s">
        <v>2255</v>
      </c>
      <c r="C19" s="33" t="s">
        <v>2263</v>
      </c>
      <c r="D19" s="522" t="str">
        <f>IF(H11="DSI0","01BC","03BC")</f>
        <v>01BC</v>
      </c>
      <c r="E19" s="55"/>
      <c r="F19" s="56" t="s">
        <v>2264</v>
      </c>
      <c r="G19" s="20"/>
      <c r="H19" s="20"/>
      <c r="I19" s="20"/>
      <c r="J19" s="20"/>
      <c r="K19" s="20"/>
      <c r="L19" s="20"/>
      <c r="M19" s="20"/>
      <c r="N19" s="20"/>
      <c r="O19" s="20"/>
      <c r="P19" s="20"/>
      <c r="Q19" s="20"/>
      <c r="R19" s="20"/>
      <c r="S19" s="20"/>
      <c r="T19" s="20"/>
      <c r="U19" s="20"/>
      <c r="V19" s="20"/>
      <c r="W19" s="20"/>
    </row>
    <row r="20" spans="1:23">
      <c r="B20" s="57" t="s">
        <v>1032</v>
      </c>
      <c r="C20" s="58" t="s">
        <v>2265</v>
      </c>
      <c r="D20" s="59"/>
      <c r="E20" s="57"/>
      <c r="F20" s="58"/>
      <c r="G20" s="20"/>
      <c r="H20" s="20"/>
      <c r="I20" s="20"/>
      <c r="J20" s="20"/>
      <c r="K20" s="20"/>
      <c r="L20" s="20"/>
      <c r="M20" s="20"/>
      <c r="N20" s="20"/>
      <c r="O20" s="20"/>
      <c r="P20" s="20"/>
      <c r="Q20" s="20"/>
      <c r="R20" s="20"/>
      <c r="S20" s="20"/>
      <c r="T20" s="20"/>
      <c r="U20" s="20"/>
      <c r="V20" s="20"/>
      <c r="W20" s="20"/>
    </row>
    <row r="21" spans="1:23">
      <c r="B21" s="52" t="s">
        <v>2255</v>
      </c>
      <c r="C21" s="33" t="s">
        <v>2266</v>
      </c>
      <c r="D21" s="522" t="str">
        <f>IF(H11="DSI0","01C4","03C4")</f>
        <v>01C4</v>
      </c>
      <c r="E21" s="55"/>
      <c r="F21" s="41" t="s">
        <v>2267</v>
      </c>
      <c r="G21" s="20"/>
      <c r="H21" s="20"/>
      <c r="I21" s="20"/>
      <c r="J21" s="20"/>
      <c r="K21" s="20"/>
      <c r="L21" s="20"/>
      <c r="M21" s="20"/>
      <c r="N21" s="20"/>
      <c r="O21" s="20"/>
      <c r="P21" s="20"/>
      <c r="Q21" s="20"/>
      <c r="R21" s="20"/>
      <c r="S21" s="20"/>
      <c r="T21" s="20"/>
      <c r="U21" s="20"/>
      <c r="V21" s="20"/>
      <c r="W21" s="20"/>
    </row>
    <row r="22" spans="1:23" s="47" customFormat="1">
      <c r="A22" s="1"/>
      <c r="B22" s="52" t="s">
        <v>2255</v>
      </c>
      <c r="C22" s="33" t="s">
        <v>2268</v>
      </c>
      <c r="D22" s="522" t="str">
        <f>IF(H11="DSI0","01B8","03B8")</f>
        <v>01B8</v>
      </c>
      <c r="E22" s="55"/>
      <c r="F22" s="41" t="s">
        <v>2269</v>
      </c>
      <c r="G22" s="20"/>
      <c r="H22" s="20"/>
      <c r="I22" s="20"/>
      <c r="J22" s="20"/>
      <c r="K22" s="20"/>
      <c r="L22" s="20"/>
      <c r="M22" s="20"/>
      <c r="N22" s="20"/>
      <c r="O22" s="20"/>
      <c r="P22" s="20"/>
      <c r="Q22" s="20"/>
      <c r="R22" s="20"/>
      <c r="S22" s="20"/>
      <c r="T22" s="20"/>
      <c r="U22" s="20"/>
      <c r="V22" s="20"/>
      <c r="W22" s="20"/>
    </row>
    <row r="23" spans="1:23" s="47" customFormat="1">
      <c r="A23" s="1"/>
      <c r="B23" s="57" t="s">
        <v>1032</v>
      </c>
      <c r="C23" s="58" t="s">
        <v>2270</v>
      </c>
      <c r="D23" s="59"/>
      <c r="E23" s="57"/>
      <c r="F23" s="41"/>
      <c r="G23" s="20"/>
      <c r="H23" s="20"/>
      <c r="I23" s="20"/>
      <c r="J23" s="20"/>
      <c r="K23" s="20"/>
      <c r="L23" s="20"/>
      <c r="M23" s="20"/>
      <c r="N23" s="20"/>
      <c r="O23" s="20"/>
      <c r="P23" s="20"/>
      <c r="Q23" s="20"/>
      <c r="R23" s="20"/>
      <c r="S23" s="20"/>
      <c r="T23" s="20"/>
      <c r="U23" s="20"/>
      <c r="V23" s="20"/>
      <c r="W23" s="20"/>
    </row>
    <row r="24" spans="1:23" s="47" customFormat="1">
      <c r="A24" s="1"/>
      <c r="B24" s="52"/>
      <c r="C24" s="33"/>
      <c r="D24" s="40"/>
      <c r="E24" s="55"/>
      <c r="F24" s="41"/>
      <c r="G24" s="20"/>
      <c r="H24" s="20"/>
      <c r="I24" s="20"/>
      <c r="J24" s="20"/>
      <c r="K24" s="20"/>
      <c r="L24" s="20"/>
      <c r="M24" s="20"/>
      <c r="N24" s="20"/>
      <c r="O24" s="20"/>
      <c r="P24" s="20"/>
      <c r="Q24" s="20"/>
      <c r="R24" s="20"/>
      <c r="S24" s="20"/>
      <c r="T24" s="20"/>
      <c r="U24" s="20"/>
      <c r="V24" s="20"/>
      <c r="W24" s="20"/>
    </row>
    <row r="25" spans="1:23" s="47" customFormat="1">
      <c r="A25" s="1"/>
      <c r="B25" s="27" t="s">
        <v>1032</v>
      </c>
      <c r="C25" s="28" t="s">
        <v>2271</v>
      </c>
      <c r="D25" s="28"/>
      <c r="E25" s="29"/>
      <c r="F25" s="30"/>
      <c r="G25" s="20"/>
      <c r="H25" s="51" t="s">
        <v>2249</v>
      </c>
      <c r="I25" s="20"/>
      <c r="J25" s="20"/>
      <c r="K25" s="20"/>
      <c r="L25" s="20"/>
      <c r="M25" s="20"/>
      <c r="N25" s="20"/>
      <c r="O25" s="20"/>
      <c r="P25" s="20"/>
      <c r="Q25" s="20"/>
      <c r="R25" s="20"/>
      <c r="S25" s="20"/>
      <c r="T25" s="20"/>
      <c r="U25" s="20"/>
      <c r="V25" s="20"/>
      <c r="W25" s="20"/>
    </row>
    <row r="26" spans="1:23" ht="15">
      <c r="B26" s="52" t="s">
        <v>1622</v>
      </c>
      <c r="C26" s="33" t="s">
        <v>2141</v>
      </c>
      <c r="D26" s="519" t="s">
        <v>2142</v>
      </c>
      <c r="E26" s="520" t="str">
        <f>IF(H26="Generic Short WR no","0003",IF(H26="Generic Short WR 1","0013",IF(H26="Generic Short WR 2","0023",IF(H26="DCS Short WR no","0005",IF(H26="DCS Short WR 1","0015","0023")))))</f>
        <v>0005</v>
      </c>
      <c r="F26" s="41" t="s">
        <v>2250</v>
      </c>
      <c r="G26" s="20"/>
      <c r="H26" s="54" t="s">
        <v>2272</v>
      </c>
      <c r="I26" s="20"/>
      <c r="J26" s="20"/>
      <c r="K26" s="20"/>
      <c r="L26" s="20"/>
      <c r="M26" s="20"/>
      <c r="N26" s="20"/>
      <c r="O26" s="20"/>
      <c r="P26" s="20"/>
      <c r="Q26" s="20"/>
      <c r="R26" s="20"/>
      <c r="S26" s="20"/>
      <c r="T26" s="20"/>
      <c r="U26" s="20"/>
      <c r="V26" s="20"/>
      <c r="W26" s="20"/>
    </row>
    <row r="27" spans="1:23" s="47" customFormat="1">
      <c r="A27" s="1"/>
      <c r="B27" s="52" t="s">
        <v>1622</v>
      </c>
      <c r="C27" s="33" t="s">
        <v>2141</v>
      </c>
      <c r="D27" s="519" t="s">
        <v>2142</v>
      </c>
      <c r="E27" s="521" t="s">
        <v>2212</v>
      </c>
      <c r="F27" s="41" t="s">
        <v>2253</v>
      </c>
      <c r="G27" s="20"/>
      <c r="H27" s="20"/>
      <c r="I27" s="20"/>
      <c r="J27" s="20"/>
      <c r="K27" s="20"/>
      <c r="L27" s="20"/>
      <c r="M27" s="20"/>
      <c r="N27" s="20"/>
      <c r="O27" s="20"/>
      <c r="P27" s="20"/>
      <c r="Q27" s="20"/>
      <c r="R27" s="20"/>
      <c r="S27" s="20"/>
      <c r="T27" s="20"/>
      <c r="U27" s="20"/>
      <c r="V27" s="20"/>
      <c r="W27" s="20"/>
    </row>
    <row r="28" spans="1:23" s="47" customFormat="1">
      <c r="A28" s="1"/>
      <c r="B28" s="52" t="s">
        <v>1872</v>
      </c>
      <c r="C28" s="33"/>
      <c r="D28" s="55">
        <v>200</v>
      </c>
      <c r="E28" s="55"/>
      <c r="F28" s="41" t="s">
        <v>2273</v>
      </c>
      <c r="G28" s="20"/>
      <c r="H28" s="20"/>
      <c r="I28" s="20"/>
      <c r="J28" s="20"/>
      <c r="K28" s="20"/>
      <c r="L28" s="20"/>
      <c r="M28" s="20"/>
      <c r="N28" s="20"/>
      <c r="O28" s="20"/>
      <c r="P28" s="20"/>
      <c r="Q28" s="20"/>
      <c r="R28" s="20"/>
      <c r="S28" s="20"/>
      <c r="T28" s="20"/>
      <c r="U28" s="20"/>
      <c r="V28" s="20"/>
      <c r="W28" s="20"/>
    </row>
    <row r="29" spans="1:23" s="47" customFormat="1">
      <c r="A29" s="1"/>
      <c r="B29" s="52"/>
      <c r="C29" s="33"/>
      <c r="D29" s="55"/>
      <c r="E29" s="55"/>
      <c r="F29" s="41"/>
      <c r="G29" s="20"/>
      <c r="H29" s="20"/>
      <c r="I29" s="20"/>
      <c r="J29" s="20"/>
      <c r="K29" s="20"/>
      <c r="L29" s="20"/>
      <c r="M29" s="20"/>
      <c r="N29" s="20"/>
      <c r="O29" s="20"/>
      <c r="P29" s="20"/>
      <c r="Q29" s="20"/>
      <c r="R29" s="20"/>
      <c r="S29" s="20"/>
      <c r="T29" s="20"/>
      <c r="U29" s="20"/>
      <c r="V29" s="20"/>
      <c r="W29" s="20"/>
    </row>
    <row r="30" spans="1:23" s="47" customFormat="1">
      <c r="A30" s="1"/>
      <c r="B30" s="27" t="s">
        <v>1032</v>
      </c>
      <c r="C30" s="28" t="s">
        <v>2274</v>
      </c>
      <c r="D30" s="28"/>
      <c r="E30" s="29"/>
      <c r="F30" s="30"/>
      <c r="G30" s="20"/>
      <c r="H30" s="51" t="s">
        <v>2249</v>
      </c>
      <c r="I30" s="20"/>
      <c r="J30" s="20"/>
      <c r="K30" s="20"/>
      <c r="L30" s="20"/>
      <c r="M30" s="20"/>
      <c r="N30" s="20"/>
      <c r="O30" s="20"/>
      <c r="P30" s="20"/>
      <c r="Q30" s="20"/>
      <c r="R30" s="20"/>
      <c r="S30" s="20"/>
      <c r="T30" s="20"/>
      <c r="U30" s="20"/>
      <c r="V30" s="20"/>
      <c r="W30" s="20"/>
    </row>
    <row r="31" spans="1:23" ht="15">
      <c r="B31" s="52" t="s">
        <v>1622</v>
      </c>
      <c r="C31" s="33" t="s">
        <v>2141</v>
      </c>
      <c r="D31" s="519" t="s">
        <v>2142</v>
      </c>
      <c r="E31" s="520" t="str">
        <f>IF(H31="Generic Long WR","8029","8039")</f>
        <v>8039</v>
      </c>
      <c r="F31" s="41" t="s">
        <v>2250</v>
      </c>
      <c r="G31" s="20"/>
      <c r="H31" s="54" t="s">
        <v>2275</v>
      </c>
      <c r="I31" s="20"/>
      <c r="J31" s="20"/>
      <c r="K31" s="20"/>
      <c r="L31" s="20"/>
      <c r="M31" s="20"/>
      <c r="N31" s="20"/>
      <c r="O31" s="20"/>
      <c r="P31" s="20"/>
      <c r="Q31" s="20"/>
      <c r="R31" s="20"/>
      <c r="S31" s="20"/>
      <c r="T31" s="20"/>
      <c r="U31" s="20"/>
      <c r="V31" s="20"/>
      <c r="W31" s="20"/>
    </row>
    <row r="32" spans="1:23" s="47" customFormat="1">
      <c r="A32" s="1"/>
      <c r="B32" s="52" t="s">
        <v>1622</v>
      </c>
      <c r="C32" s="33" t="s">
        <v>2141</v>
      </c>
      <c r="D32" s="519" t="s">
        <v>2142</v>
      </c>
      <c r="E32" s="521" t="s">
        <v>2276</v>
      </c>
      <c r="F32" s="41" t="s">
        <v>2277</v>
      </c>
      <c r="G32" s="20"/>
      <c r="H32" s="20"/>
      <c r="I32" s="20"/>
      <c r="J32" s="20"/>
      <c r="K32" s="20"/>
      <c r="L32" s="20"/>
      <c r="M32" s="20"/>
      <c r="N32" s="20"/>
      <c r="O32" s="20"/>
      <c r="P32" s="20"/>
      <c r="Q32" s="20"/>
      <c r="R32" s="20"/>
      <c r="S32" s="20"/>
      <c r="T32" s="20"/>
      <c r="U32" s="20"/>
      <c r="V32" s="20"/>
      <c r="W32" s="20"/>
    </row>
    <row r="33" spans="1:23" s="47" customFormat="1">
      <c r="A33" s="1"/>
      <c r="B33" s="52" t="s">
        <v>1622</v>
      </c>
      <c r="C33" s="33" t="s">
        <v>2141</v>
      </c>
      <c r="D33" s="519" t="s">
        <v>2142</v>
      </c>
      <c r="E33" s="521" t="s">
        <v>2278</v>
      </c>
      <c r="F33" s="41" t="s">
        <v>2253</v>
      </c>
      <c r="G33" s="20"/>
      <c r="H33" s="20"/>
      <c r="I33" s="20"/>
      <c r="J33" s="20"/>
      <c r="K33" s="20"/>
      <c r="L33" s="20"/>
      <c r="M33" s="20"/>
      <c r="N33" s="20"/>
      <c r="O33" s="20"/>
      <c r="P33" s="20"/>
      <c r="Q33" s="20"/>
      <c r="R33" s="20"/>
      <c r="S33" s="20"/>
      <c r="T33" s="20"/>
      <c r="U33" s="20"/>
      <c r="V33" s="20"/>
      <c r="W33" s="20"/>
    </row>
    <row r="34" spans="1:23" s="47" customFormat="1">
      <c r="A34" s="1"/>
      <c r="B34" s="52" t="s">
        <v>1622</v>
      </c>
      <c r="C34" s="33" t="s">
        <v>2141</v>
      </c>
      <c r="D34" s="519" t="s">
        <v>2142</v>
      </c>
      <c r="E34" s="521" t="s">
        <v>2279</v>
      </c>
      <c r="F34" s="41" t="s">
        <v>2280</v>
      </c>
      <c r="G34" s="20"/>
      <c r="H34" s="20"/>
      <c r="I34" s="20"/>
      <c r="J34" s="20"/>
      <c r="K34" s="20"/>
      <c r="L34" s="20"/>
      <c r="M34" s="20"/>
      <c r="N34" s="20"/>
      <c r="O34" s="20"/>
      <c r="P34" s="20"/>
      <c r="Q34" s="20"/>
      <c r="R34" s="20"/>
      <c r="S34" s="20"/>
      <c r="T34" s="20"/>
      <c r="U34" s="20"/>
      <c r="V34" s="20"/>
      <c r="W34" s="20"/>
    </row>
    <row r="35" spans="1:23" s="47" customFormat="1">
      <c r="A35" s="1"/>
      <c r="B35" s="52" t="s">
        <v>1622</v>
      </c>
      <c r="C35" s="33" t="s">
        <v>2141</v>
      </c>
      <c r="D35" s="519" t="s">
        <v>2142</v>
      </c>
      <c r="E35" s="521" t="s">
        <v>2281</v>
      </c>
      <c r="F35" s="41" t="s">
        <v>2282</v>
      </c>
      <c r="G35" s="20"/>
      <c r="H35" s="20"/>
      <c r="I35" s="20"/>
      <c r="J35" s="20"/>
      <c r="K35" s="20"/>
      <c r="L35" s="20"/>
      <c r="M35" s="20"/>
      <c r="N35" s="20"/>
      <c r="O35" s="20"/>
      <c r="P35" s="20"/>
      <c r="Q35" s="20"/>
      <c r="R35" s="20"/>
      <c r="S35" s="20"/>
      <c r="T35" s="20"/>
      <c r="U35" s="20"/>
      <c r="V35" s="20"/>
      <c r="W35" s="20"/>
    </row>
    <row r="36" spans="1:23" s="47" customFormat="1">
      <c r="A36" s="1"/>
      <c r="B36" s="52" t="s">
        <v>1622</v>
      </c>
      <c r="C36" s="33" t="s">
        <v>2141</v>
      </c>
      <c r="D36" s="519" t="s">
        <v>2142</v>
      </c>
      <c r="E36" s="521" t="s">
        <v>2276</v>
      </c>
      <c r="F36" s="41" t="s">
        <v>2283</v>
      </c>
      <c r="G36" s="20"/>
      <c r="H36" s="20"/>
      <c r="I36" s="20"/>
      <c r="J36" s="20"/>
      <c r="K36" s="20"/>
      <c r="L36" s="20"/>
      <c r="M36" s="20"/>
      <c r="N36" s="20"/>
      <c r="O36" s="20"/>
      <c r="P36" s="20"/>
      <c r="Q36" s="20"/>
      <c r="R36" s="20"/>
      <c r="S36" s="20"/>
      <c r="T36" s="20"/>
      <c r="U36" s="20"/>
      <c r="V36" s="20"/>
      <c r="W36" s="20"/>
    </row>
    <row r="37" spans="1:23" s="47" customFormat="1">
      <c r="A37" s="1"/>
      <c r="B37" s="57" t="s">
        <v>1032</v>
      </c>
      <c r="C37" s="58" t="s">
        <v>2284</v>
      </c>
      <c r="D37" s="59"/>
      <c r="E37" s="57"/>
      <c r="F37" s="41"/>
      <c r="G37" s="20"/>
      <c r="H37" s="20"/>
      <c r="I37" s="20"/>
      <c r="J37" s="20"/>
      <c r="K37" s="20"/>
      <c r="L37" s="20"/>
      <c r="M37" s="20"/>
      <c r="N37" s="20"/>
      <c r="O37" s="20"/>
      <c r="P37" s="20"/>
      <c r="Q37" s="20"/>
      <c r="R37" s="20"/>
      <c r="S37" s="20"/>
      <c r="T37" s="20"/>
      <c r="U37" s="20"/>
      <c r="V37" s="20"/>
      <c r="W37" s="20"/>
    </row>
    <row r="38" spans="1:23" s="47" customFormat="1">
      <c r="A38" s="1"/>
      <c r="B38" s="52" t="s">
        <v>1872</v>
      </c>
      <c r="C38" s="33"/>
      <c r="D38" s="55">
        <v>200</v>
      </c>
      <c r="E38" s="55"/>
      <c r="F38" s="41" t="s">
        <v>2273</v>
      </c>
      <c r="G38" s="20"/>
      <c r="H38" s="20"/>
      <c r="I38" s="20"/>
      <c r="J38" s="20"/>
      <c r="K38" s="20"/>
      <c r="L38" s="20"/>
      <c r="M38" s="20"/>
      <c r="N38" s="20"/>
      <c r="O38" s="20"/>
      <c r="P38" s="20"/>
      <c r="Q38" s="20"/>
      <c r="R38" s="20"/>
      <c r="S38" s="20"/>
      <c r="T38" s="20"/>
      <c r="U38" s="20"/>
      <c r="V38" s="20"/>
      <c r="W38" s="20"/>
    </row>
    <row r="39" spans="1:23" s="47" customFormat="1">
      <c r="A39" s="1"/>
      <c r="B39" s="32" t="s">
        <v>2213</v>
      </c>
      <c r="C39" s="60"/>
      <c r="D39" s="61"/>
      <c r="E39" s="62"/>
      <c r="F39" s="36"/>
      <c r="G39" s="20"/>
      <c r="H39" s="1"/>
      <c r="I39" s="1"/>
      <c r="J39" s="1"/>
      <c r="K39" s="1"/>
      <c r="L39" s="1"/>
      <c r="M39" s="1"/>
      <c r="N39" s="1"/>
      <c r="O39" s="1"/>
      <c r="P39" s="1"/>
      <c r="Q39" s="1"/>
      <c r="R39" s="1"/>
      <c r="S39" s="1"/>
      <c r="T39" s="1"/>
      <c r="U39" s="1"/>
      <c r="V39" s="1"/>
      <c r="W39" s="1"/>
    </row>
    <row r="40" spans="1:23" s="47" customFormat="1">
      <c r="A40" s="1"/>
      <c r="B40" s="20"/>
      <c r="C40" s="1"/>
      <c r="D40" s="1"/>
      <c r="E40" s="2"/>
      <c r="F40" s="1"/>
      <c r="G40" s="1"/>
      <c r="H40" s="1"/>
      <c r="I40" s="1"/>
      <c r="J40" s="1"/>
      <c r="K40" s="1"/>
      <c r="L40" s="1"/>
      <c r="M40" s="1"/>
      <c r="N40" s="1"/>
      <c r="O40" s="1"/>
      <c r="P40" s="1"/>
      <c r="Q40" s="1"/>
      <c r="R40" s="1"/>
      <c r="S40" s="1"/>
      <c r="T40" s="1"/>
      <c r="U40" s="1"/>
      <c r="V40" s="1"/>
      <c r="W40" s="1"/>
    </row>
  </sheetData>
  <sheetProtection algorithmName="SHA-512" hashValue="XZzaKtxjt80l75GV9Miize0AWGgOpiZhhvzeApygFqK4+o2svGYYSYd+egVUH4ZY/BMM0PHwm5A21K4/u1j6Pg==" saltValue="SodFN6vS0QtVXSRpDcpf6w==" spinCount="100000" sheet="1" objects="1" scenarios="1"/>
  <phoneticPr fontId="59" type="noConversion"/>
  <dataValidations count="4">
    <dataValidation type="list" allowBlank="1" showInputMessage="1" showErrorMessage="1" sqref="H11">
      <formula1>"DSI0,DSI1,DSI0/DSI1"</formula1>
    </dataValidation>
    <dataValidation type="list" allowBlank="1" showInputMessage="1" showErrorMessage="1" sqref="H13">
      <formula1>"DCS RD no,Generic RD no,Generic RD 1,,Generic RD 2"</formula1>
    </dataValidation>
    <dataValidation type="list" allowBlank="1" showInputMessage="1" showErrorMessage="1" sqref="H26">
      <formula1>"DCS Short WR no,DCS Short WR 1,Generic Short WR no,Generic Short WR 1,Generic Short WR 2, Turn On Peripheral"</formula1>
    </dataValidation>
    <dataValidation type="list" allowBlank="1" showInputMessage="1" showErrorMessage="1" sqref="H31">
      <formula1>"DCS Long WR,Generic Long WR"</formula1>
    </dataValidation>
  </dataValidations>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7" tint="0.59999389629810485"/>
  </sheetPr>
  <dimension ref="B1:AN34"/>
  <sheetViews>
    <sheetView showGridLines="0" zoomScale="75" zoomScaleNormal="75" workbookViewId="0">
      <selection activeCell="E33" sqref="E33"/>
    </sheetView>
  </sheetViews>
  <sheetFormatPr defaultColWidth="9" defaultRowHeight="14.25"/>
  <cols>
    <col min="1" max="1" width="3.375" style="1" customWidth="1"/>
    <col min="2" max="2" width="7.875" style="1" customWidth="1"/>
    <col min="3" max="3" width="23.625" style="1" customWidth="1"/>
    <col min="4" max="4" width="11" style="1" customWidth="1"/>
    <col min="5" max="5" width="12.625" style="2" customWidth="1"/>
    <col min="6" max="6" width="27.125" style="1" customWidth="1"/>
    <col min="7" max="7" width="5.25" style="1" customWidth="1"/>
    <col min="8" max="8" width="15.125" style="1" customWidth="1"/>
    <col min="9" max="9" width="15.75" style="1" customWidth="1"/>
    <col min="10" max="10" width="16.5" style="1" customWidth="1"/>
    <col min="11" max="23" width="12.625" style="1" customWidth="1"/>
    <col min="24" max="24" width="3.125" style="1" customWidth="1"/>
    <col min="25" max="31" width="3" style="1" customWidth="1"/>
    <col min="32" max="32" width="5" style="1" customWidth="1"/>
    <col min="33" max="38" width="3" style="1" customWidth="1"/>
    <col min="39" max="39" width="5" style="1" customWidth="1"/>
    <col min="40" max="40" width="3" style="1" customWidth="1"/>
    <col min="41" max="256" width="9" style="1"/>
    <col min="257" max="257" width="3.375" style="1" customWidth="1"/>
    <col min="258" max="258" width="7.875" style="1" customWidth="1"/>
    <col min="259" max="259" width="23.625" style="1" customWidth="1"/>
    <col min="260" max="260" width="11" style="1" customWidth="1"/>
    <col min="261" max="261" width="12.625" style="1" customWidth="1"/>
    <col min="262" max="262" width="27.125" style="1" customWidth="1"/>
    <col min="263" max="263" width="5.25" style="1" customWidth="1"/>
    <col min="264" max="264" width="15.125" style="1" customWidth="1"/>
    <col min="265" max="265" width="15.75" style="1" customWidth="1"/>
    <col min="266" max="266" width="16.5" style="1" customWidth="1"/>
    <col min="267" max="279" width="12.625" style="1" customWidth="1"/>
    <col min="280" max="280" width="3.125" style="1" customWidth="1"/>
    <col min="281" max="287" width="3" style="1" customWidth="1"/>
    <col min="288" max="288" width="5" style="1" customWidth="1"/>
    <col min="289" max="294" width="3" style="1" customWidth="1"/>
    <col min="295" max="295" width="5" style="1" customWidth="1"/>
    <col min="296" max="296" width="3" style="1" customWidth="1"/>
    <col min="297" max="512" width="9" style="1"/>
    <col min="513" max="513" width="3.375" style="1" customWidth="1"/>
    <col min="514" max="514" width="7.875" style="1" customWidth="1"/>
    <col min="515" max="515" width="23.625" style="1" customWidth="1"/>
    <col min="516" max="516" width="11" style="1" customWidth="1"/>
    <col min="517" max="517" width="12.625" style="1" customWidth="1"/>
    <col min="518" max="518" width="27.125" style="1" customWidth="1"/>
    <col min="519" max="519" width="5.25" style="1" customWidth="1"/>
    <col min="520" max="520" width="15.125" style="1" customWidth="1"/>
    <col min="521" max="521" width="15.75" style="1" customWidth="1"/>
    <col min="522" max="522" width="16.5" style="1" customWidth="1"/>
    <col min="523" max="535" width="12.625" style="1" customWidth="1"/>
    <col min="536" max="536" width="3.125" style="1" customWidth="1"/>
    <col min="537" max="543" width="3" style="1" customWidth="1"/>
    <col min="544" max="544" width="5" style="1" customWidth="1"/>
    <col min="545" max="550" width="3" style="1" customWidth="1"/>
    <col min="551" max="551" width="5" style="1" customWidth="1"/>
    <col min="552" max="552" width="3" style="1" customWidth="1"/>
    <col min="553" max="768" width="9" style="1"/>
    <col min="769" max="769" width="3.375" style="1" customWidth="1"/>
    <col min="770" max="770" width="7.875" style="1" customWidth="1"/>
    <col min="771" max="771" width="23.625" style="1" customWidth="1"/>
    <col min="772" max="772" width="11" style="1" customWidth="1"/>
    <col min="773" max="773" width="12.625" style="1" customWidth="1"/>
    <col min="774" max="774" width="27.125" style="1" customWidth="1"/>
    <col min="775" max="775" width="5.25" style="1" customWidth="1"/>
    <col min="776" max="776" width="15.125" style="1" customWidth="1"/>
    <col min="777" max="777" width="15.75" style="1" customWidth="1"/>
    <col min="778" max="778" width="16.5" style="1" customWidth="1"/>
    <col min="779" max="791" width="12.625" style="1" customWidth="1"/>
    <col min="792" max="792" width="3.125" style="1" customWidth="1"/>
    <col min="793" max="799" width="3" style="1" customWidth="1"/>
    <col min="800" max="800" width="5" style="1" customWidth="1"/>
    <col min="801" max="806" width="3" style="1" customWidth="1"/>
    <col min="807" max="807" width="5" style="1" customWidth="1"/>
    <col min="808" max="808" width="3" style="1" customWidth="1"/>
    <col min="809" max="1024" width="9" style="1"/>
    <col min="1025" max="1025" width="3.375" style="1" customWidth="1"/>
    <col min="1026" max="1026" width="7.875" style="1" customWidth="1"/>
    <col min="1027" max="1027" width="23.625" style="1" customWidth="1"/>
    <col min="1028" max="1028" width="11" style="1" customWidth="1"/>
    <col min="1029" max="1029" width="12.625" style="1" customWidth="1"/>
    <col min="1030" max="1030" width="27.125" style="1" customWidth="1"/>
    <col min="1031" max="1031" width="5.25" style="1" customWidth="1"/>
    <col min="1032" max="1032" width="15.125" style="1" customWidth="1"/>
    <col min="1033" max="1033" width="15.75" style="1" customWidth="1"/>
    <col min="1034" max="1034" width="16.5" style="1" customWidth="1"/>
    <col min="1035" max="1047" width="12.625" style="1" customWidth="1"/>
    <col min="1048" max="1048" width="3.125" style="1" customWidth="1"/>
    <col min="1049" max="1055" width="3" style="1" customWidth="1"/>
    <col min="1056" max="1056" width="5" style="1" customWidth="1"/>
    <col min="1057" max="1062" width="3" style="1" customWidth="1"/>
    <col min="1063" max="1063" width="5" style="1" customWidth="1"/>
    <col min="1064" max="1064" width="3" style="1" customWidth="1"/>
    <col min="1065" max="1280" width="9" style="1"/>
    <col min="1281" max="1281" width="3.375" style="1" customWidth="1"/>
    <col min="1282" max="1282" width="7.875" style="1" customWidth="1"/>
    <col min="1283" max="1283" width="23.625" style="1" customWidth="1"/>
    <col min="1284" max="1284" width="11" style="1" customWidth="1"/>
    <col min="1285" max="1285" width="12.625" style="1" customWidth="1"/>
    <col min="1286" max="1286" width="27.125" style="1" customWidth="1"/>
    <col min="1287" max="1287" width="5.25" style="1" customWidth="1"/>
    <col min="1288" max="1288" width="15.125" style="1" customWidth="1"/>
    <col min="1289" max="1289" width="15.75" style="1" customWidth="1"/>
    <col min="1290" max="1290" width="16.5" style="1" customWidth="1"/>
    <col min="1291" max="1303" width="12.625" style="1" customWidth="1"/>
    <col min="1304" max="1304" width="3.125" style="1" customWidth="1"/>
    <col min="1305" max="1311" width="3" style="1" customWidth="1"/>
    <col min="1312" max="1312" width="5" style="1" customWidth="1"/>
    <col min="1313" max="1318" width="3" style="1" customWidth="1"/>
    <col min="1319" max="1319" width="5" style="1" customWidth="1"/>
    <col min="1320" max="1320" width="3" style="1" customWidth="1"/>
    <col min="1321" max="1536" width="9" style="1"/>
    <col min="1537" max="1537" width="3.375" style="1" customWidth="1"/>
    <col min="1538" max="1538" width="7.875" style="1" customWidth="1"/>
    <col min="1539" max="1539" width="23.625" style="1" customWidth="1"/>
    <col min="1540" max="1540" width="11" style="1" customWidth="1"/>
    <col min="1541" max="1541" width="12.625" style="1" customWidth="1"/>
    <col min="1542" max="1542" width="27.125" style="1" customWidth="1"/>
    <col min="1543" max="1543" width="5.25" style="1" customWidth="1"/>
    <col min="1544" max="1544" width="15.125" style="1" customWidth="1"/>
    <col min="1545" max="1545" width="15.75" style="1" customWidth="1"/>
    <col min="1546" max="1546" width="16.5" style="1" customWidth="1"/>
    <col min="1547" max="1559" width="12.625" style="1" customWidth="1"/>
    <col min="1560" max="1560" width="3.125" style="1" customWidth="1"/>
    <col min="1561" max="1567" width="3" style="1" customWidth="1"/>
    <col min="1568" max="1568" width="5" style="1" customWidth="1"/>
    <col min="1569" max="1574" width="3" style="1" customWidth="1"/>
    <col min="1575" max="1575" width="5" style="1" customWidth="1"/>
    <col min="1576" max="1576" width="3" style="1" customWidth="1"/>
    <col min="1577" max="1792" width="9" style="1"/>
    <col min="1793" max="1793" width="3.375" style="1" customWidth="1"/>
    <col min="1794" max="1794" width="7.875" style="1" customWidth="1"/>
    <col min="1795" max="1795" width="23.625" style="1" customWidth="1"/>
    <col min="1796" max="1796" width="11" style="1" customWidth="1"/>
    <col min="1797" max="1797" width="12.625" style="1" customWidth="1"/>
    <col min="1798" max="1798" width="27.125" style="1" customWidth="1"/>
    <col min="1799" max="1799" width="5.25" style="1" customWidth="1"/>
    <col min="1800" max="1800" width="15.125" style="1" customWidth="1"/>
    <col min="1801" max="1801" width="15.75" style="1" customWidth="1"/>
    <col min="1802" max="1802" width="16.5" style="1" customWidth="1"/>
    <col min="1803" max="1815" width="12.625" style="1" customWidth="1"/>
    <col min="1816" max="1816" width="3.125" style="1" customWidth="1"/>
    <col min="1817" max="1823" width="3" style="1" customWidth="1"/>
    <col min="1824" max="1824" width="5" style="1" customWidth="1"/>
    <col min="1825" max="1830" width="3" style="1" customWidth="1"/>
    <col min="1831" max="1831" width="5" style="1" customWidth="1"/>
    <col min="1832" max="1832" width="3" style="1" customWidth="1"/>
    <col min="1833" max="2048" width="9" style="1"/>
    <col min="2049" max="2049" width="3.375" style="1" customWidth="1"/>
    <col min="2050" max="2050" width="7.875" style="1" customWidth="1"/>
    <col min="2051" max="2051" width="23.625" style="1" customWidth="1"/>
    <col min="2052" max="2052" width="11" style="1" customWidth="1"/>
    <col min="2053" max="2053" width="12.625" style="1" customWidth="1"/>
    <col min="2054" max="2054" width="27.125" style="1" customWidth="1"/>
    <col min="2055" max="2055" width="5.25" style="1" customWidth="1"/>
    <col min="2056" max="2056" width="15.125" style="1" customWidth="1"/>
    <col min="2057" max="2057" width="15.75" style="1" customWidth="1"/>
    <col min="2058" max="2058" width="16.5" style="1" customWidth="1"/>
    <col min="2059" max="2071" width="12.625" style="1" customWidth="1"/>
    <col min="2072" max="2072" width="3.125" style="1" customWidth="1"/>
    <col min="2073" max="2079" width="3" style="1" customWidth="1"/>
    <col min="2080" max="2080" width="5" style="1" customWidth="1"/>
    <col min="2081" max="2086" width="3" style="1" customWidth="1"/>
    <col min="2087" max="2087" width="5" style="1" customWidth="1"/>
    <col min="2088" max="2088" width="3" style="1" customWidth="1"/>
    <col min="2089" max="2304" width="9" style="1"/>
    <col min="2305" max="2305" width="3.375" style="1" customWidth="1"/>
    <col min="2306" max="2306" width="7.875" style="1" customWidth="1"/>
    <col min="2307" max="2307" width="23.625" style="1" customWidth="1"/>
    <col min="2308" max="2308" width="11" style="1" customWidth="1"/>
    <col min="2309" max="2309" width="12.625" style="1" customWidth="1"/>
    <col min="2310" max="2310" width="27.125" style="1" customWidth="1"/>
    <col min="2311" max="2311" width="5.25" style="1" customWidth="1"/>
    <col min="2312" max="2312" width="15.125" style="1" customWidth="1"/>
    <col min="2313" max="2313" width="15.75" style="1" customWidth="1"/>
    <col min="2314" max="2314" width="16.5" style="1" customWidth="1"/>
    <col min="2315" max="2327" width="12.625" style="1" customWidth="1"/>
    <col min="2328" max="2328" width="3.125" style="1" customWidth="1"/>
    <col min="2329" max="2335" width="3" style="1" customWidth="1"/>
    <col min="2336" max="2336" width="5" style="1" customWidth="1"/>
    <col min="2337" max="2342" width="3" style="1" customWidth="1"/>
    <col min="2343" max="2343" width="5" style="1" customWidth="1"/>
    <col min="2344" max="2344" width="3" style="1" customWidth="1"/>
    <col min="2345" max="2560" width="9" style="1"/>
    <col min="2561" max="2561" width="3.375" style="1" customWidth="1"/>
    <col min="2562" max="2562" width="7.875" style="1" customWidth="1"/>
    <col min="2563" max="2563" width="23.625" style="1" customWidth="1"/>
    <col min="2564" max="2564" width="11" style="1" customWidth="1"/>
    <col min="2565" max="2565" width="12.625" style="1" customWidth="1"/>
    <col min="2566" max="2566" width="27.125" style="1" customWidth="1"/>
    <col min="2567" max="2567" width="5.25" style="1" customWidth="1"/>
    <col min="2568" max="2568" width="15.125" style="1" customWidth="1"/>
    <col min="2569" max="2569" width="15.75" style="1" customWidth="1"/>
    <col min="2570" max="2570" width="16.5" style="1" customWidth="1"/>
    <col min="2571" max="2583" width="12.625" style="1" customWidth="1"/>
    <col min="2584" max="2584" width="3.125" style="1" customWidth="1"/>
    <col min="2585" max="2591" width="3" style="1" customWidth="1"/>
    <col min="2592" max="2592" width="5" style="1" customWidth="1"/>
    <col min="2593" max="2598" width="3" style="1" customWidth="1"/>
    <col min="2599" max="2599" width="5" style="1" customWidth="1"/>
    <col min="2600" max="2600" width="3" style="1" customWidth="1"/>
    <col min="2601" max="2816" width="9" style="1"/>
    <col min="2817" max="2817" width="3.375" style="1" customWidth="1"/>
    <col min="2818" max="2818" width="7.875" style="1" customWidth="1"/>
    <col min="2819" max="2819" width="23.625" style="1" customWidth="1"/>
    <col min="2820" max="2820" width="11" style="1" customWidth="1"/>
    <col min="2821" max="2821" width="12.625" style="1" customWidth="1"/>
    <col min="2822" max="2822" width="27.125" style="1" customWidth="1"/>
    <col min="2823" max="2823" width="5.25" style="1" customWidth="1"/>
    <col min="2824" max="2824" width="15.125" style="1" customWidth="1"/>
    <col min="2825" max="2825" width="15.75" style="1" customWidth="1"/>
    <col min="2826" max="2826" width="16.5" style="1" customWidth="1"/>
    <col min="2827" max="2839" width="12.625" style="1" customWidth="1"/>
    <col min="2840" max="2840" width="3.125" style="1" customWidth="1"/>
    <col min="2841" max="2847" width="3" style="1" customWidth="1"/>
    <col min="2848" max="2848" width="5" style="1" customWidth="1"/>
    <col min="2849" max="2854" width="3" style="1" customWidth="1"/>
    <col min="2855" max="2855" width="5" style="1" customWidth="1"/>
    <col min="2856" max="2856" width="3" style="1" customWidth="1"/>
    <col min="2857" max="3072" width="9" style="1"/>
    <col min="3073" max="3073" width="3.375" style="1" customWidth="1"/>
    <col min="3074" max="3074" width="7.875" style="1" customWidth="1"/>
    <col min="3075" max="3075" width="23.625" style="1" customWidth="1"/>
    <col min="3076" max="3076" width="11" style="1" customWidth="1"/>
    <col min="3077" max="3077" width="12.625" style="1" customWidth="1"/>
    <col min="3078" max="3078" width="27.125" style="1" customWidth="1"/>
    <col min="3079" max="3079" width="5.25" style="1" customWidth="1"/>
    <col min="3080" max="3080" width="15.125" style="1" customWidth="1"/>
    <col min="3081" max="3081" width="15.75" style="1" customWidth="1"/>
    <col min="3082" max="3082" width="16.5" style="1" customWidth="1"/>
    <col min="3083" max="3095" width="12.625" style="1" customWidth="1"/>
    <col min="3096" max="3096" width="3.125" style="1" customWidth="1"/>
    <col min="3097" max="3103" width="3" style="1" customWidth="1"/>
    <col min="3104" max="3104" width="5" style="1" customWidth="1"/>
    <col min="3105" max="3110" width="3" style="1" customWidth="1"/>
    <col min="3111" max="3111" width="5" style="1" customWidth="1"/>
    <col min="3112" max="3112" width="3" style="1" customWidth="1"/>
    <col min="3113" max="3328" width="9" style="1"/>
    <col min="3329" max="3329" width="3.375" style="1" customWidth="1"/>
    <col min="3330" max="3330" width="7.875" style="1" customWidth="1"/>
    <col min="3331" max="3331" width="23.625" style="1" customWidth="1"/>
    <col min="3332" max="3332" width="11" style="1" customWidth="1"/>
    <col min="3333" max="3333" width="12.625" style="1" customWidth="1"/>
    <col min="3334" max="3334" width="27.125" style="1" customWidth="1"/>
    <col min="3335" max="3335" width="5.25" style="1" customWidth="1"/>
    <col min="3336" max="3336" width="15.125" style="1" customWidth="1"/>
    <col min="3337" max="3337" width="15.75" style="1" customWidth="1"/>
    <col min="3338" max="3338" width="16.5" style="1" customWidth="1"/>
    <col min="3339" max="3351" width="12.625" style="1" customWidth="1"/>
    <col min="3352" max="3352" width="3.125" style="1" customWidth="1"/>
    <col min="3353" max="3359" width="3" style="1" customWidth="1"/>
    <col min="3360" max="3360" width="5" style="1" customWidth="1"/>
    <col min="3361" max="3366" width="3" style="1" customWidth="1"/>
    <col min="3367" max="3367" width="5" style="1" customWidth="1"/>
    <col min="3368" max="3368" width="3" style="1" customWidth="1"/>
    <col min="3369" max="3584" width="9" style="1"/>
    <col min="3585" max="3585" width="3.375" style="1" customWidth="1"/>
    <col min="3586" max="3586" width="7.875" style="1" customWidth="1"/>
    <col min="3587" max="3587" width="23.625" style="1" customWidth="1"/>
    <col min="3588" max="3588" width="11" style="1" customWidth="1"/>
    <col min="3589" max="3589" width="12.625" style="1" customWidth="1"/>
    <col min="3590" max="3590" width="27.125" style="1" customWidth="1"/>
    <col min="3591" max="3591" width="5.25" style="1" customWidth="1"/>
    <col min="3592" max="3592" width="15.125" style="1" customWidth="1"/>
    <col min="3593" max="3593" width="15.75" style="1" customWidth="1"/>
    <col min="3594" max="3594" width="16.5" style="1" customWidth="1"/>
    <col min="3595" max="3607" width="12.625" style="1" customWidth="1"/>
    <col min="3608" max="3608" width="3.125" style="1" customWidth="1"/>
    <col min="3609" max="3615" width="3" style="1" customWidth="1"/>
    <col min="3616" max="3616" width="5" style="1" customWidth="1"/>
    <col min="3617" max="3622" width="3" style="1" customWidth="1"/>
    <col min="3623" max="3623" width="5" style="1" customWidth="1"/>
    <col min="3624" max="3624" width="3" style="1" customWidth="1"/>
    <col min="3625" max="3840" width="9" style="1"/>
    <col min="3841" max="3841" width="3.375" style="1" customWidth="1"/>
    <col min="3842" max="3842" width="7.875" style="1" customWidth="1"/>
    <col min="3843" max="3843" width="23.625" style="1" customWidth="1"/>
    <col min="3844" max="3844" width="11" style="1" customWidth="1"/>
    <col min="3845" max="3845" width="12.625" style="1" customWidth="1"/>
    <col min="3846" max="3846" width="27.125" style="1" customWidth="1"/>
    <col min="3847" max="3847" width="5.25" style="1" customWidth="1"/>
    <col min="3848" max="3848" width="15.125" style="1" customWidth="1"/>
    <col min="3849" max="3849" width="15.75" style="1" customWidth="1"/>
    <col min="3850" max="3850" width="16.5" style="1" customWidth="1"/>
    <col min="3851" max="3863" width="12.625" style="1" customWidth="1"/>
    <col min="3864" max="3864" width="3.125" style="1" customWidth="1"/>
    <col min="3865" max="3871" width="3" style="1" customWidth="1"/>
    <col min="3872" max="3872" width="5" style="1" customWidth="1"/>
    <col min="3873" max="3878" width="3" style="1" customWidth="1"/>
    <col min="3879" max="3879" width="5" style="1" customWidth="1"/>
    <col min="3880" max="3880" width="3" style="1" customWidth="1"/>
    <col min="3881" max="4096" width="9" style="1"/>
    <col min="4097" max="4097" width="3.375" style="1" customWidth="1"/>
    <col min="4098" max="4098" width="7.875" style="1" customWidth="1"/>
    <col min="4099" max="4099" width="23.625" style="1" customWidth="1"/>
    <col min="4100" max="4100" width="11" style="1" customWidth="1"/>
    <col min="4101" max="4101" width="12.625" style="1" customWidth="1"/>
    <col min="4102" max="4102" width="27.125" style="1" customWidth="1"/>
    <col min="4103" max="4103" width="5.25" style="1" customWidth="1"/>
    <col min="4104" max="4104" width="15.125" style="1" customWidth="1"/>
    <col min="4105" max="4105" width="15.75" style="1" customWidth="1"/>
    <col min="4106" max="4106" width="16.5" style="1" customWidth="1"/>
    <col min="4107" max="4119" width="12.625" style="1" customWidth="1"/>
    <col min="4120" max="4120" width="3.125" style="1" customWidth="1"/>
    <col min="4121" max="4127" width="3" style="1" customWidth="1"/>
    <col min="4128" max="4128" width="5" style="1" customWidth="1"/>
    <col min="4129" max="4134" width="3" style="1" customWidth="1"/>
    <col min="4135" max="4135" width="5" style="1" customWidth="1"/>
    <col min="4136" max="4136" width="3" style="1" customWidth="1"/>
    <col min="4137" max="4352" width="9" style="1"/>
    <col min="4353" max="4353" width="3.375" style="1" customWidth="1"/>
    <col min="4354" max="4354" width="7.875" style="1" customWidth="1"/>
    <col min="4355" max="4355" width="23.625" style="1" customWidth="1"/>
    <col min="4356" max="4356" width="11" style="1" customWidth="1"/>
    <col min="4357" max="4357" width="12.625" style="1" customWidth="1"/>
    <col min="4358" max="4358" width="27.125" style="1" customWidth="1"/>
    <col min="4359" max="4359" width="5.25" style="1" customWidth="1"/>
    <col min="4360" max="4360" width="15.125" style="1" customWidth="1"/>
    <col min="4361" max="4361" width="15.75" style="1" customWidth="1"/>
    <col min="4362" max="4362" width="16.5" style="1" customWidth="1"/>
    <col min="4363" max="4375" width="12.625" style="1" customWidth="1"/>
    <col min="4376" max="4376" width="3.125" style="1" customWidth="1"/>
    <col min="4377" max="4383" width="3" style="1" customWidth="1"/>
    <col min="4384" max="4384" width="5" style="1" customWidth="1"/>
    <col min="4385" max="4390" width="3" style="1" customWidth="1"/>
    <col min="4391" max="4391" width="5" style="1" customWidth="1"/>
    <col min="4392" max="4392" width="3" style="1" customWidth="1"/>
    <col min="4393" max="4608" width="9" style="1"/>
    <col min="4609" max="4609" width="3.375" style="1" customWidth="1"/>
    <col min="4610" max="4610" width="7.875" style="1" customWidth="1"/>
    <col min="4611" max="4611" width="23.625" style="1" customWidth="1"/>
    <col min="4612" max="4612" width="11" style="1" customWidth="1"/>
    <col min="4613" max="4613" width="12.625" style="1" customWidth="1"/>
    <col min="4614" max="4614" width="27.125" style="1" customWidth="1"/>
    <col min="4615" max="4615" width="5.25" style="1" customWidth="1"/>
    <col min="4616" max="4616" width="15.125" style="1" customWidth="1"/>
    <col min="4617" max="4617" width="15.75" style="1" customWidth="1"/>
    <col min="4618" max="4618" width="16.5" style="1" customWidth="1"/>
    <col min="4619" max="4631" width="12.625" style="1" customWidth="1"/>
    <col min="4632" max="4632" width="3.125" style="1" customWidth="1"/>
    <col min="4633" max="4639" width="3" style="1" customWidth="1"/>
    <col min="4640" max="4640" width="5" style="1" customWidth="1"/>
    <col min="4641" max="4646" width="3" style="1" customWidth="1"/>
    <col min="4647" max="4647" width="5" style="1" customWidth="1"/>
    <col min="4648" max="4648" width="3" style="1" customWidth="1"/>
    <col min="4649" max="4864" width="9" style="1"/>
    <col min="4865" max="4865" width="3.375" style="1" customWidth="1"/>
    <col min="4866" max="4866" width="7.875" style="1" customWidth="1"/>
    <col min="4867" max="4867" width="23.625" style="1" customWidth="1"/>
    <col min="4868" max="4868" width="11" style="1" customWidth="1"/>
    <col min="4869" max="4869" width="12.625" style="1" customWidth="1"/>
    <col min="4870" max="4870" width="27.125" style="1" customWidth="1"/>
    <col min="4871" max="4871" width="5.25" style="1" customWidth="1"/>
    <col min="4872" max="4872" width="15.125" style="1" customWidth="1"/>
    <col min="4873" max="4873" width="15.75" style="1" customWidth="1"/>
    <col min="4874" max="4874" width="16.5" style="1" customWidth="1"/>
    <col min="4875" max="4887" width="12.625" style="1" customWidth="1"/>
    <col min="4888" max="4888" width="3.125" style="1" customWidth="1"/>
    <col min="4889" max="4895" width="3" style="1" customWidth="1"/>
    <col min="4896" max="4896" width="5" style="1" customWidth="1"/>
    <col min="4897" max="4902" width="3" style="1" customWidth="1"/>
    <col min="4903" max="4903" width="5" style="1" customWidth="1"/>
    <col min="4904" max="4904" width="3" style="1" customWidth="1"/>
    <col min="4905" max="5120" width="9" style="1"/>
    <col min="5121" max="5121" width="3.375" style="1" customWidth="1"/>
    <col min="5122" max="5122" width="7.875" style="1" customWidth="1"/>
    <col min="5123" max="5123" width="23.625" style="1" customWidth="1"/>
    <col min="5124" max="5124" width="11" style="1" customWidth="1"/>
    <col min="5125" max="5125" width="12.625" style="1" customWidth="1"/>
    <col min="5126" max="5126" width="27.125" style="1" customWidth="1"/>
    <col min="5127" max="5127" width="5.25" style="1" customWidth="1"/>
    <col min="5128" max="5128" width="15.125" style="1" customWidth="1"/>
    <col min="5129" max="5129" width="15.75" style="1" customWidth="1"/>
    <col min="5130" max="5130" width="16.5" style="1" customWidth="1"/>
    <col min="5131" max="5143" width="12.625" style="1" customWidth="1"/>
    <col min="5144" max="5144" width="3.125" style="1" customWidth="1"/>
    <col min="5145" max="5151" width="3" style="1" customWidth="1"/>
    <col min="5152" max="5152" width="5" style="1" customWidth="1"/>
    <col min="5153" max="5158" width="3" style="1" customWidth="1"/>
    <col min="5159" max="5159" width="5" style="1" customWidth="1"/>
    <col min="5160" max="5160" width="3" style="1" customWidth="1"/>
    <col min="5161" max="5376" width="9" style="1"/>
    <col min="5377" max="5377" width="3.375" style="1" customWidth="1"/>
    <col min="5378" max="5378" width="7.875" style="1" customWidth="1"/>
    <col min="5379" max="5379" width="23.625" style="1" customWidth="1"/>
    <col min="5380" max="5380" width="11" style="1" customWidth="1"/>
    <col min="5381" max="5381" width="12.625" style="1" customWidth="1"/>
    <col min="5382" max="5382" width="27.125" style="1" customWidth="1"/>
    <col min="5383" max="5383" width="5.25" style="1" customWidth="1"/>
    <col min="5384" max="5384" width="15.125" style="1" customWidth="1"/>
    <col min="5385" max="5385" width="15.75" style="1" customWidth="1"/>
    <col min="5386" max="5386" width="16.5" style="1" customWidth="1"/>
    <col min="5387" max="5399" width="12.625" style="1" customWidth="1"/>
    <col min="5400" max="5400" width="3.125" style="1" customWidth="1"/>
    <col min="5401" max="5407" width="3" style="1" customWidth="1"/>
    <col min="5408" max="5408" width="5" style="1" customWidth="1"/>
    <col min="5409" max="5414" width="3" style="1" customWidth="1"/>
    <col min="5415" max="5415" width="5" style="1" customWidth="1"/>
    <col min="5416" max="5416" width="3" style="1" customWidth="1"/>
    <col min="5417" max="5632" width="9" style="1"/>
    <col min="5633" max="5633" width="3.375" style="1" customWidth="1"/>
    <col min="5634" max="5634" width="7.875" style="1" customWidth="1"/>
    <col min="5635" max="5635" width="23.625" style="1" customWidth="1"/>
    <col min="5636" max="5636" width="11" style="1" customWidth="1"/>
    <col min="5637" max="5637" width="12.625" style="1" customWidth="1"/>
    <col min="5638" max="5638" width="27.125" style="1" customWidth="1"/>
    <col min="5639" max="5639" width="5.25" style="1" customWidth="1"/>
    <col min="5640" max="5640" width="15.125" style="1" customWidth="1"/>
    <col min="5641" max="5641" width="15.75" style="1" customWidth="1"/>
    <col min="5642" max="5642" width="16.5" style="1" customWidth="1"/>
    <col min="5643" max="5655" width="12.625" style="1" customWidth="1"/>
    <col min="5656" max="5656" width="3.125" style="1" customWidth="1"/>
    <col min="5657" max="5663" width="3" style="1" customWidth="1"/>
    <col min="5664" max="5664" width="5" style="1" customWidth="1"/>
    <col min="5665" max="5670" width="3" style="1" customWidth="1"/>
    <col min="5671" max="5671" width="5" style="1" customWidth="1"/>
    <col min="5672" max="5672" width="3" style="1" customWidth="1"/>
    <col min="5673" max="5888" width="9" style="1"/>
    <col min="5889" max="5889" width="3.375" style="1" customWidth="1"/>
    <col min="5890" max="5890" width="7.875" style="1" customWidth="1"/>
    <col min="5891" max="5891" width="23.625" style="1" customWidth="1"/>
    <col min="5892" max="5892" width="11" style="1" customWidth="1"/>
    <col min="5893" max="5893" width="12.625" style="1" customWidth="1"/>
    <col min="5894" max="5894" width="27.125" style="1" customWidth="1"/>
    <col min="5895" max="5895" width="5.25" style="1" customWidth="1"/>
    <col min="5896" max="5896" width="15.125" style="1" customWidth="1"/>
    <col min="5897" max="5897" width="15.75" style="1" customWidth="1"/>
    <col min="5898" max="5898" width="16.5" style="1" customWidth="1"/>
    <col min="5899" max="5911" width="12.625" style="1" customWidth="1"/>
    <col min="5912" max="5912" width="3.125" style="1" customWidth="1"/>
    <col min="5913" max="5919" width="3" style="1" customWidth="1"/>
    <col min="5920" max="5920" width="5" style="1" customWidth="1"/>
    <col min="5921" max="5926" width="3" style="1" customWidth="1"/>
    <col min="5927" max="5927" width="5" style="1" customWidth="1"/>
    <col min="5928" max="5928" width="3" style="1" customWidth="1"/>
    <col min="5929" max="6144" width="9" style="1"/>
    <col min="6145" max="6145" width="3.375" style="1" customWidth="1"/>
    <col min="6146" max="6146" width="7.875" style="1" customWidth="1"/>
    <col min="6147" max="6147" width="23.625" style="1" customWidth="1"/>
    <col min="6148" max="6148" width="11" style="1" customWidth="1"/>
    <col min="6149" max="6149" width="12.625" style="1" customWidth="1"/>
    <col min="6150" max="6150" width="27.125" style="1" customWidth="1"/>
    <col min="6151" max="6151" width="5.25" style="1" customWidth="1"/>
    <col min="6152" max="6152" width="15.125" style="1" customWidth="1"/>
    <col min="6153" max="6153" width="15.75" style="1" customWidth="1"/>
    <col min="6154" max="6154" width="16.5" style="1" customWidth="1"/>
    <col min="6155" max="6167" width="12.625" style="1" customWidth="1"/>
    <col min="6168" max="6168" width="3.125" style="1" customWidth="1"/>
    <col min="6169" max="6175" width="3" style="1" customWidth="1"/>
    <col min="6176" max="6176" width="5" style="1" customWidth="1"/>
    <col min="6177" max="6182" width="3" style="1" customWidth="1"/>
    <col min="6183" max="6183" width="5" style="1" customWidth="1"/>
    <col min="6184" max="6184" width="3" style="1" customWidth="1"/>
    <col min="6185" max="6400" width="9" style="1"/>
    <col min="6401" max="6401" width="3.375" style="1" customWidth="1"/>
    <col min="6402" max="6402" width="7.875" style="1" customWidth="1"/>
    <col min="6403" max="6403" width="23.625" style="1" customWidth="1"/>
    <col min="6404" max="6404" width="11" style="1" customWidth="1"/>
    <col min="6405" max="6405" width="12.625" style="1" customWidth="1"/>
    <col min="6406" max="6406" width="27.125" style="1" customWidth="1"/>
    <col min="6407" max="6407" width="5.25" style="1" customWidth="1"/>
    <col min="6408" max="6408" width="15.125" style="1" customWidth="1"/>
    <col min="6409" max="6409" width="15.75" style="1" customWidth="1"/>
    <col min="6410" max="6410" width="16.5" style="1" customWidth="1"/>
    <col min="6411" max="6423" width="12.625" style="1" customWidth="1"/>
    <col min="6424" max="6424" width="3.125" style="1" customWidth="1"/>
    <col min="6425" max="6431" width="3" style="1" customWidth="1"/>
    <col min="6432" max="6432" width="5" style="1" customWidth="1"/>
    <col min="6433" max="6438" width="3" style="1" customWidth="1"/>
    <col min="6439" max="6439" width="5" style="1" customWidth="1"/>
    <col min="6440" max="6440" width="3" style="1" customWidth="1"/>
    <col min="6441" max="6656" width="9" style="1"/>
    <col min="6657" max="6657" width="3.375" style="1" customWidth="1"/>
    <col min="6658" max="6658" width="7.875" style="1" customWidth="1"/>
    <col min="6659" max="6659" width="23.625" style="1" customWidth="1"/>
    <col min="6660" max="6660" width="11" style="1" customWidth="1"/>
    <col min="6661" max="6661" width="12.625" style="1" customWidth="1"/>
    <col min="6662" max="6662" width="27.125" style="1" customWidth="1"/>
    <col min="6663" max="6663" width="5.25" style="1" customWidth="1"/>
    <col min="6664" max="6664" width="15.125" style="1" customWidth="1"/>
    <col min="6665" max="6665" width="15.75" style="1" customWidth="1"/>
    <col min="6666" max="6666" width="16.5" style="1" customWidth="1"/>
    <col min="6667" max="6679" width="12.625" style="1" customWidth="1"/>
    <col min="6680" max="6680" width="3.125" style="1" customWidth="1"/>
    <col min="6681" max="6687" width="3" style="1" customWidth="1"/>
    <col min="6688" max="6688" width="5" style="1" customWidth="1"/>
    <col min="6689" max="6694" width="3" style="1" customWidth="1"/>
    <col min="6695" max="6695" width="5" style="1" customWidth="1"/>
    <col min="6696" max="6696" width="3" style="1" customWidth="1"/>
    <col min="6697" max="6912" width="9" style="1"/>
    <col min="6913" max="6913" width="3.375" style="1" customWidth="1"/>
    <col min="6914" max="6914" width="7.875" style="1" customWidth="1"/>
    <col min="6915" max="6915" width="23.625" style="1" customWidth="1"/>
    <col min="6916" max="6916" width="11" style="1" customWidth="1"/>
    <col min="6917" max="6917" width="12.625" style="1" customWidth="1"/>
    <col min="6918" max="6918" width="27.125" style="1" customWidth="1"/>
    <col min="6919" max="6919" width="5.25" style="1" customWidth="1"/>
    <col min="6920" max="6920" width="15.125" style="1" customWidth="1"/>
    <col min="6921" max="6921" width="15.75" style="1" customWidth="1"/>
    <col min="6922" max="6922" width="16.5" style="1" customWidth="1"/>
    <col min="6923" max="6935" width="12.625" style="1" customWidth="1"/>
    <col min="6936" max="6936" width="3.125" style="1" customWidth="1"/>
    <col min="6937" max="6943" width="3" style="1" customWidth="1"/>
    <col min="6944" max="6944" width="5" style="1" customWidth="1"/>
    <col min="6945" max="6950" width="3" style="1" customWidth="1"/>
    <col min="6951" max="6951" width="5" style="1" customWidth="1"/>
    <col min="6952" max="6952" width="3" style="1" customWidth="1"/>
    <col min="6953" max="7168" width="9" style="1"/>
    <col min="7169" max="7169" width="3.375" style="1" customWidth="1"/>
    <col min="7170" max="7170" width="7.875" style="1" customWidth="1"/>
    <col min="7171" max="7171" width="23.625" style="1" customWidth="1"/>
    <col min="7172" max="7172" width="11" style="1" customWidth="1"/>
    <col min="7173" max="7173" width="12.625" style="1" customWidth="1"/>
    <col min="7174" max="7174" width="27.125" style="1" customWidth="1"/>
    <col min="7175" max="7175" width="5.25" style="1" customWidth="1"/>
    <col min="7176" max="7176" width="15.125" style="1" customWidth="1"/>
    <col min="7177" max="7177" width="15.75" style="1" customWidth="1"/>
    <col min="7178" max="7178" width="16.5" style="1" customWidth="1"/>
    <col min="7179" max="7191" width="12.625" style="1" customWidth="1"/>
    <col min="7192" max="7192" width="3.125" style="1" customWidth="1"/>
    <col min="7193" max="7199" width="3" style="1" customWidth="1"/>
    <col min="7200" max="7200" width="5" style="1" customWidth="1"/>
    <col min="7201" max="7206" width="3" style="1" customWidth="1"/>
    <col min="7207" max="7207" width="5" style="1" customWidth="1"/>
    <col min="7208" max="7208" width="3" style="1" customWidth="1"/>
    <col min="7209" max="7424" width="9" style="1"/>
    <col min="7425" max="7425" width="3.375" style="1" customWidth="1"/>
    <col min="7426" max="7426" width="7.875" style="1" customWidth="1"/>
    <col min="7427" max="7427" width="23.625" style="1" customWidth="1"/>
    <col min="7428" max="7428" width="11" style="1" customWidth="1"/>
    <col min="7429" max="7429" width="12.625" style="1" customWidth="1"/>
    <col min="7430" max="7430" width="27.125" style="1" customWidth="1"/>
    <col min="7431" max="7431" width="5.25" style="1" customWidth="1"/>
    <col min="7432" max="7432" width="15.125" style="1" customWidth="1"/>
    <col min="7433" max="7433" width="15.75" style="1" customWidth="1"/>
    <col min="7434" max="7434" width="16.5" style="1" customWidth="1"/>
    <col min="7435" max="7447" width="12.625" style="1" customWidth="1"/>
    <col min="7448" max="7448" width="3.125" style="1" customWidth="1"/>
    <col min="7449" max="7455" width="3" style="1" customWidth="1"/>
    <col min="7456" max="7456" width="5" style="1" customWidth="1"/>
    <col min="7457" max="7462" width="3" style="1" customWidth="1"/>
    <col min="7463" max="7463" width="5" style="1" customWidth="1"/>
    <col min="7464" max="7464" width="3" style="1" customWidth="1"/>
    <col min="7465" max="7680" width="9" style="1"/>
    <col min="7681" max="7681" width="3.375" style="1" customWidth="1"/>
    <col min="7682" max="7682" width="7.875" style="1" customWidth="1"/>
    <col min="7683" max="7683" width="23.625" style="1" customWidth="1"/>
    <col min="7684" max="7684" width="11" style="1" customWidth="1"/>
    <col min="7685" max="7685" width="12.625" style="1" customWidth="1"/>
    <col min="7686" max="7686" width="27.125" style="1" customWidth="1"/>
    <col min="7687" max="7687" width="5.25" style="1" customWidth="1"/>
    <col min="7688" max="7688" width="15.125" style="1" customWidth="1"/>
    <col min="7689" max="7689" width="15.75" style="1" customWidth="1"/>
    <col min="7690" max="7690" width="16.5" style="1" customWidth="1"/>
    <col min="7691" max="7703" width="12.625" style="1" customWidth="1"/>
    <col min="7704" max="7704" width="3.125" style="1" customWidth="1"/>
    <col min="7705" max="7711" width="3" style="1" customWidth="1"/>
    <col min="7712" max="7712" width="5" style="1" customWidth="1"/>
    <col min="7713" max="7718" width="3" style="1" customWidth="1"/>
    <col min="7719" max="7719" width="5" style="1" customWidth="1"/>
    <col min="7720" max="7720" width="3" style="1" customWidth="1"/>
    <col min="7721" max="7936" width="9" style="1"/>
    <col min="7937" max="7937" width="3.375" style="1" customWidth="1"/>
    <col min="7938" max="7938" width="7.875" style="1" customWidth="1"/>
    <col min="7939" max="7939" width="23.625" style="1" customWidth="1"/>
    <col min="7940" max="7940" width="11" style="1" customWidth="1"/>
    <col min="7941" max="7941" width="12.625" style="1" customWidth="1"/>
    <col min="7942" max="7942" width="27.125" style="1" customWidth="1"/>
    <col min="7943" max="7943" width="5.25" style="1" customWidth="1"/>
    <col min="7944" max="7944" width="15.125" style="1" customWidth="1"/>
    <col min="7945" max="7945" width="15.75" style="1" customWidth="1"/>
    <col min="7946" max="7946" width="16.5" style="1" customWidth="1"/>
    <col min="7947" max="7959" width="12.625" style="1" customWidth="1"/>
    <col min="7960" max="7960" width="3.125" style="1" customWidth="1"/>
    <col min="7961" max="7967" width="3" style="1" customWidth="1"/>
    <col min="7968" max="7968" width="5" style="1" customWidth="1"/>
    <col min="7969" max="7974" width="3" style="1" customWidth="1"/>
    <col min="7975" max="7975" width="5" style="1" customWidth="1"/>
    <col min="7976" max="7976" width="3" style="1" customWidth="1"/>
    <col min="7977" max="8192" width="9" style="1"/>
    <col min="8193" max="8193" width="3.375" style="1" customWidth="1"/>
    <col min="8194" max="8194" width="7.875" style="1" customWidth="1"/>
    <col min="8195" max="8195" width="23.625" style="1" customWidth="1"/>
    <col min="8196" max="8196" width="11" style="1" customWidth="1"/>
    <col min="8197" max="8197" width="12.625" style="1" customWidth="1"/>
    <col min="8198" max="8198" width="27.125" style="1" customWidth="1"/>
    <col min="8199" max="8199" width="5.25" style="1" customWidth="1"/>
    <col min="8200" max="8200" width="15.125" style="1" customWidth="1"/>
    <col min="8201" max="8201" width="15.75" style="1" customWidth="1"/>
    <col min="8202" max="8202" width="16.5" style="1" customWidth="1"/>
    <col min="8203" max="8215" width="12.625" style="1" customWidth="1"/>
    <col min="8216" max="8216" width="3.125" style="1" customWidth="1"/>
    <col min="8217" max="8223" width="3" style="1" customWidth="1"/>
    <col min="8224" max="8224" width="5" style="1" customWidth="1"/>
    <col min="8225" max="8230" width="3" style="1" customWidth="1"/>
    <col min="8231" max="8231" width="5" style="1" customWidth="1"/>
    <col min="8232" max="8232" width="3" style="1" customWidth="1"/>
    <col min="8233" max="8448" width="9" style="1"/>
    <col min="8449" max="8449" width="3.375" style="1" customWidth="1"/>
    <col min="8450" max="8450" width="7.875" style="1" customWidth="1"/>
    <col min="8451" max="8451" width="23.625" style="1" customWidth="1"/>
    <col min="8452" max="8452" width="11" style="1" customWidth="1"/>
    <col min="8453" max="8453" width="12.625" style="1" customWidth="1"/>
    <col min="8454" max="8454" width="27.125" style="1" customWidth="1"/>
    <col min="8455" max="8455" width="5.25" style="1" customWidth="1"/>
    <col min="8456" max="8456" width="15.125" style="1" customWidth="1"/>
    <col min="8457" max="8457" width="15.75" style="1" customWidth="1"/>
    <col min="8458" max="8458" width="16.5" style="1" customWidth="1"/>
    <col min="8459" max="8471" width="12.625" style="1" customWidth="1"/>
    <col min="8472" max="8472" width="3.125" style="1" customWidth="1"/>
    <col min="8473" max="8479" width="3" style="1" customWidth="1"/>
    <col min="8480" max="8480" width="5" style="1" customWidth="1"/>
    <col min="8481" max="8486" width="3" style="1" customWidth="1"/>
    <col min="8487" max="8487" width="5" style="1" customWidth="1"/>
    <col min="8488" max="8488" width="3" style="1" customWidth="1"/>
    <col min="8489" max="8704" width="9" style="1"/>
    <col min="8705" max="8705" width="3.375" style="1" customWidth="1"/>
    <col min="8706" max="8706" width="7.875" style="1" customWidth="1"/>
    <col min="8707" max="8707" width="23.625" style="1" customWidth="1"/>
    <col min="8708" max="8708" width="11" style="1" customWidth="1"/>
    <col min="8709" max="8709" width="12.625" style="1" customWidth="1"/>
    <col min="8710" max="8710" width="27.125" style="1" customWidth="1"/>
    <col min="8711" max="8711" width="5.25" style="1" customWidth="1"/>
    <col min="8712" max="8712" width="15.125" style="1" customWidth="1"/>
    <col min="8713" max="8713" width="15.75" style="1" customWidth="1"/>
    <col min="8714" max="8714" width="16.5" style="1" customWidth="1"/>
    <col min="8715" max="8727" width="12.625" style="1" customWidth="1"/>
    <col min="8728" max="8728" width="3.125" style="1" customWidth="1"/>
    <col min="8729" max="8735" width="3" style="1" customWidth="1"/>
    <col min="8736" max="8736" width="5" style="1" customWidth="1"/>
    <col min="8737" max="8742" width="3" style="1" customWidth="1"/>
    <col min="8743" max="8743" width="5" style="1" customWidth="1"/>
    <col min="8744" max="8744" width="3" style="1" customWidth="1"/>
    <col min="8745" max="8960" width="9" style="1"/>
    <col min="8961" max="8961" width="3.375" style="1" customWidth="1"/>
    <col min="8962" max="8962" width="7.875" style="1" customWidth="1"/>
    <col min="8963" max="8963" width="23.625" style="1" customWidth="1"/>
    <col min="8964" max="8964" width="11" style="1" customWidth="1"/>
    <col min="8965" max="8965" width="12.625" style="1" customWidth="1"/>
    <col min="8966" max="8966" width="27.125" style="1" customWidth="1"/>
    <col min="8967" max="8967" width="5.25" style="1" customWidth="1"/>
    <col min="8968" max="8968" width="15.125" style="1" customWidth="1"/>
    <col min="8969" max="8969" width="15.75" style="1" customWidth="1"/>
    <col min="8970" max="8970" width="16.5" style="1" customWidth="1"/>
    <col min="8971" max="8983" width="12.625" style="1" customWidth="1"/>
    <col min="8984" max="8984" width="3.125" style="1" customWidth="1"/>
    <col min="8985" max="8991" width="3" style="1" customWidth="1"/>
    <col min="8992" max="8992" width="5" style="1" customWidth="1"/>
    <col min="8993" max="8998" width="3" style="1" customWidth="1"/>
    <col min="8999" max="8999" width="5" style="1" customWidth="1"/>
    <col min="9000" max="9000" width="3" style="1" customWidth="1"/>
    <col min="9001" max="9216" width="9" style="1"/>
    <col min="9217" max="9217" width="3.375" style="1" customWidth="1"/>
    <col min="9218" max="9218" width="7.875" style="1" customWidth="1"/>
    <col min="9219" max="9219" width="23.625" style="1" customWidth="1"/>
    <col min="9220" max="9220" width="11" style="1" customWidth="1"/>
    <col min="9221" max="9221" width="12.625" style="1" customWidth="1"/>
    <col min="9222" max="9222" width="27.125" style="1" customWidth="1"/>
    <col min="9223" max="9223" width="5.25" style="1" customWidth="1"/>
    <col min="9224" max="9224" width="15.125" style="1" customWidth="1"/>
    <col min="9225" max="9225" width="15.75" style="1" customWidth="1"/>
    <col min="9226" max="9226" width="16.5" style="1" customWidth="1"/>
    <col min="9227" max="9239" width="12.625" style="1" customWidth="1"/>
    <col min="9240" max="9240" width="3.125" style="1" customWidth="1"/>
    <col min="9241" max="9247" width="3" style="1" customWidth="1"/>
    <col min="9248" max="9248" width="5" style="1" customWidth="1"/>
    <col min="9249" max="9254" width="3" style="1" customWidth="1"/>
    <col min="9255" max="9255" width="5" style="1" customWidth="1"/>
    <col min="9256" max="9256" width="3" style="1" customWidth="1"/>
    <col min="9257" max="9472" width="9" style="1"/>
    <col min="9473" max="9473" width="3.375" style="1" customWidth="1"/>
    <col min="9474" max="9474" width="7.875" style="1" customWidth="1"/>
    <col min="9475" max="9475" width="23.625" style="1" customWidth="1"/>
    <col min="9476" max="9476" width="11" style="1" customWidth="1"/>
    <col min="9477" max="9477" width="12.625" style="1" customWidth="1"/>
    <col min="9478" max="9478" width="27.125" style="1" customWidth="1"/>
    <col min="9479" max="9479" width="5.25" style="1" customWidth="1"/>
    <col min="9480" max="9480" width="15.125" style="1" customWidth="1"/>
    <col min="9481" max="9481" width="15.75" style="1" customWidth="1"/>
    <col min="9482" max="9482" width="16.5" style="1" customWidth="1"/>
    <col min="9483" max="9495" width="12.625" style="1" customWidth="1"/>
    <col min="9496" max="9496" width="3.125" style="1" customWidth="1"/>
    <col min="9497" max="9503" width="3" style="1" customWidth="1"/>
    <col min="9504" max="9504" width="5" style="1" customWidth="1"/>
    <col min="9505" max="9510" width="3" style="1" customWidth="1"/>
    <col min="9511" max="9511" width="5" style="1" customWidth="1"/>
    <col min="9512" max="9512" width="3" style="1" customWidth="1"/>
    <col min="9513" max="9728" width="9" style="1"/>
    <col min="9729" max="9729" width="3.375" style="1" customWidth="1"/>
    <col min="9730" max="9730" width="7.875" style="1" customWidth="1"/>
    <col min="9731" max="9731" width="23.625" style="1" customWidth="1"/>
    <col min="9732" max="9732" width="11" style="1" customWidth="1"/>
    <col min="9733" max="9733" width="12.625" style="1" customWidth="1"/>
    <col min="9734" max="9734" width="27.125" style="1" customWidth="1"/>
    <col min="9735" max="9735" width="5.25" style="1" customWidth="1"/>
    <col min="9736" max="9736" width="15.125" style="1" customWidth="1"/>
    <col min="9737" max="9737" width="15.75" style="1" customWidth="1"/>
    <col min="9738" max="9738" width="16.5" style="1" customWidth="1"/>
    <col min="9739" max="9751" width="12.625" style="1" customWidth="1"/>
    <col min="9752" max="9752" width="3.125" style="1" customWidth="1"/>
    <col min="9753" max="9759" width="3" style="1" customWidth="1"/>
    <col min="9760" max="9760" width="5" style="1" customWidth="1"/>
    <col min="9761" max="9766" width="3" style="1" customWidth="1"/>
    <col min="9767" max="9767" width="5" style="1" customWidth="1"/>
    <col min="9768" max="9768" width="3" style="1" customWidth="1"/>
    <col min="9769" max="9984" width="9" style="1"/>
    <col min="9985" max="9985" width="3.375" style="1" customWidth="1"/>
    <col min="9986" max="9986" width="7.875" style="1" customWidth="1"/>
    <col min="9987" max="9987" width="23.625" style="1" customWidth="1"/>
    <col min="9988" max="9988" width="11" style="1" customWidth="1"/>
    <col min="9989" max="9989" width="12.625" style="1" customWidth="1"/>
    <col min="9990" max="9990" width="27.125" style="1" customWidth="1"/>
    <col min="9991" max="9991" width="5.25" style="1" customWidth="1"/>
    <col min="9992" max="9992" width="15.125" style="1" customWidth="1"/>
    <col min="9993" max="9993" width="15.75" style="1" customWidth="1"/>
    <col min="9994" max="9994" width="16.5" style="1" customWidth="1"/>
    <col min="9995" max="10007" width="12.625" style="1" customWidth="1"/>
    <col min="10008" max="10008" width="3.125" style="1" customWidth="1"/>
    <col min="10009" max="10015" width="3" style="1" customWidth="1"/>
    <col min="10016" max="10016" width="5" style="1" customWidth="1"/>
    <col min="10017" max="10022" width="3" style="1" customWidth="1"/>
    <col min="10023" max="10023" width="5" style="1" customWidth="1"/>
    <col min="10024" max="10024" width="3" style="1" customWidth="1"/>
    <col min="10025" max="10240" width="9" style="1"/>
    <col min="10241" max="10241" width="3.375" style="1" customWidth="1"/>
    <col min="10242" max="10242" width="7.875" style="1" customWidth="1"/>
    <col min="10243" max="10243" width="23.625" style="1" customWidth="1"/>
    <col min="10244" max="10244" width="11" style="1" customWidth="1"/>
    <col min="10245" max="10245" width="12.625" style="1" customWidth="1"/>
    <col min="10246" max="10246" width="27.125" style="1" customWidth="1"/>
    <col min="10247" max="10247" width="5.25" style="1" customWidth="1"/>
    <col min="10248" max="10248" width="15.125" style="1" customWidth="1"/>
    <col min="10249" max="10249" width="15.75" style="1" customWidth="1"/>
    <col min="10250" max="10250" width="16.5" style="1" customWidth="1"/>
    <col min="10251" max="10263" width="12.625" style="1" customWidth="1"/>
    <col min="10264" max="10264" width="3.125" style="1" customWidth="1"/>
    <col min="10265" max="10271" width="3" style="1" customWidth="1"/>
    <col min="10272" max="10272" width="5" style="1" customWidth="1"/>
    <col min="10273" max="10278" width="3" style="1" customWidth="1"/>
    <col min="10279" max="10279" width="5" style="1" customWidth="1"/>
    <col min="10280" max="10280" width="3" style="1" customWidth="1"/>
    <col min="10281" max="10496" width="9" style="1"/>
    <col min="10497" max="10497" width="3.375" style="1" customWidth="1"/>
    <col min="10498" max="10498" width="7.875" style="1" customWidth="1"/>
    <col min="10499" max="10499" width="23.625" style="1" customWidth="1"/>
    <col min="10500" max="10500" width="11" style="1" customWidth="1"/>
    <col min="10501" max="10501" width="12.625" style="1" customWidth="1"/>
    <col min="10502" max="10502" width="27.125" style="1" customWidth="1"/>
    <col min="10503" max="10503" width="5.25" style="1" customWidth="1"/>
    <col min="10504" max="10504" width="15.125" style="1" customWidth="1"/>
    <col min="10505" max="10505" width="15.75" style="1" customWidth="1"/>
    <col min="10506" max="10506" width="16.5" style="1" customWidth="1"/>
    <col min="10507" max="10519" width="12.625" style="1" customWidth="1"/>
    <col min="10520" max="10520" width="3.125" style="1" customWidth="1"/>
    <col min="10521" max="10527" width="3" style="1" customWidth="1"/>
    <col min="10528" max="10528" width="5" style="1" customWidth="1"/>
    <col min="10529" max="10534" width="3" style="1" customWidth="1"/>
    <col min="10535" max="10535" width="5" style="1" customWidth="1"/>
    <col min="10536" max="10536" width="3" style="1" customWidth="1"/>
    <col min="10537" max="10752" width="9" style="1"/>
    <col min="10753" max="10753" width="3.375" style="1" customWidth="1"/>
    <col min="10754" max="10754" width="7.875" style="1" customWidth="1"/>
    <col min="10755" max="10755" width="23.625" style="1" customWidth="1"/>
    <col min="10756" max="10756" width="11" style="1" customWidth="1"/>
    <col min="10757" max="10757" width="12.625" style="1" customWidth="1"/>
    <col min="10758" max="10758" width="27.125" style="1" customWidth="1"/>
    <col min="10759" max="10759" width="5.25" style="1" customWidth="1"/>
    <col min="10760" max="10760" width="15.125" style="1" customWidth="1"/>
    <col min="10761" max="10761" width="15.75" style="1" customWidth="1"/>
    <col min="10762" max="10762" width="16.5" style="1" customWidth="1"/>
    <col min="10763" max="10775" width="12.625" style="1" customWidth="1"/>
    <col min="10776" max="10776" width="3.125" style="1" customWidth="1"/>
    <col min="10777" max="10783" width="3" style="1" customWidth="1"/>
    <col min="10784" max="10784" width="5" style="1" customWidth="1"/>
    <col min="10785" max="10790" width="3" style="1" customWidth="1"/>
    <col min="10791" max="10791" width="5" style="1" customWidth="1"/>
    <col min="10792" max="10792" width="3" style="1" customWidth="1"/>
    <col min="10793" max="11008" width="9" style="1"/>
    <col min="11009" max="11009" width="3.375" style="1" customWidth="1"/>
    <col min="11010" max="11010" width="7.875" style="1" customWidth="1"/>
    <col min="11011" max="11011" width="23.625" style="1" customWidth="1"/>
    <col min="11012" max="11012" width="11" style="1" customWidth="1"/>
    <col min="11013" max="11013" width="12.625" style="1" customWidth="1"/>
    <col min="11014" max="11014" width="27.125" style="1" customWidth="1"/>
    <col min="11015" max="11015" width="5.25" style="1" customWidth="1"/>
    <col min="11016" max="11016" width="15.125" style="1" customWidth="1"/>
    <col min="11017" max="11017" width="15.75" style="1" customWidth="1"/>
    <col min="11018" max="11018" width="16.5" style="1" customWidth="1"/>
    <col min="11019" max="11031" width="12.625" style="1" customWidth="1"/>
    <col min="11032" max="11032" width="3.125" style="1" customWidth="1"/>
    <col min="11033" max="11039" width="3" style="1" customWidth="1"/>
    <col min="11040" max="11040" width="5" style="1" customWidth="1"/>
    <col min="11041" max="11046" width="3" style="1" customWidth="1"/>
    <col min="11047" max="11047" width="5" style="1" customWidth="1"/>
    <col min="11048" max="11048" width="3" style="1" customWidth="1"/>
    <col min="11049" max="11264" width="9" style="1"/>
    <col min="11265" max="11265" width="3.375" style="1" customWidth="1"/>
    <col min="11266" max="11266" width="7.875" style="1" customWidth="1"/>
    <col min="11267" max="11267" width="23.625" style="1" customWidth="1"/>
    <col min="11268" max="11268" width="11" style="1" customWidth="1"/>
    <col min="11269" max="11269" width="12.625" style="1" customWidth="1"/>
    <col min="11270" max="11270" width="27.125" style="1" customWidth="1"/>
    <col min="11271" max="11271" width="5.25" style="1" customWidth="1"/>
    <col min="11272" max="11272" width="15.125" style="1" customWidth="1"/>
    <col min="11273" max="11273" width="15.75" style="1" customWidth="1"/>
    <col min="11274" max="11274" width="16.5" style="1" customWidth="1"/>
    <col min="11275" max="11287" width="12.625" style="1" customWidth="1"/>
    <col min="11288" max="11288" width="3.125" style="1" customWidth="1"/>
    <col min="11289" max="11295" width="3" style="1" customWidth="1"/>
    <col min="11296" max="11296" width="5" style="1" customWidth="1"/>
    <col min="11297" max="11302" width="3" style="1" customWidth="1"/>
    <col min="11303" max="11303" width="5" style="1" customWidth="1"/>
    <col min="11304" max="11304" width="3" style="1" customWidth="1"/>
    <col min="11305" max="11520" width="9" style="1"/>
    <col min="11521" max="11521" width="3.375" style="1" customWidth="1"/>
    <col min="11522" max="11522" width="7.875" style="1" customWidth="1"/>
    <col min="11523" max="11523" width="23.625" style="1" customWidth="1"/>
    <col min="11524" max="11524" width="11" style="1" customWidth="1"/>
    <col min="11525" max="11525" width="12.625" style="1" customWidth="1"/>
    <col min="11526" max="11526" width="27.125" style="1" customWidth="1"/>
    <col min="11527" max="11527" width="5.25" style="1" customWidth="1"/>
    <col min="11528" max="11528" width="15.125" style="1" customWidth="1"/>
    <col min="11529" max="11529" width="15.75" style="1" customWidth="1"/>
    <col min="11530" max="11530" width="16.5" style="1" customWidth="1"/>
    <col min="11531" max="11543" width="12.625" style="1" customWidth="1"/>
    <col min="11544" max="11544" width="3.125" style="1" customWidth="1"/>
    <col min="11545" max="11551" width="3" style="1" customWidth="1"/>
    <col min="11552" max="11552" width="5" style="1" customWidth="1"/>
    <col min="11553" max="11558" width="3" style="1" customWidth="1"/>
    <col min="11559" max="11559" width="5" style="1" customWidth="1"/>
    <col min="11560" max="11560" width="3" style="1" customWidth="1"/>
    <col min="11561" max="11776" width="9" style="1"/>
    <col min="11777" max="11777" width="3.375" style="1" customWidth="1"/>
    <col min="11778" max="11778" width="7.875" style="1" customWidth="1"/>
    <col min="11779" max="11779" width="23.625" style="1" customWidth="1"/>
    <col min="11780" max="11780" width="11" style="1" customWidth="1"/>
    <col min="11781" max="11781" width="12.625" style="1" customWidth="1"/>
    <col min="11782" max="11782" width="27.125" style="1" customWidth="1"/>
    <col min="11783" max="11783" width="5.25" style="1" customWidth="1"/>
    <col min="11784" max="11784" width="15.125" style="1" customWidth="1"/>
    <col min="11785" max="11785" width="15.75" style="1" customWidth="1"/>
    <col min="11786" max="11786" width="16.5" style="1" customWidth="1"/>
    <col min="11787" max="11799" width="12.625" style="1" customWidth="1"/>
    <col min="11800" max="11800" width="3.125" style="1" customWidth="1"/>
    <col min="11801" max="11807" width="3" style="1" customWidth="1"/>
    <col min="11808" max="11808" width="5" style="1" customWidth="1"/>
    <col min="11809" max="11814" width="3" style="1" customWidth="1"/>
    <col min="11815" max="11815" width="5" style="1" customWidth="1"/>
    <col min="11816" max="11816" width="3" style="1" customWidth="1"/>
    <col min="11817" max="12032" width="9" style="1"/>
    <col min="12033" max="12033" width="3.375" style="1" customWidth="1"/>
    <col min="12034" max="12034" width="7.875" style="1" customWidth="1"/>
    <col min="12035" max="12035" width="23.625" style="1" customWidth="1"/>
    <col min="12036" max="12036" width="11" style="1" customWidth="1"/>
    <col min="12037" max="12037" width="12.625" style="1" customWidth="1"/>
    <col min="12038" max="12038" width="27.125" style="1" customWidth="1"/>
    <col min="12039" max="12039" width="5.25" style="1" customWidth="1"/>
    <col min="12040" max="12040" width="15.125" style="1" customWidth="1"/>
    <col min="12041" max="12041" width="15.75" style="1" customWidth="1"/>
    <col min="12042" max="12042" width="16.5" style="1" customWidth="1"/>
    <col min="12043" max="12055" width="12.625" style="1" customWidth="1"/>
    <col min="12056" max="12056" width="3.125" style="1" customWidth="1"/>
    <col min="12057" max="12063" width="3" style="1" customWidth="1"/>
    <col min="12064" max="12064" width="5" style="1" customWidth="1"/>
    <col min="12065" max="12070" width="3" style="1" customWidth="1"/>
    <col min="12071" max="12071" width="5" style="1" customWidth="1"/>
    <col min="12072" max="12072" width="3" style="1" customWidth="1"/>
    <col min="12073" max="12288" width="9" style="1"/>
    <col min="12289" max="12289" width="3.375" style="1" customWidth="1"/>
    <col min="12290" max="12290" width="7.875" style="1" customWidth="1"/>
    <col min="12291" max="12291" width="23.625" style="1" customWidth="1"/>
    <col min="12292" max="12292" width="11" style="1" customWidth="1"/>
    <col min="12293" max="12293" width="12.625" style="1" customWidth="1"/>
    <col min="12294" max="12294" width="27.125" style="1" customWidth="1"/>
    <col min="12295" max="12295" width="5.25" style="1" customWidth="1"/>
    <col min="12296" max="12296" width="15.125" style="1" customWidth="1"/>
    <col min="12297" max="12297" width="15.75" style="1" customWidth="1"/>
    <col min="12298" max="12298" width="16.5" style="1" customWidth="1"/>
    <col min="12299" max="12311" width="12.625" style="1" customWidth="1"/>
    <col min="12312" max="12312" width="3.125" style="1" customWidth="1"/>
    <col min="12313" max="12319" width="3" style="1" customWidth="1"/>
    <col min="12320" max="12320" width="5" style="1" customWidth="1"/>
    <col min="12321" max="12326" width="3" style="1" customWidth="1"/>
    <col min="12327" max="12327" width="5" style="1" customWidth="1"/>
    <col min="12328" max="12328" width="3" style="1" customWidth="1"/>
    <col min="12329" max="12544" width="9" style="1"/>
    <col min="12545" max="12545" width="3.375" style="1" customWidth="1"/>
    <col min="12546" max="12546" width="7.875" style="1" customWidth="1"/>
    <col min="12547" max="12547" width="23.625" style="1" customWidth="1"/>
    <col min="12548" max="12548" width="11" style="1" customWidth="1"/>
    <col min="12549" max="12549" width="12.625" style="1" customWidth="1"/>
    <col min="12550" max="12550" width="27.125" style="1" customWidth="1"/>
    <col min="12551" max="12551" width="5.25" style="1" customWidth="1"/>
    <col min="12552" max="12552" width="15.125" style="1" customWidth="1"/>
    <col min="12553" max="12553" width="15.75" style="1" customWidth="1"/>
    <col min="12554" max="12554" width="16.5" style="1" customWidth="1"/>
    <col min="12555" max="12567" width="12.625" style="1" customWidth="1"/>
    <col min="12568" max="12568" width="3.125" style="1" customWidth="1"/>
    <col min="12569" max="12575" width="3" style="1" customWidth="1"/>
    <col min="12576" max="12576" width="5" style="1" customWidth="1"/>
    <col min="12577" max="12582" width="3" style="1" customWidth="1"/>
    <col min="12583" max="12583" width="5" style="1" customWidth="1"/>
    <col min="12584" max="12584" width="3" style="1" customWidth="1"/>
    <col min="12585" max="12800" width="9" style="1"/>
    <col min="12801" max="12801" width="3.375" style="1" customWidth="1"/>
    <col min="12802" max="12802" width="7.875" style="1" customWidth="1"/>
    <col min="12803" max="12803" width="23.625" style="1" customWidth="1"/>
    <col min="12804" max="12804" width="11" style="1" customWidth="1"/>
    <col min="12805" max="12805" width="12.625" style="1" customWidth="1"/>
    <col min="12806" max="12806" width="27.125" style="1" customWidth="1"/>
    <col min="12807" max="12807" width="5.25" style="1" customWidth="1"/>
    <col min="12808" max="12808" width="15.125" style="1" customWidth="1"/>
    <col min="12809" max="12809" width="15.75" style="1" customWidth="1"/>
    <col min="12810" max="12810" width="16.5" style="1" customWidth="1"/>
    <col min="12811" max="12823" width="12.625" style="1" customWidth="1"/>
    <col min="12824" max="12824" width="3.125" style="1" customWidth="1"/>
    <col min="12825" max="12831" width="3" style="1" customWidth="1"/>
    <col min="12832" max="12832" width="5" style="1" customWidth="1"/>
    <col min="12833" max="12838" width="3" style="1" customWidth="1"/>
    <col min="12839" max="12839" width="5" style="1" customWidth="1"/>
    <col min="12840" max="12840" width="3" style="1" customWidth="1"/>
    <col min="12841" max="13056" width="9" style="1"/>
    <col min="13057" max="13057" width="3.375" style="1" customWidth="1"/>
    <col min="13058" max="13058" width="7.875" style="1" customWidth="1"/>
    <col min="13059" max="13059" width="23.625" style="1" customWidth="1"/>
    <col min="13060" max="13060" width="11" style="1" customWidth="1"/>
    <col min="13061" max="13061" width="12.625" style="1" customWidth="1"/>
    <col min="13062" max="13062" width="27.125" style="1" customWidth="1"/>
    <col min="13063" max="13063" width="5.25" style="1" customWidth="1"/>
    <col min="13064" max="13064" width="15.125" style="1" customWidth="1"/>
    <col min="13065" max="13065" width="15.75" style="1" customWidth="1"/>
    <col min="13066" max="13066" width="16.5" style="1" customWidth="1"/>
    <col min="13067" max="13079" width="12.625" style="1" customWidth="1"/>
    <col min="13080" max="13080" width="3.125" style="1" customWidth="1"/>
    <col min="13081" max="13087" width="3" style="1" customWidth="1"/>
    <col min="13088" max="13088" width="5" style="1" customWidth="1"/>
    <col min="13089" max="13094" width="3" style="1" customWidth="1"/>
    <col min="13095" max="13095" width="5" style="1" customWidth="1"/>
    <col min="13096" max="13096" width="3" style="1" customWidth="1"/>
    <col min="13097" max="13312" width="9" style="1"/>
    <col min="13313" max="13313" width="3.375" style="1" customWidth="1"/>
    <col min="13314" max="13314" width="7.875" style="1" customWidth="1"/>
    <col min="13315" max="13315" width="23.625" style="1" customWidth="1"/>
    <col min="13316" max="13316" width="11" style="1" customWidth="1"/>
    <col min="13317" max="13317" width="12.625" style="1" customWidth="1"/>
    <col min="13318" max="13318" width="27.125" style="1" customWidth="1"/>
    <col min="13319" max="13319" width="5.25" style="1" customWidth="1"/>
    <col min="13320" max="13320" width="15.125" style="1" customWidth="1"/>
    <col min="13321" max="13321" width="15.75" style="1" customWidth="1"/>
    <col min="13322" max="13322" width="16.5" style="1" customWidth="1"/>
    <col min="13323" max="13335" width="12.625" style="1" customWidth="1"/>
    <col min="13336" max="13336" width="3.125" style="1" customWidth="1"/>
    <col min="13337" max="13343" width="3" style="1" customWidth="1"/>
    <col min="13344" max="13344" width="5" style="1" customWidth="1"/>
    <col min="13345" max="13350" width="3" style="1" customWidth="1"/>
    <col min="13351" max="13351" width="5" style="1" customWidth="1"/>
    <col min="13352" max="13352" width="3" style="1" customWidth="1"/>
    <col min="13353" max="13568" width="9" style="1"/>
    <col min="13569" max="13569" width="3.375" style="1" customWidth="1"/>
    <col min="13570" max="13570" width="7.875" style="1" customWidth="1"/>
    <col min="13571" max="13571" width="23.625" style="1" customWidth="1"/>
    <col min="13572" max="13572" width="11" style="1" customWidth="1"/>
    <col min="13573" max="13573" width="12.625" style="1" customWidth="1"/>
    <col min="13574" max="13574" width="27.125" style="1" customWidth="1"/>
    <col min="13575" max="13575" width="5.25" style="1" customWidth="1"/>
    <col min="13576" max="13576" width="15.125" style="1" customWidth="1"/>
    <col min="13577" max="13577" width="15.75" style="1" customWidth="1"/>
    <col min="13578" max="13578" width="16.5" style="1" customWidth="1"/>
    <col min="13579" max="13591" width="12.625" style="1" customWidth="1"/>
    <col min="13592" max="13592" width="3.125" style="1" customWidth="1"/>
    <col min="13593" max="13599" width="3" style="1" customWidth="1"/>
    <col min="13600" max="13600" width="5" style="1" customWidth="1"/>
    <col min="13601" max="13606" width="3" style="1" customWidth="1"/>
    <col min="13607" max="13607" width="5" style="1" customWidth="1"/>
    <col min="13608" max="13608" width="3" style="1" customWidth="1"/>
    <col min="13609" max="13824" width="9" style="1"/>
    <col min="13825" max="13825" width="3.375" style="1" customWidth="1"/>
    <col min="13826" max="13826" width="7.875" style="1" customWidth="1"/>
    <col min="13827" max="13827" width="23.625" style="1" customWidth="1"/>
    <col min="13828" max="13828" width="11" style="1" customWidth="1"/>
    <col min="13829" max="13829" width="12.625" style="1" customWidth="1"/>
    <col min="13830" max="13830" width="27.125" style="1" customWidth="1"/>
    <col min="13831" max="13831" width="5.25" style="1" customWidth="1"/>
    <col min="13832" max="13832" width="15.125" style="1" customWidth="1"/>
    <col min="13833" max="13833" width="15.75" style="1" customWidth="1"/>
    <col min="13834" max="13834" width="16.5" style="1" customWidth="1"/>
    <col min="13835" max="13847" width="12.625" style="1" customWidth="1"/>
    <col min="13848" max="13848" width="3.125" style="1" customWidth="1"/>
    <col min="13849" max="13855" width="3" style="1" customWidth="1"/>
    <col min="13856" max="13856" width="5" style="1" customWidth="1"/>
    <col min="13857" max="13862" width="3" style="1" customWidth="1"/>
    <col min="13863" max="13863" width="5" style="1" customWidth="1"/>
    <col min="13864" max="13864" width="3" style="1" customWidth="1"/>
    <col min="13865" max="14080" width="9" style="1"/>
    <col min="14081" max="14081" width="3.375" style="1" customWidth="1"/>
    <col min="14082" max="14082" width="7.875" style="1" customWidth="1"/>
    <col min="14083" max="14083" width="23.625" style="1" customWidth="1"/>
    <col min="14084" max="14084" width="11" style="1" customWidth="1"/>
    <col min="14085" max="14085" width="12.625" style="1" customWidth="1"/>
    <col min="14086" max="14086" width="27.125" style="1" customWidth="1"/>
    <col min="14087" max="14087" width="5.25" style="1" customWidth="1"/>
    <col min="14088" max="14088" width="15.125" style="1" customWidth="1"/>
    <col min="14089" max="14089" width="15.75" style="1" customWidth="1"/>
    <col min="14090" max="14090" width="16.5" style="1" customWidth="1"/>
    <col min="14091" max="14103" width="12.625" style="1" customWidth="1"/>
    <col min="14104" max="14104" width="3.125" style="1" customWidth="1"/>
    <col min="14105" max="14111" width="3" style="1" customWidth="1"/>
    <col min="14112" max="14112" width="5" style="1" customWidth="1"/>
    <col min="14113" max="14118" width="3" style="1" customWidth="1"/>
    <col min="14119" max="14119" width="5" style="1" customWidth="1"/>
    <col min="14120" max="14120" width="3" style="1" customWidth="1"/>
    <col min="14121" max="14336" width="9" style="1"/>
    <col min="14337" max="14337" width="3.375" style="1" customWidth="1"/>
    <col min="14338" max="14338" width="7.875" style="1" customWidth="1"/>
    <col min="14339" max="14339" width="23.625" style="1" customWidth="1"/>
    <col min="14340" max="14340" width="11" style="1" customWidth="1"/>
    <col min="14341" max="14341" width="12.625" style="1" customWidth="1"/>
    <col min="14342" max="14342" width="27.125" style="1" customWidth="1"/>
    <col min="14343" max="14343" width="5.25" style="1" customWidth="1"/>
    <col min="14344" max="14344" width="15.125" style="1" customWidth="1"/>
    <col min="14345" max="14345" width="15.75" style="1" customWidth="1"/>
    <col min="14346" max="14346" width="16.5" style="1" customWidth="1"/>
    <col min="14347" max="14359" width="12.625" style="1" customWidth="1"/>
    <col min="14360" max="14360" width="3.125" style="1" customWidth="1"/>
    <col min="14361" max="14367" width="3" style="1" customWidth="1"/>
    <col min="14368" max="14368" width="5" style="1" customWidth="1"/>
    <col min="14369" max="14374" width="3" style="1" customWidth="1"/>
    <col min="14375" max="14375" width="5" style="1" customWidth="1"/>
    <col min="14376" max="14376" width="3" style="1" customWidth="1"/>
    <col min="14377" max="14592" width="9" style="1"/>
    <col min="14593" max="14593" width="3.375" style="1" customWidth="1"/>
    <col min="14594" max="14594" width="7.875" style="1" customWidth="1"/>
    <col min="14595" max="14595" width="23.625" style="1" customWidth="1"/>
    <col min="14596" max="14596" width="11" style="1" customWidth="1"/>
    <col min="14597" max="14597" width="12.625" style="1" customWidth="1"/>
    <col min="14598" max="14598" width="27.125" style="1" customWidth="1"/>
    <col min="14599" max="14599" width="5.25" style="1" customWidth="1"/>
    <col min="14600" max="14600" width="15.125" style="1" customWidth="1"/>
    <col min="14601" max="14601" width="15.75" style="1" customWidth="1"/>
    <col min="14602" max="14602" width="16.5" style="1" customWidth="1"/>
    <col min="14603" max="14615" width="12.625" style="1" customWidth="1"/>
    <col min="14616" max="14616" width="3.125" style="1" customWidth="1"/>
    <col min="14617" max="14623" width="3" style="1" customWidth="1"/>
    <col min="14624" max="14624" width="5" style="1" customWidth="1"/>
    <col min="14625" max="14630" width="3" style="1" customWidth="1"/>
    <col min="14631" max="14631" width="5" style="1" customWidth="1"/>
    <col min="14632" max="14632" width="3" style="1" customWidth="1"/>
    <col min="14633" max="14848" width="9" style="1"/>
    <col min="14849" max="14849" width="3.375" style="1" customWidth="1"/>
    <col min="14850" max="14850" width="7.875" style="1" customWidth="1"/>
    <col min="14851" max="14851" width="23.625" style="1" customWidth="1"/>
    <col min="14852" max="14852" width="11" style="1" customWidth="1"/>
    <col min="14853" max="14853" width="12.625" style="1" customWidth="1"/>
    <col min="14854" max="14854" width="27.125" style="1" customWidth="1"/>
    <col min="14855" max="14855" width="5.25" style="1" customWidth="1"/>
    <col min="14856" max="14856" width="15.125" style="1" customWidth="1"/>
    <col min="14857" max="14857" width="15.75" style="1" customWidth="1"/>
    <col min="14858" max="14858" width="16.5" style="1" customWidth="1"/>
    <col min="14859" max="14871" width="12.625" style="1" customWidth="1"/>
    <col min="14872" max="14872" width="3.125" style="1" customWidth="1"/>
    <col min="14873" max="14879" width="3" style="1" customWidth="1"/>
    <col min="14880" max="14880" width="5" style="1" customWidth="1"/>
    <col min="14881" max="14886" width="3" style="1" customWidth="1"/>
    <col min="14887" max="14887" width="5" style="1" customWidth="1"/>
    <col min="14888" max="14888" width="3" style="1" customWidth="1"/>
    <col min="14889" max="15104" width="9" style="1"/>
    <col min="15105" max="15105" width="3.375" style="1" customWidth="1"/>
    <col min="15106" max="15106" width="7.875" style="1" customWidth="1"/>
    <col min="15107" max="15107" width="23.625" style="1" customWidth="1"/>
    <col min="15108" max="15108" width="11" style="1" customWidth="1"/>
    <col min="15109" max="15109" width="12.625" style="1" customWidth="1"/>
    <col min="15110" max="15110" width="27.125" style="1" customWidth="1"/>
    <col min="15111" max="15111" width="5.25" style="1" customWidth="1"/>
    <col min="15112" max="15112" width="15.125" style="1" customWidth="1"/>
    <col min="15113" max="15113" width="15.75" style="1" customWidth="1"/>
    <col min="15114" max="15114" width="16.5" style="1" customWidth="1"/>
    <col min="15115" max="15127" width="12.625" style="1" customWidth="1"/>
    <col min="15128" max="15128" width="3.125" style="1" customWidth="1"/>
    <col min="15129" max="15135" width="3" style="1" customWidth="1"/>
    <col min="15136" max="15136" width="5" style="1" customWidth="1"/>
    <col min="15137" max="15142" width="3" style="1" customWidth="1"/>
    <col min="15143" max="15143" width="5" style="1" customWidth="1"/>
    <col min="15144" max="15144" width="3" style="1" customWidth="1"/>
    <col min="15145" max="15360" width="9" style="1"/>
    <col min="15361" max="15361" width="3.375" style="1" customWidth="1"/>
    <col min="15362" max="15362" width="7.875" style="1" customWidth="1"/>
    <col min="15363" max="15363" width="23.625" style="1" customWidth="1"/>
    <col min="15364" max="15364" width="11" style="1" customWidth="1"/>
    <col min="15365" max="15365" width="12.625" style="1" customWidth="1"/>
    <col min="15366" max="15366" width="27.125" style="1" customWidth="1"/>
    <col min="15367" max="15367" width="5.25" style="1" customWidth="1"/>
    <col min="15368" max="15368" width="15.125" style="1" customWidth="1"/>
    <col min="15369" max="15369" width="15.75" style="1" customWidth="1"/>
    <col min="15370" max="15370" width="16.5" style="1" customWidth="1"/>
    <col min="15371" max="15383" width="12.625" style="1" customWidth="1"/>
    <col min="15384" max="15384" width="3.125" style="1" customWidth="1"/>
    <col min="15385" max="15391" width="3" style="1" customWidth="1"/>
    <col min="15392" max="15392" width="5" style="1" customWidth="1"/>
    <col min="15393" max="15398" width="3" style="1" customWidth="1"/>
    <col min="15399" max="15399" width="5" style="1" customWidth="1"/>
    <col min="15400" max="15400" width="3" style="1" customWidth="1"/>
    <col min="15401" max="15616" width="9" style="1"/>
    <col min="15617" max="15617" width="3.375" style="1" customWidth="1"/>
    <col min="15618" max="15618" width="7.875" style="1" customWidth="1"/>
    <col min="15619" max="15619" width="23.625" style="1" customWidth="1"/>
    <col min="15620" max="15620" width="11" style="1" customWidth="1"/>
    <col min="15621" max="15621" width="12.625" style="1" customWidth="1"/>
    <col min="15622" max="15622" width="27.125" style="1" customWidth="1"/>
    <col min="15623" max="15623" width="5.25" style="1" customWidth="1"/>
    <col min="15624" max="15624" width="15.125" style="1" customWidth="1"/>
    <col min="15625" max="15625" width="15.75" style="1" customWidth="1"/>
    <col min="15626" max="15626" width="16.5" style="1" customWidth="1"/>
    <col min="15627" max="15639" width="12.625" style="1" customWidth="1"/>
    <col min="15640" max="15640" width="3.125" style="1" customWidth="1"/>
    <col min="15641" max="15647" width="3" style="1" customWidth="1"/>
    <col min="15648" max="15648" width="5" style="1" customWidth="1"/>
    <col min="15649" max="15654" width="3" style="1" customWidth="1"/>
    <col min="15655" max="15655" width="5" style="1" customWidth="1"/>
    <col min="15656" max="15656" width="3" style="1" customWidth="1"/>
    <col min="15657" max="15872" width="9" style="1"/>
    <col min="15873" max="15873" width="3.375" style="1" customWidth="1"/>
    <col min="15874" max="15874" width="7.875" style="1" customWidth="1"/>
    <col min="15875" max="15875" width="23.625" style="1" customWidth="1"/>
    <col min="15876" max="15876" width="11" style="1" customWidth="1"/>
    <col min="15877" max="15877" width="12.625" style="1" customWidth="1"/>
    <col min="15878" max="15878" width="27.125" style="1" customWidth="1"/>
    <col min="15879" max="15879" width="5.25" style="1" customWidth="1"/>
    <col min="15880" max="15880" width="15.125" style="1" customWidth="1"/>
    <col min="15881" max="15881" width="15.75" style="1" customWidth="1"/>
    <col min="15882" max="15882" width="16.5" style="1" customWidth="1"/>
    <col min="15883" max="15895" width="12.625" style="1" customWidth="1"/>
    <col min="15896" max="15896" width="3.125" style="1" customWidth="1"/>
    <col min="15897" max="15903" width="3" style="1" customWidth="1"/>
    <col min="15904" max="15904" width="5" style="1" customWidth="1"/>
    <col min="15905" max="15910" width="3" style="1" customWidth="1"/>
    <col min="15911" max="15911" width="5" style="1" customWidth="1"/>
    <col min="15912" max="15912" width="3" style="1" customWidth="1"/>
    <col min="15913" max="16128" width="9" style="1"/>
    <col min="16129" max="16129" width="3.375" style="1" customWidth="1"/>
    <col min="16130" max="16130" width="7.875" style="1" customWidth="1"/>
    <col min="16131" max="16131" width="23.625" style="1" customWidth="1"/>
    <col min="16132" max="16132" width="11" style="1" customWidth="1"/>
    <col min="16133" max="16133" width="12.625" style="1" customWidth="1"/>
    <col min="16134" max="16134" width="27.125" style="1" customWidth="1"/>
    <col min="16135" max="16135" width="5.25" style="1" customWidth="1"/>
    <col min="16136" max="16136" width="15.125" style="1" customWidth="1"/>
    <col min="16137" max="16137" width="15.75" style="1" customWidth="1"/>
    <col min="16138" max="16138" width="16.5" style="1" customWidth="1"/>
    <col min="16139" max="16151" width="12.625" style="1" customWidth="1"/>
    <col min="16152" max="16152" width="3.125" style="1" customWidth="1"/>
    <col min="16153" max="16159" width="3" style="1" customWidth="1"/>
    <col min="16160" max="16160" width="5" style="1" customWidth="1"/>
    <col min="16161" max="16166" width="3" style="1" customWidth="1"/>
    <col min="16167" max="16167" width="5" style="1" customWidth="1"/>
    <col min="16168" max="16168" width="3" style="1" customWidth="1"/>
    <col min="16169" max="16384" width="9" style="1"/>
  </cols>
  <sheetData>
    <row r="1" spans="2:34" ht="18">
      <c r="B1" s="3" t="s">
        <v>2285</v>
      </c>
      <c r="C1" s="3"/>
      <c r="F1" s="4"/>
      <c r="G1" s="5" t="s">
        <v>24</v>
      </c>
      <c r="H1" s="6" t="s">
        <v>696</v>
      </c>
      <c r="I1" s="42"/>
      <c r="J1" s="43"/>
      <c r="K1" s="20"/>
    </row>
    <row r="2" spans="2:34" ht="18">
      <c r="B2" s="1" t="s">
        <v>2286</v>
      </c>
      <c r="H2" s="4" t="s">
        <v>695</v>
      </c>
      <c r="I2" s="20"/>
      <c r="J2" s="20"/>
      <c r="K2" s="20"/>
      <c r="L2" s="20"/>
      <c r="M2" s="20"/>
      <c r="N2" s="20"/>
      <c r="O2" s="20"/>
      <c r="P2" s="20"/>
    </row>
    <row r="3" spans="2:34">
      <c r="C3" s="7"/>
      <c r="D3" s="8"/>
      <c r="E3" s="9"/>
      <c r="F3" s="8"/>
      <c r="G3" s="8"/>
      <c r="H3" s="8"/>
      <c r="I3" s="20"/>
      <c r="J3" s="20"/>
      <c r="K3" s="20"/>
      <c r="L3" s="20"/>
      <c r="M3" s="20"/>
      <c r="N3" s="20"/>
      <c r="O3" s="20"/>
      <c r="P3" s="20"/>
      <c r="Q3" s="20"/>
      <c r="R3" s="20"/>
      <c r="S3" s="20"/>
      <c r="T3" s="20"/>
      <c r="U3" s="20"/>
      <c r="V3" s="20"/>
      <c r="W3" s="20"/>
      <c r="X3" s="20"/>
      <c r="Y3" s="44"/>
      <c r="Z3" s="44"/>
      <c r="AA3" s="44"/>
      <c r="AB3" s="44"/>
      <c r="AC3" s="44"/>
      <c r="AD3" s="44"/>
      <c r="AE3" s="44"/>
      <c r="AF3" s="44"/>
      <c r="AG3" s="44"/>
      <c r="AH3" s="20"/>
    </row>
    <row r="4" spans="2:34" ht="15">
      <c r="B4" s="10"/>
      <c r="C4" s="7"/>
      <c r="D4" s="8"/>
      <c r="E4" s="9"/>
      <c r="F4" s="8"/>
      <c r="G4" s="8"/>
      <c r="H4" s="11"/>
      <c r="I4" s="20"/>
      <c r="J4" s="20"/>
      <c r="K4" s="20"/>
      <c r="L4" s="20"/>
      <c r="M4" s="20"/>
      <c r="N4" s="20"/>
      <c r="O4" s="20"/>
      <c r="P4" s="20"/>
      <c r="Q4" s="20"/>
      <c r="R4" s="20"/>
      <c r="S4" s="20"/>
      <c r="T4" s="20"/>
      <c r="U4" s="20"/>
      <c r="V4" s="20"/>
      <c r="W4" s="20"/>
      <c r="X4" s="20"/>
      <c r="Y4" s="44"/>
      <c r="Z4" s="44"/>
      <c r="AA4" s="44"/>
      <c r="AB4" s="44"/>
      <c r="AC4" s="44"/>
      <c r="AD4" s="44"/>
      <c r="AE4" s="44"/>
      <c r="AF4" s="44"/>
      <c r="AG4" s="44"/>
      <c r="AH4" s="20"/>
    </row>
    <row r="5" spans="2:34" ht="18.75">
      <c r="B5" s="12" t="s">
        <v>2287</v>
      </c>
      <c r="C5" s="13"/>
      <c r="D5" s="13"/>
      <c r="E5" s="14"/>
      <c r="F5" s="15"/>
      <c r="I5" s="20"/>
      <c r="J5" s="20"/>
      <c r="K5" s="20"/>
      <c r="L5" s="20"/>
      <c r="M5" s="20"/>
      <c r="N5" s="20"/>
      <c r="O5" s="20"/>
      <c r="P5" s="20"/>
      <c r="Q5" s="20"/>
      <c r="R5" s="20"/>
      <c r="S5" s="20"/>
      <c r="T5" s="20"/>
      <c r="U5" s="20"/>
      <c r="V5" s="20"/>
      <c r="W5" s="20"/>
      <c r="X5" s="20"/>
      <c r="Y5" s="44"/>
      <c r="Z5" s="44"/>
      <c r="AA5" s="44"/>
      <c r="AB5" s="44"/>
      <c r="AC5" s="44"/>
      <c r="AD5" s="44"/>
      <c r="AE5" s="44"/>
      <c r="AF5" s="44"/>
      <c r="AG5" s="44"/>
      <c r="AH5" s="20"/>
    </row>
    <row r="6" spans="2:34" ht="15">
      <c r="B6" s="16" t="s">
        <v>1614</v>
      </c>
      <c r="C6" s="16" t="s">
        <v>1615</v>
      </c>
      <c r="D6" s="16" t="s">
        <v>1616</v>
      </c>
      <c r="E6" s="17" t="s">
        <v>1617</v>
      </c>
      <c r="F6" s="18" t="s">
        <v>1618</v>
      </c>
      <c r="G6" s="19"/>
      <c r="H6" s="20"/>
      <c r="I6" s="20"/>
      <c r="J6" s="20"/>
      <c r="K6" s="20"/>
      <c r="L6" s="20"/>
      <c r="M6" s="20"/>
      <c r="N6" s="20"/>
      <c r="O6" s="20"/>
      <c r="P6" s="20"/>
      <c r="Q6" s="20"/>
      <c r="R6" s="20"/>
      <c r="S6" s="20"/>
      <c r="T6" s="20"/>
      <c r="U6" s="20"/>
      <c r="V6" s="20"/>
      <c r="W6" s="20"/>
      <c r="X6" s="20"/>
      <c r="Y6" s="44"/>
      <c r="Z6" s="44"/>
      <c r="AA6" s="44"/>
      <c r="AB6" s="44"/>
      <c r="AC6" s="44"/>
      <c r="AD6" s="44"/>
      <c r="AE6" s="44"/>
      <c r="AF6" s="44"/>
      <c r="AG6" s="44"/>
      <c r="AH6" s="20"/>
    </row>
    <row r="7" spans="2:34">
      <c r="B7" s="21" t="s">
        <v>1035</v>
      </c>
      <c r="C7" s="22" t="s">
        <v>2288</v>
      </c>
      <c r="D7" s="525" t="s">
        <v>1738</v>
      </c>
      <c r="E7" s="24" t="str">
        <f>MID(DEC2HEX(INT(G7),4),3,2)</f>
        <v>C0</v>
      </c>
      <c r="F7" s="25"/>
      <c r="G7" s="26">
        <f>Main_Parameters!$C$72*10^6/10^4</f>
        <v>4800</v>
      </c>
      <c r="H7" s="20"/>
      <c r="I7" s="20"/>
      <c r="J7" s="20"/>
      <c r="K7" s="20"/>
      <c r="L7" s="20"/>
      <c r="M7" s="20"/>
      <c r="N7" s="20"/>
      <c r="O7" s="20"/>
      <c r="P7" s="20"/>
      <c r="Q7" s="20"/>
      <c r="R7" s="20"/>
      <c r="S7" s="20"/>
      <c r="T7" s="20"/>
      <c r="U7" s="20"/>
      <c r="V7" s="20"/>
      <c r="W7" s="20"/>
      <c r="X7" s="20"/>
      <c r="Y7" s="44"/>
      <c r="Z7" s="44"/>
      <c r="AA7" s="44"/>
      <c r="AB7" s="44"/>
      <c r="AC7" s="44"/>
      <c r="AD7" s="44"/>
      <c r="AE7" s="44"/>
      <c r="AF7" s="44"/>
      <c r="AG7" s="44"/>
      <c r="AH7" s="20"/>
    </row>
    <row r="8" spans="2:34">
      <c r="B8" s="21" t="s">
        <v>1035</v>
      </c>
      <c r="C8" s="22" t="s">
        <v>2289</v>
      </c>
      <c r="D8" s="525" t="s">
        <v>2290</v>
      </c>
      <c r="E8" s="24" t="str">
        <f>MID(DEC2HEX(INT(G8),4),1,2)</f>
        <v>12</v>
      </c>
      <c r="F8" s="25"/>
      <c r="G8" s="26">
        <f>Main_Parameters!$C$72*10^6/10^4</f>
        <v>4800</v>
      </c>
      <c r="H8" s="20"/>
      <c r="I8" s="20"/>
      <c r="J8" s="20"/>
      <c r="K8" s="20"/>
      <c r="L8" s="20"/>
      <c r="M8" s="20"/>
      <c r="N8" s="20"/>
      <c r="O8" s="20"/>
      <c r="P8" s="20"/>
      <c r="Q8" s="20"/>
      <c r="R8" s="20"/>
      <c r="S8" s="20"/>
      <c r="T8" s="20"/>
      <c r="U8" s="20"/>
      <c r="V8" s="20"/>
      <c r="W8" s="20"/>
      <c r="X8" s="20"/>
      <c r="Y8" s="44"/>
      <c r="Z8" s="44"/>
      <c r="AA8" s="44"/>
      <c r="AB8" s="44"/>
      <c r="AC8" s="44"/>
      <c r="AD8" s="44"/>
      <c r="AE8" s="44"/>
      <c r="AF8" s="44"/>
      <c r="AG8" s="44"/>
      <c r="AH8" s="20"/>
    </row>
    <row r="9" spans="2:34">
      <c r="B9" s="21" t="s">
        <v>1035</v>
      </c>
      <c r="C9" s="22" t="s">
        <v>2291</v>
      </c>
      <c r="D9" s="525" t="s">
        <v>1746</v>
      </c>
      <c r="E9" s="24" t="str">
        <f>MID(DEC2HEX(INT(G9),4),3,2)</f>
        <v>C0</v>
      </c>
      <c r="F9" s="25"/>
      <c r="G9" s="26">
        <f>Main_Parameters!$C$72*10^6/10^4</f>
        <v>4800</v>
      </c>
      <c r="H9" s="20"/>
      <c r="I9" s="20"/>
      <c r="J9" s="20"/>
      <c r="K9" s="20"/>
      <c r="L9" s="20"/>
      <c r="M9" s="20"/>
      <c r="N9" s="20"/>
      <c r="O9" s="20"/>
      <c r="P9" s="20"/>
      <c r="Q9" s="20"/>
      <c r="R9" s="20"/>
      <c r="S9" s="20"/>
      <c r="T9" s="20"/>
      <c r="U9" s="20"/>
      <c r="V9" s="20"/>
      <c r="W9" s="20"/>
      <c r="X9" s="20"/>
      <c r="Y9" s="44"/>
      <c r="Z9" s="44"/>
      <c r="AA9" s="44"/>
      <c r="AB9" s="44"/>
      <c r="AC9" s="44"/>
      <c r="AD9" s="44"/>
      <c r="AE9" s="44"/>
      <c r="AF9" s="44"/>
      <c r="AG9" s="44"/>
      <c r="AH9" s="20"/>
    </row>
    <row r="10" spans="2:34">
      <c r="B10" s="21" t="s">
        <v>1035</v>
      </c>
      <c r="C10" s="22" t="s">
        <v>2292</v>
      </c>
      <c r="D10" s="525" t="s">
        <v>2293</v>
      </c>
      <c r="E10" s="24" t="str">
        <f>MID(DEC2HEX(INT(G10),4),1,2)</f>
        <v>12</v>
      </c>
      <c r="F10" s="25"/>
      <c r="G10" s="26">
        <f>Main_Parameters!$C$72*10^6/10^4</f>
        <v>4800</v>
      </c>
      <c r="H10" s="20"/>
      <c r="I10" s="20"/>
      <c r="J10" s="20"/>
      <c r="K10" s="20"/>
      <c r="L10" s="20"/>
      <c r="M10" s="20"/>
      <c r="N10" s="20"/>
      <c r="O10" s="20"/>
      <c r="P10" s="20"/>
      <c r="Q10" s="20"/>
      <c r="R10" s="20"/>
      <c r="S10" s="20"/>
      <c r="T10" s="20"/>
      <c r="U10" s="20"/>
      <c r="V10" s="20"/>
      <c r="W10" s="20"/>
      <c r="X10" s="20"/>
      <c r="Y10" s="44"/>
      <c r="Z10" s="44"/>
      <c r="AA10" s="44"/>
      <c r="AB10" s="44"/>
      <c r="AC10" s="44"/>
      <c r="AD10" s="44"/>
      <c r="AE10" s="44"/>
      <c r="AF10" s="44"/>
      <c r="AG10" s="44"/>
      <c r="AH10" s="20"/>
    </row>
    <row r="11" spans="2:34">
      <c r="B11" s="21" t="s">
        <v>1035</v>
      </c>
      <c r="C11" s="22" t="s">
        <v>2294</v>
      </c>
      <c r="D11" s="525" t="s">
        <v>2295</v>
      </c>
      <c r="E11" s="525" t="s">
        <v>2296</v>
      </c>
      <c r="F11" s="25"/>
      <c r="G11" s="26"/>
      <c r="H11" s="20"/>
      <c r="I11" s="20"/>
      <c r="J11" s="20"/>
      <c r="K11" s="20"/>
      <c r="L11" s="20"/>
      <c r="M11" s="20"/>
      <c r="N11" s="20"/>
      <c r="O11" s="20"/>
      <c r="P11" s="20"/>
      <c r="Q11" s="20"/>
      <c r="R11" s="20"/>
      <c r="S11" s="20"/>
      <c r="T11" s="20"/>
      <c r="U11" s="20"/>
      <c r="V11" s="20"/>
      <c r="W11" s="20"/>
      <c r="X11" s="20"/>
      <c r="Y11" s="44"/>
      <c r="Z11" s="44"/>
      <c r="AA11" s="44"/>
      <c r="AB11" s="44"/>
      <c r="AC11" s="44"/>
      <c r="AD11" s="44"/>
      <c r="AE11" s="44"/>
      <c r="AF11" s="44"/>
      <c r="AG11" s="44"/>
      <c r="AH11" s="20"/>
    </row>
    <row r="12" spans="2:34">
      <c r="B12" s="21" t="s">
        <v>1872</v>
      </c>
      <c r="C12" s="22"/>
      <c r="D12" s="23">
        <v>100000</v>
      </c>
      <c r="E12" s="23"/>
      <c r="F12" s="25" t="s">
        <v>2297</v>
      </c>
      <c r="G12" s="26"/>
      <c r="H12" s="20"/>
      <c r="I12" s="20"/>
      <c r="J12" s="20"/>
      <c r="K12" s="20"/>
      <c r="L12" s="20"/>
      <c r="M12" s="20"/>
      <c r="N12" s="20"/>
      <c r="O12" s="20"/>
      <c r="P12" s="20"/>
      <c r="Q12" s="20"/>
      <c r="R12" s="20"/>
      <c r="S12" s="20"/>
      <c r="T12" s="20"/>
      <c r="U12" s="20"/>
      <c r="V12" s="20"/>
      <c r="W12" s="20"/>
      <c r="X12" s="20"/>
      <c r="Y12" s="44"/>
      <c r="Z12" s="44"/>
      <c r="AA12" s="44"/>
      <c r="AB12" s="44"/>
      <c r="AC12" s="44"/>
      <c r="AD12" s="44"/>
      <c r="AE12" s="44"/>
      <c r="AF12" s="44"/>
      <c r="AG12" s="44"/>
      <c r="AH12" s="20"/>
    </row>
    <row r="13" spans="2:34">
      <c r="B13" s="27" t="s">
        <v>1032</v>
      </c>
      <c r="C13" s="28" t="s">
        <v>2298</v>
      </c>
      <c r="D13" s="29"/>
      <c r="E13" s="29"/>
      <c r="F13" s="30"/>
      <c r="G13" s="20"/>
      <c r="H13" s="31" t="s">
        <v>2299</v>
      </c>
      <c r="I13" s="20"/>
      <c r="J13" s="20"/>
      <c r="K13" s="20"/>
      <c r="L13" s="20"/>
      <c r="M13" s="20"/>
      <c r="N13" s="20"/>
      <c r="O13" s="20"/>
      <c r="P13" s="20"/>
      <c r="Q13" s="20"/>
      <c r="R13" s="20"/>
      <c r="S13" s="20"/>
      <c r="T13" s="20"/>
      <c r="U13" s="20"/>
      <c r="V13" s="20"/>
      <c r="W13" s="20"/>
      <c r="X13" s="20"/>
      <c r="Y13" s="44"/>
      <c r="Z13" s="44"/>
      <c r="AA13" s="44"/>
      <c r="AB13" s="44"/>
      <c r="AC13" s="44"/>
      <c r="AD13" s="44"/>
      <c r="AE13" s="44"/>
      <c r="AF13" s="44"/>
      <c r="AG13" s="44"/>
      <c r="AH13" s="20"/>
    </row>
    <row r="14" spans="2:34">
      <c r="B14" s="32" t="s">
        <v>1841</v>
      </c>
      <c r="C14" s="33" t="s">
        <v>2300</v>
      </c>
      <c r="D14" s="526" t="s">
        <v>2301</v>
      </c>
      <c r="E14" s="521" t="s">
        <v>2302</v>
      </c>
      <c r="F14" s="36" t="s">
        <v>2303</v>
      </c>
      <c r="G14" s="20"/>
      <c r="H14" s="37" t="s">
        <v>2304</v>
      </c>
      <c r="I14" s="20"/>
      <c r="J14" s="20"/>
      <c r="K14" s="20"/>
      <c r="L14" s="20"/>
      <c r="M14" s="20"/>
      <c r="N14" s="20"/>
      <c r="O14" s="20"/>
      <c r="P14" s="20"/>
      <c r="Q14" s="20"/>
      <c r="R14" s="20"/>
      <c r="S14" s="20"/>
      <c r="T14" s="20"/>
      <c r="U14" s="20"/>
      <c r="V14" s="20"/>
      <c r="W14" s="20"/>
      <c r="X14" s="20"/>
      <c r="Y14" s="44"/>
      <c r="Z14" s="44"/>
      <c r="AA14" s="44"/>
      <c r="AB14" s="44"/>
      <c r="AC14" s="44"/>
      <c r="AD14" s="44"/>
      <c r="AE14" s="44"/>
      <c r="AF14" s="44"/>
      <c r="AG14" s="44"/>
      <c r="AH14" s="20"/>
    </row>
    <row r="15" spans="2:34">
      <c r="B15" s="32" t="s">
        <v>1841</v>
      </c>
      <c r="C15" s="33" t="s">
        <v>2305</v>
      </c>
      <c r="D15" s="526" t="s">
        <v>2306</v>
      </c>
      <c r="E15" s="521" t="s">
        <v>1105</v>
      </c>
      <c r="F15" s="36" t="s">
        <v>2307</v>
      </c>
      <c r="G15" s="20"/>
      <c r="H15" s="38">
        <f>(HEX2DEC(E15)*2^8+HEX2DEC(E14))*80000/10^6</f>
        <v>268.56</v>
      </c>
      <c r="I15" s="20"/>
      <c r="J15" s="20"/>
      <c r="K15" s="20"/>
      <c r="L15" s="20"/>
      <c r="M15" s="20"/>
      <c r="N15" s="20"/>
      <c r="O15" s="20"/>
      <c r="P15" s="20"/>
      <c r="Q15" s="20"/>
      <c r="R15" s="20"/>
      <c r="S15" s="20"/>
      <c r="T15" s="20"/>
      <c r="U15" s="20"/>
      <c r="V15" s="20"/>
      <c r="W15" s="20"/>
      <c r="X15" s="20"/>
      <c r="Y15" s="44"/>
      <c r="Z15" s="44"/>
      <c r="AA15" s="44"/>
      <c r="AB15" s="44"/>
      <c r="AC15" s="44"/>
      <c r="AD15" s="44"/>
      <c r="AE15" s="44"/>
      <c r="AF15" s="44"/>
      <c r="AG15" s="44"/>
      <c r="AH15" s="20"/>
    </row>
    <row r="16" spans="2:34">
      <c r="B16" s="27" t="s">
        <v>1032</v>
      </c>
      <c r="C16" s="28" t="s">
        <v>2308</v>
      </c>
      <c r="D16" s="29"/>
      <c r="E16" s="29"/>
      <c r="F16" s="30"/>
      <c r="G16" s="20"/>
      <c r="H16" s="37" t="s">
        <v>2309</v>
      </c>
      <c r="I16" s="20"/>
      <c r="J16" s="20"/>
      <c r="K16" s="20"/>
      <c r="L16" s="20"/>
      <c r="M16" s="20"/>
      <c r="N16" s="20"/>
      <c r="O16" s="20"/>
      <c r="P16" s="20"/>
      <c r="Q16" s="20"/>
      <c r="R16" s="20"/>
      <c r="S16" s="20"/>
      <c r="T16" s="20"/>
      <c r="U16" s="20"/>
      <c r="V16" s="20"/>
      <c r="W16" s="20"/>
      <c r="X16" s="20"/>
      <c r="Y16" s="44"/>
      <c r="Z16" s="44"/>
      <c r="AA16" s="44"/>
      <c r="AB16" s="44"/>
      <c r="AC16" s="44"/>
      <c r="AD16" s="44"/>
      <c r="AE16" s="44"/>
      <c r="AF16" s="44"/>
      <c r="AG16" s="44"/>
      <c r="AH16" s="20"/>
    </row>
    <row r="17" spans="2:34">
      <c r="B17" s="32" t="s">
        <v>1841</v>
      </c>
      <c r="C17" s="33" t="s">
        <v>2310</v>
      </c>
      <c r="D17" s="526" t="s">
        <v>2311</v>
      </c>
      <c r="E17" s="521" t="s">
        <v>803</v>
      </c>
      <c r="F17" s="36" t="s">
        <v>2312</v>
      </c>
      <c r="G17" s="20"/>
      <c r="H17" s="38">
        <f>HEX2DEC(E18)*2^8+HEX2DEC(E17)</f>
        <v>2720</v>
      </c>
      <c r="I17" s="20"/>
      <c r="J17" s="20"/>
      <c r="K17" s="20"/>
      <c r="L17" s="20"/>
      <c r="M17" s="20"/>
      <c r="N17" s="20"/>
      <c r="O17" s="20"/>
      <c r="P17" s="20"/>
      <c r="Q17" s="20"/>
      <c r="R17" s="20"/>
      <c r="S17" s="20"/>
      <c r="T17" s="20"/>
      <c r="U17" s="20"/>
      <c r="V17" s="20"/>
      <c r="W17" s="20"/>
      <c r="X17" s="20"/>
      <c r="Y17" s="44"/>
      <c r="Z17" s="44"/>
      <c r="AA17" s="44"/>
      <c r="AB17" s="44"/>
      <c r="AC17" s="44"/>
      <c r="AD17" s="44"/>
      <c r="AE17" s="44"/>
      <c r="AF17" s="44"/>
      <c r="AG17" s="44"/>
      <c r="AH17" s="20"/>
    </row>
    <row r="18" spans="2:34">
      <c r="B18" s="32" t="s">
        <v>1841</v>
      </c>
      <c r="C18" s="33" t="s">
        <v>2313</v>
      </c>
      <c r="D18" s="526" t="s">
        <v>2314</v>
      </c>
      <c r="E18" s="521" t="s">
        <v>1102</v>
      </c>
      <c r="F18" s="36" t="s">
        <v>2315</v>
      </c>
      <c r="G18" s="20"/>
      <c r="H18" s="31" t="s">
        <v>2316</v>
      </c>
      <c r="I18" s="20"/>
      <c r="J18" s="20"/>
      <c r="K18" s="20"/>
      <c r="L18" s="20"/>
      <c r="M18" s="20"/>
      <c r="N18" s="20"/>
      <c r="O18" s="20"/>
      <c r="P18" s="20"/>
      <c r="Q18" s="20"/>
      <c r="R18" s="20"/>
      <c r="S18" s="20"/>
      <c r="T18" s="20"/>
      <c r="U18" s="20"/>
      <c r="V18" s="20"/>
      <c r="W18" s="20"/>
      <c r="X18" s="20"/>
      <c r="Y18" s="44"/>
      <c r="Z18" s="44"/>
      <c r="AA18" s="44"/>
      <c r="AB18" s="44"/>
      <c r="AC18" s="44"/>
      <c r="AD18" s="44"/>
      <c r="AE18" s="44"/>
      <c r="AF18" s="44"/>
      <c r="AG18" s="44"/>
      <c r="AH18" s="20"/>
    </row>
    <row r="19" spans="2:34">
      <c r="B19" s="32" t="s">
        <v>1841</v>
      </c>
      <c r="C19" s="33" t="s">
        <v>2317</v>
      </c>
      <c r="D19" s="526" t="s">
        <v>2318</v>
      </c>
      <c r="E19" s="521" t="s">
        <v>2319</v>
      </c>
      <c r="F19" s="36" t="s">
        <v>2320</v>
      </c>
      <c r="G19" s="20"/>
      <c r="H19" s="38">
        <f>HEX2DEC(E20)*2^8+HEX2DEC(E19)-1</f>
        <v>192</v>
      </c>
      <c r="I19" s="20"/>
      <c r="J19" s="20"/>
      <c r="K19" s="20"/>
      <c r="L19" s="20"/>
      <c r="M19" s="20"/>
      <c r="N19" s="20"/>
      <c r="O19" s="20"/>
      <c r="P19" s="20"/>
      <c r="Q19" s="20"/>
      <c r="R19" s="20"/>
      <c r="S19" s="20"/>
      <c r="T19" s="20"/>
      <c r="U19" s="20"/>
      <c r="V19" s="20"/>
      <c r="W19" s="20"/>
      <c r="X19" s="20"/>
      <c r="Y19" s="44"/>
      <c r="Z19" s="44"/>
      <c r="AA19" s="44"/>
      <c r="AB19" s="44"/>
      <c r="AC19" s="44"/>
      <c r="AD19" s="44"/>
      <c r="AE19" s="44"/>
      <c r="AF19" s="44"/>
      <c r="AG19" s="44"/>
      <c r="AH19" s="20"/>
    </row>
    <row r="20" spans="2:34">
      <c r="B20" s="32" t="s">
        <v>1841</v>
      </c>
      <c r="C20" s="33" t="s">
        <v>2321</v>
      </c>
      <c r="D20" s="526" t="s">
        <v>2322</v>
      </c>
      <c r="E20" s="521" t="s">
        <v>1038</v>
      </c>
      <c r="F20" s="36" t="s">
        <v>2323</v>
      </c>
      <c r="G20" s="20"/>
      <c r="H20" s="37" t="s">
        <v>2324</v>
      </c>
      <c r="I20" s="20"/>
      <c r="J20" s="20"/>
      <c r="K20" s="20"/>
      <c r="L20" s="20"/>
      <c r="M20" s="20"/>
      <c r="N20" s="20"/>
      <c r="O20" s="20"/>
      <c r="P20" s="20"/>
      <c r="Q20" s="20"/>
      <c r="R20" s="20"/>
      <c r="S20" s="20"/>
      <c r="T20" s="20"/>
      <c r="U20" s="20"/>
      <c r="V20" s="20"/>
      <c r="W20" s="20"/>
      <c r="X20" s="20"/>
      <c r="Y20" s="44"/>
      <c r="Z20" s="44"/>
      <c r="AA20" s="44"/>
      <c r="AB20" s="44"/>
      <c r="AC20" s="44"/>
      <c r="AD20" s="44"/>
      <c r="AE20" s="44"/>
      <c r="AF20" s="44"/>
      <c r="AG20" s="44"/>
      <c r="AH20" s="20"/>
    </row>
    <row r="21" spans="2:34">
      <c r="B21" s="32" t="s">
        <v>1841</v>
      </c>
      <c r="C21" s="33" t="s">
        <v>2325</v>
      </c>
      <c r="D21" s="526" t="s">
        <v>2326</v>
      </c>
      <c r="E21" s="35">
        <v>0</v>
      </c>
      <c r="F21" s="36" t="s">
        <v>2327</v>
      </c>
      <c r="G21" s="20"/>
      <c r="H21" s="38">
        <f>HEX2DEC(E22)*2^8+HEX2DEC(E21)</f>
        <v>2560</v>
      </c>
      <c r="I21" s="20"/>
      <c r="J21" s="44"/>
      <c r="K21" s="20"/>
      <c r="L21" s="20"/>
      <c r="M21" s="20"/>
      <c r="N21" s="20"/>
      <c r="O21" s="20"/>
      <c r="P21" s="20"/>
      <c r="Q21" s="20"/>
      <c r="R21" s="20"/>
      <c r="S21" s="20"/>
      <c r="T21" s="20"/>
      <c r="U21" s="20"/>
      <c r="V21" s="20"/>
      <c r="W21" s="20"/>
      <c r="X21" s="20"/>
      <c r="Y21" s="44"/>
      <c r="Z21" s="44"/>
      <c r="AA21" s="44"/>
      <c r="AB21" s="44"/>
      <c r="AC21" s="44"/>
      <c r="AD21" s="44"/>
      <c r="AE21" s="44"/>
      <c r="AF21" s="44"/>
      <c r="AG21" s="44"/>
      <c r="AH21" s="20"/>
    </row>
    <row r="22" spans="2:34">
      <c r="B22" s="32" t="s">
        <v>1841</v>
      </c>
      <c r="C22" s="33" t="s">
        <v>2328</v>
      </c>
      <c r="D22" s="526" t="s">
        <v>2329</v>
      </c>
      <c r="E22" s="521" t="s">
        <v>1102</v>
      </c>
      <c r="F22" s="36" t="s">
        <v>2330</v>
      </c>
      <c r="G22" s="20"/>
      <c r="H22" s="37" t="s">
        <v>2331</v>
      </c>
      <c r="I22" s="20"/>
      <c r="J22" s="44"/>
      <c r="K22" s="20"/>
      <c r="L22" s="20"/>
      <c r="M22" s="20"/>
      <c r="N22" s="20"/>
      <c r="O22" s="20"/>
      <c r="P22" s="20"/>
      <c r="Q22" s="20"/>
      <c r="R22" s="20"/>
      <c r="S22" s="20"/>
      <c r="T22" s="20"/>
      <c r="U22" s="20"/>
      <c r="V22" s="20"/>
      <c r="W22" s="20"/>
      <c r="X22" s="20"/>
      <c r="Y22" s="44"/>
      <c r="Z22" s="44"/>
      <c r="AA22" s="44"/>
      <c r="AB22" s="44"/>
      <c r="AC22" s="44"/>
      <c r="AD22" s="44"/>
      <c r="AE22" s="44"/>
      <c r="AF22" s="44"/>
      <c r="AG22" s="44"/>
      <c r="AH22" s="20"/>
    </row>
    <row r="23" spans="2:34">
      <c r="B23" s="27" t="s">
        <v>1032</v>
      </c>
      <c r="C23" s="28" t="s">
        <v>2332</v>
      </c>
      <c r="D23" s="29"/>
      <c r="E23" s="29"/>
      <c r="F23" s="30"/>
      <c r="G23" s="20"/>
      <c r="H23" s="38">
        <f>H17-H19-H21</f>
        <v>-32</v>
      </c>
      <c r="I23" s="20"/>
      <c r="K23" s="20"/>
      <c r="L23" s="20"/>
      <c r="M23" s="20"/>
      <c r="N23" s="20"/>
      <c r="O23" s="20"/>
      <c r="P23" s="20"/>
      <c r="Q23" s="20"/>
      <c r="R23" s="20"/>
      <c r="S23" s="20"/>
      <c r="T23" s="20"/>
      <c r="U23" s="20"/>
      <c r="V23" s="20"/>
      <c r="W23" s="20"/>
      <c r="X23" s="20"/>
      <c r="Y23" s="44"/>
      <c r="Z23" s="44"/>
      <c r="AA23" s="44"/>
      <c r="AB23" s="44"/>
      <c r="AC23" s="44"/>
      <c r="AD23" s="44"/>
      <c r="AE23" s="44"/>
      <c r="AF23" s="44"/>
      <c r="AG23" s="44"/>
      <c r="AH23" s="20"/>
    </row>
    <row r="24" spans="2:34">
      <c r="B24" s="32" t="s">
        <v>1841</v>
      </c>
      <c r="C24" s="33" t="s">
        <v>2333</v>
      </c>
      <c r="D24" s="526" t="s">
        <v>2334</v>
      </c>
      <c r="E24" s="521" t="s">
        <v>2335</v>
      </c>
      <c r="F24" s="36" t="s">
        <v>2336</v>
      </c>
      <c r="G24" s="20"/>
      <c r="H24" s="37" t="s">
        <v>2337</v>
      </c>
      <c r="I24" s="20"/>
      <c r="K24" s="20"/>
      <c r="L24" s="20"/>
      <c r="M24" s="20"/>
      <c r="N24" s="20"/>
      <c r="O24" s="20"/>
      <c r="P24" s="20"/>
      <c r="Q24" s="20"/>
      <c r="R24" s="20"/>
      <c r="S24" s="20"/>
      <c r="T24" s="20"/>
      <c r="U24" s="20"/>
      <c r="V24" s="20"/>
      <c r="W24" s="20"/>
      <c r="X24" s="20"/>
      <c r="Y24" s="44"/>
      <c r="Z24" s="44"/>
      <c r="AA24" s="44"/>
      <c r="AB24" s="44"/>
      <c r="AC24" s="44"/>
      <c r="AD24" s="44"/>
      <c r="AE24" s="44"/>
      <c r="AF24" s="44"/>
      <c r="AG24" s="44"/>
      <c r="AH24" s="20"/>
    </row>
    <row r="25" spans="2:34">
      <c r="B25" s="32" t="s">
        <v>1841</v>
      </c>
      <c r="C25" s="33" t="s">
        <v>2338</v>
      </c>
      <c r="D25" s="526" t="s">
        <v>2339</v>
      </c>
      <c r="E25" s="521" t="s">
        <v>1428</v>
      </c>
      <c r="F25" s="36" t="s">
        <v>2340</v>
      </c>
      <c r="G25" s="20"/>
      <c r="H25" s="38">
        <f>(HEX2DEC(E25)*2^8+HEX2DEC(E24))/2</f>
        <v>1646</v>
      </c>
      <c r="I25" s="20"/>
      <c r="K25" s="20"/>
      <c r="L25" s="20"/>
      <c r="M25" s="20"/>
      <c r="N25" s="20"/>
      <c r="O25" s="20"/>
      <c r="P25" s="20"/>
      <c r="Q25" s="20"/>
      <c r="R25" s="20"/>
      <c r="S25" s="20"/>
      <c r="T25" s="20"/>
      <c r="U25" s="20"/>
      <c r="V25" s="20"/>
      <c r="W25" s="20"/>
      <c r="X25" s="20"/>
      <c r="Y25" s="44"/>
      <c r="Z25" s="44"/>
      <c r="AA25" s="44"/>
      <c r="AB25" s="44"/>
      <c r="AC25" s="44"/>
      <c r="AD25" s="44"/>
      <c r="AE25" s="44"/>
      <c r="AF25" s="44"/>
      <c r="AG25" s="44"/>
      <c r="AH25" s="20"/>
    </row>
    <row r="26" spans="2:34">
      <c r="B26" s="32" t="s">
        <v>1841</v>
      </c>
      <c r="C26" s="33" t="s">
        <v>2341</v>
      </c>
      <c r="D26" s="526" t="s">
        <v>2342</v>
      </c>
      <c r="E26" s="521" t="s">
        <v>2343</v>
      </c>
      <c r="F26" s="36" t="s">
        <v>2344</v>
      </c>
      <c r="G26" s="20"/>
      <c r="H26" s="31" t="s">
        <v>2345</v>
      </c>
      <c r="I26" s="20"/>
      <c r="K26" s="20"/>
      <c r="L26" s="20"/>
      <c r="M26" s="20"/>
      <c r="N26" s="20"/>
      <c r="O26" s="20"/>
      <c r="P26" s="20"/>
      <c r="Q26" s="20"/>
      <c r="R26" s="20"/>
      <c r="S26" s="20"/>
      <c r="T26" s="20"/>
      <c r="U26" s="20"/>
      <c r="V26" s="20"/>
      <c r="W26" s="20"/>
      <c r="X26" s="20"/>
      <c r="Y26" s="44"/>
      <c r="Z26" s="44"/>
      <c r="AA26" s="44"/>
      <c r="AB26" s="44"/>
      <c r="AC26" s="44"/>
      <c r="AD26" s="44"/>
      <c r="AE26" s="44"/>
      <c r="AF26" s="44"/>
      <c r="AG26" s="44"/>
      <c r="AH26" s="20"/>
    </row>
    <row r="27" spans="2:34">
      <c r="B27" s="32" t="s">
        <v>1841</v>
      </c>
      <c r="C27" s="33" t="s">
        <v>2346</v>
      </c>
      <c r="D27" s="526" t="s">
        <v>2347</v>
      </c>
      <c r="E27" s="521" t="s">
        <v>1038</v>
      </c>
      <c r="F27" s="36" t="s">
        <v>2348</v>
      </c>
      <c r="G27" s="20"/>
      <c r="H27" s="38">
        <f>(HEX2DEC(E27)*2^8+HEX2DEC(E26)+HEX2DEC(E29)*2^8+HEX2DEC(E28))/2-1</f>
        <v>41</v>
      </c>
      <c r="I27" s="20"/>
      <c r="K27" s="20"/>
      <c r="L27" s="20"/>
      <c r="M27" s="20"/>
      <c r="N27" s="20"/>
      <c r="O27" s="20"/>
      <c r="P27" s="20"/>
      <c r="Q27" s="20"/>
      <c r="R27" s="20"/>
      <c r="S27" s="20"/>
      <c r="T27" s="20"/>
      <c r="U27" s="20"/>
      <c r="V27" s="20"/>
      <c r="W27" s="20"/>
      <c r="X27" s="20"/>
      <c r="Y27" s="44"/>
      <c r="Z27" s="44"/>
      <c r="AA27" s="44"/>
      <c r="AB27" s="44"/>
      <c r="AC27" s="44"/>
      <c r="AD27" s="44"/>
      <c r="AE27" s="44"/>
      <c r="AF27" s="44"/>
      <c r="AG27" s="44"/>
      <c r="AH27" s="20"/>
    </row>
    <row r="28" spans="2:34">
      <c r="B28" s="32" t="s">
        <v>1841</v>
      </c>
      <c r="C28" s="33" t="s">
        <v>2349</v>
      </c>
      <c r="D28" s="526" t="s">
        <v>2350</v>
      </c>
      <c r="E28" s="521" t="s">
        <v>2343</v>
      </c>
      <c r="F28" s="36" t="s">
        <v>2351</v>
      </c>
      <c r="G28" s="20"/>
      <c r="H28" s="37" t="s">
        <v>2352</v>
      </c>
      <c r="I28" s="20"/>
      <c r="K28" s="20"/>
      <c r="L28" s="20"/>
      <c r="M28" s="20"/>
      <c r="N28" s="20"/>
      <c r="O28" s="20"/>
      <c r="P28" s="20"/>
      <c r="Q28" s="20"/>
      <c r="R28" s="20"/>
      <c r="S28" s="20"/>
      <c r="T28" s="20"/>
      <c r="U28" s="20"/>
      <c r="V28" s="20"/>
      <c r="W28" s="20"/>
      <c r="X28" s="20"/>
      <c r="Y28" s="44"/>
      <c r="Z28" s="44"/>
      <c r="AA28" s="44"/>
      <c r="AB28" s="44"/>
      <c r="AC28" s="44"/>
      <c r="AD28" s="44"/>
      <c r="AE28" s="44"/>
      <c r="AF28" s="44"/>
      <c r="AG28" s="44"/>
      <c r="AH28" s="20"/>
    </row>
    <row r="29" spans="2:34">
      <c r="B29" s="32" t="s">
        <v>1841</v>
      </c>
      <c r="C29" s="33" t="s">
        <v>2353</v>
      </c>
      <c r="D29" s="526" t="s">
        <v>2354</v>
      </c>
      <c r="E29" s="521" t="s">
        <v>1038</v>
      </c>
      <c r="F29" s="36" t="s">
        <v>2355</v>
      </c>
      <c r="G29" s="20"/>
      <c r="H29" s="38">
        <f>HEX2DEC(E31)*2^8+HEX2DEC(E30)</f>
        <v>1600</v>
      </c>
      <c r="I29" s="20"/>
      <c r="K29" s="20"/>
      <c r="L29" s="20"/>
      <c r="M29" s="20"/>
      <c r="N29" s="20"/>
      <c r="O29" s="20"/>
      <c r="P29" s="20"/>
      <c r="Q29" s="20"/>
      <c r="R29" s="20"/>
      <c r="S29" s="20"/>
      <c r="T29" s="20"/>
      <c r="U29" s="20"/>
      <c r="V29" s="20"/>
      <c r="W29" s="20"/>
      <c r="X29" s="20"/>
      <c r="Y29" s="44"/>
      <c r="Z29" s="44"/>
      <c r="AA29" s="44"/>
      <c r="AB29" s="44"/>
      <c r="AC29" s="44"/>
      <c r="AD29" s="44"/>
      <c r="AE29" s="44"/>
      <c r="AF29" s="44"/>
      <c r="AG29" s="44"/>
      <c r="AH29" s="20"/>
    </row>
    <row r="30" spans="2:34">
      <c r="B30" s="32" t="s">
        <v>1841</v>
      </c>
      <c r="C30" s="33" t="s">
        <v>2356</v>
      </c>
      <c r="D30" s="526" t="s">
        <v>2357</v>
      </c>
      <c r="E30" s="35">
        <v>40</v>
      </c>
      <c r="F30" s="36" t="s">
        <v>2358</v>
      </c>
      <c r="G30" s="20"/>
      <c r="H30" s="37" t="s">
        <v>2359</v>
      </c>
      <c r="I30" s="20"/>
      <c r="K30" s="20"/>
      <c r="L30" s="20"/>
      <c r="M30" s="20"/>
      <c r="N30" s="20"/>
      <c r="O30" s="20"/>
      <c r="P30" s="20"/>
      <c r="Q30" s="20"/>
      <c r="R30" s="20"/>
      <c r="S30" s="20"/>
      <c r="T30" s="20"/>
      <c r="U30" s="20"/>
      <c r="V30" s="20"/>
      <c r="W30" s="20"/>
      <c r="X30" s="20"/>
      <c r="Y30" s="44"/>
      <c r="Z30" s="44"/>
      <c r="AA30" s="44"/>
      <c r="AB30" s="44"/>
      <c r="AC30" s="44"/>
      <c r="AD30" s="44"/>
      <c r="AE30" s="44"/>
      <c r="AF30" s="44"/>
      <c r="AG30" s="44"/>
      <c r="AH30" s="20"/>
    </row>
    <row r="31" spans="2:34">
      <c r="B31" s="32" t="s">
        <v>1841</v>
      </c>
      <c r="C31" s="33" t="s">
        <v>2360</v>
      </c>
      <c r="D31" s="526" t="s">
        <v>2361</v>
      </c>
      <c r="E31" s="35">
        <v>6</v>
      </c>
      <c r="F31" s="36" t="s">
        <v>2362</v>
      </c>
      <c r="G31" s="20"/>
      <c r="H31" s="38">
        <f>H25-H27-H29</f>
        <v>5</v>
      </c>
      <c r="I31" s="20"/>
      <c r="K31" s="20"/>
      <c r="L31" s="20"/>
      <c r="M31" s="20"/>
      <c r="N31" s="20"/>
      <c r="O31" s="20"/>
      <c r="P31" s="20"/>
      <c r="Q31" s="20"/>
      <c r="R31" s="20"/>
      <c r="S31" s="20"/>
      <c r="T31" s="20"/>
      <c r="U31" s="20"/>
      <c r="V31" s="20"/>
      <c r="W31" s="20"/>
      <c r="X31" s="20"/>
      <c r="Y31" s="44"/>
      <c r="Z31" s="44"/>
      <c r="AA31" s="44"/>
      <c r="AB31" s="44"/>
      <c r="AC31" s="44"/>
      <c r="AD31" s="44"/>
      <c r="AE31" s="44"/>
      <c r="AF31" s="44"/>
      <c r="AG31" s="44"/>
      <c r="AH31" s="20"/>
    </row>
    <row r="32" spans="2:34">
      <c r="B32" s="27" t="s">
        <v>1032</v>
      </c>
      <c r="C32" s="28" t="s">
        <v>2363</v>
      </c>
      <c r="D32" s="28"/>
      <c r="E32" s="29"/>
      <c r="F32" s="30"/>
      <c r="G32" s="20"/>
      <c r="H32" s="37" t="s">
        <v>2364</v>
      </c>
      <c r="I32" s="37" t="s">
        <v>2365</v>
      </c>
      <c r="K32" s="20"/>
      <c r="L32" s="20"/>
      <c r="M32" s="20"/>
      <c r="N32" s="20"/>
      <c r="O32" s="20"/>
      <c r="P32" s="20"/>
      <c r="Q32" s="20"/>
      <c r="R32" s="20"/>
      <c r="S32" s="20"/>
      <c r="T32" s="20"/>
      <c r="U32" s="20"/>
      <c r="V32" s="20"/>
      <c r="W32" s="20"/>
      <c r="X32" s="20"/>
      <c r="Y32" s="44"/>
      <c r="Z32" s="44"/>
      <c r="AA32" s="44"/>
      <c r="AB32" s="44"/>
      <c r="AC32" s="44"/>
      <c r="AD32" s="44"/>
      <c r="AE32" s="44"/>
      <c r="AF32" s="44"/>
      <c r="AG32" s="44"/>
      <c r="AH32" s="20"/>
    </row>
    <row r="33" spans="2:40">
      <c r="B33" s="32" t="s">
        <v>1841</v>
      </c>
      <c r="C33" s="33" t="s">
        <v>2366</v>
      </c>
      <c r="D33" s="526" t="s">
        <v>2367</v>
      </c>
      <c r="E33" s="521" t="s">
        <v>2368</v>
      </c>
      <c r="F33" s="36" t="s">
        <v>2369</v>
      </c>
      <c r="G33" s="20"/>
      <c r="H33" s="39" t="str">
        <f>IF(MID(HEX2BIN(E33,8),6,1)="0","Low Active","High Active")</f>
        <v>Low Active</v>
      </c>
      <c r="I33" s="39" t="str">
        <f>IF(MID(HEX2BIN(E33,8),5,1)="0","Low Active","High Active")</f>
        <v>High Active</v>
      </c>
      <c r="J33" s="44"/>
      <c r="K33" s="20"/>
      <c r="L33" s="20"/>
      <c r="M33" s="20"/>
      <c r="N33" s="20"/>
      <c r="O33" s="20"/>
      <c r="P33" s="20"/>
      <c r="Q33" s="20"/>
      <c r="R33" s="20"/>
      <c r="S33" s="20"/>
      <c r="T33" s="20"/>
      <c r="U33" s="20"/>
      <c r="V33" s="20"/>
      <c r="W33" s="20"/>
      <c r="Y33" s="45"/>
      <c r="Z33" s="46"/>
      <c r="AA33" s="46"/>
      <c r="AB33" s="46"/>
      <c r="AC33" s="46"/>
      <c r="AD33" s="46"/>
      <c r="AE33" s="46"/>
      <c r="AF33" s="46"/>
      <c r="AG33" s="46"/>
      <c r="AH33" s="46"/>
      <c r="AI33" s="46"/>
      <c r="AJ33" s="46"/>
      <c r="AK33" s="46"/>
      <c r="AL33" s="46"/>
      <c r="AM33" s="46"/>
      <c r="AN33" s="46"/>
    </row>
    <row r="34" spans="2:40">
      <c r="B34" s="32" t="s">
        <v>2213</v>
      </c>
      <c r="C34" s="33"/>
      <c r="D34" s="40"/>
      <c r="E34" s="34"/>
      <c r="F34" s="41"/>
    </row>
  </sheetData>
  <sheetProtection algorithmName="SHA-512" hashValue="qEQjMUbRkmg3wv35G9helP4qLPk31J5ujJteWf10PAFcC7RtC6dEiUgUnfhs/TlMJNe0OOew+X/U28frQVqv7A==" saltValue="tsq//c7943rMgXCb4XiuBw==" spinCount="100000" sheet="1" objects="1" scenarios="1" selectLockedCells="1"/>
  <phoneticPr fontId="59" type="noConversion"/>
  <pageMargins left="0.69930555555555596" right="0.69930555555555596"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Revison</vt:lpstr>
      <vt:lpstr>HowToUse</vt:lpstr>
      <vt:lpstr>State Diagram</vt:lpstr>
      <vt:lpstr>Code</vt:lpstr>
      <vt:lpstr>Main_Parameters</vt:lpstr>
      <vt:lpstr>EDID</vt:lpstr>
      <vt:lpstr>Source_Init_EnbDSI(RS1,2,3,Int)</vt:lpstr>
      <vt:lpstr>Source_Suspend(RS_DO,RS4,5)</vt:lpstr>
      <vt:lpstr>Source_ColorBar</vt:lpstr>
      <vt:lpstr>Source_DSI_Command</vt:lpstr>
      <vt:lpstr>Source_HDMITimChk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Hayashi 林 申也</dc:creator>
  <cp:lastModifiedBy>Jay ye</cp:lastModifiedBy>
  <dcterms:created xsi:type="dcterms:W3CDTF">2006-09-16T00:00:00Z</dcterms:created>
  <dcterms:modified xsi:type="dcterms:W3CDTF">2021-06-05T09:17:24Z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2052-10.8.0.5648</vt:lpwstr>
  </property>
</Properties>
</file>